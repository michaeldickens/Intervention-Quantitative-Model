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709" codeName="{00000000-0000-0000-0000-000000000000}"/>
  <workbookPr showInkAnnotation="0" codeName="ThisWorkbook" autoCompressPictures="0"/>
  <bookViews>
    <workbookView xWindow="0" yWindow="0" windowWidth="25600" windowHeight="28260" tabRatio="500" activeTab="1"/>
  </bookViews>
  <sheets>
    <sheet name="Summary" sheetId="7" r:id="rId1"/>
    <sheet name="Globals" sheetId="2" r:id="rId2"/>
    <sheet name="EV of Far Future" sheetId="3" r:id="rId3"/>
    <sheet name="GiveDirectly" sheetId="5" r:id="rId4"/>
    <sheet name="THL" sheetId="1" r:id="rId5"/>
    <sheet name="Cage-Free" sheetId="12" r:id="rId6"/>
    <sheet name="AI Safety" sheetId="6" r:id="rId7"/>
    <sheet name="AI Targeted Values Spreading" sheetId="10" r:id="rId8"/>
  </sheets>
  <definedNames>
    <definedName name="alpha">Globals!$L$4</definedName>
    <definedName name="enable_calculations">Globals!$A$2</definedName>
    <definedName name="factory_farmed_animals">Globals!$M$8</definedName>
    <definedName name="interest_rate">Globals!$M$9</definedName>
    <definedName name="measurement">Globals!#REF!</definedName>
    <definedName name="median">Globals!$L$3</definedName>
    <definedName name="mu_factory_farming">Globals!$F$3</definedName>
    <definedName name="mu_far_future">Globals!$G$3</definedName>
    <definedName name="mu_far_future_humans">Globals!$G$3</definedName>
    <definedName name="mu_global_poverty">Globals!$E$3</definedName>
    <definedName name="mu_policy">Globals!$D$3</definedName>
    <definedName name="mu_sentient_simulations">Globals!$H$2</definedName>
    <definedName name="mu_wild_animals">Globals!#REF!</definedName>
    <definedName name="p_biological">Globals!$B$9</definedName>
    <definedName name="p_computronium">Globals!$B$12</definedName>
    <definedName name="p_dolorium">Globals!$D$15</definedName>
    <definedName name="p_ems">Globals!$D$13</definedName>
    <definedName name="p_factory_farming">Globals!$F$9</definedName>
    <definedName name="p_hedonium">Globals!$D$12</definedName>
    <definedName name="p_not_care_about_animals">Globals!$D$9</definedName>
    <definedName name="p_paperclip">Globals!$D$14</definedName>
    <definedName name="p_reduce_WAS">Globals!$D$8</definedName>
    <definedName name="p_society_does_not_care_about_animals">Globals!$D$9</definedName>
    <definedName name="p_spread_was">Globals!$F$10</definedName>
    <definedName name="p_stay_on_earth">Globals!$B$8</definedName>
    <definedName name="p_suffering_simulations">Globals!$F$11</definedName>
    <definedName name="sigma_factory_farming">Globals!$F$4</definedName>
    <definedName name="sigma_far_future">Globals!$G$4</definedName>
    <definedName name="sigma_far_future_humans">Globals!$G$4</definedName>
    <definedName name="sigma_global_poverty">Globals!$E$4</definedName>
    <definedName name="sigma_policy">Globals!$D$4</definedName>
    <definedName name="sigma_sentient_simulations">Globals!$H$3</definedName>
    <definedName name="sigma_wild_animals">Globals!#REF!</definedName>
    <definedName name="stay_on_earth">Globals!$B$8</definedName>
    <definedName name="stdev_base10">Globals!#REF!</definedName>
    <definedName name="x_m">Globals!#REF!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7" i="1" l="1"/>
  <c r="D7" i="1"/>
  <c r="L15" i="3"/>
  <c r="G5" i="5"/>
  <c r="L16" i="3"/>
  <c r="M16" i="3"/>
  <c r="L6" i="3"/>
  <c r="L7" i="3"/>
  <c r="M7" i="3"/>
  <c r="M18" i="3"/>
  <c r="L18" i="3"/>
  <c r="L19" i="3"/>
  <c r="L13" i="5"/>
  <c r="L14" i="5"/>
  <c r="L25" i="5"/>
  <c r="M19" i="3"/>
  <c r="M13" i="5"/>
  <c r="M14" i="5"/>
  <c r="M25" i="5"/>
  <c r="L27" i="5"/>
  <c r="L28" i="5"/>
  <c r="M28" i="5"/>
  <c r="G13" i="5"/>
  <c r="G14" i="5"/>
  <c r="H13" i="5"/>
  <c r="H14" i="5"/>
  <c r="H15" i="5"/>
  <c r="G15" i="5"/>
  <c r="C24" i="5"/>
  <c r="B24" i="5"/>
  <c r="C25" i="5"/>
  <c r="B25" i="5"/>
  <c r="B31" i="5"/>
  <c r="C3" i="7"/>
  <c r="I14" i="12"/>
  <c r="G15" i="3"/>
  <c r="G16" i="3"/>
  <c r="L9" i="3"/>
  <c r="I13" i="12"/>
  <c r="E15" i="1"/>
  <c r="D16" i="1"/>
  <c r="I16" i="12"/>
  <c r="I17" i="12"/>
  <c r="N21" i="12"/>
  <c r="J14" i="12"/>
  <c r="H15" i="3"/>
  <c r="H16" i="3"/>
  <c r="M9" i="3"/>
  <c r="J13" i="12"/>
  <c r="E16" i="1"/>
  <c r="J16" i="12"/>
  <c r="J17" i="12"/>
  <c r="O21" i="12"/>
  <c r="I25" i="12"/>
  <c r="G21" i="3"/>
  <c r="G22" i="3"/>
  <c r="L10" i="3"/>
  <c r="I24" i="12"/>
  <c r="I27" i="12"/>
  <c r="I28" i="12"/>
  <c r="N22" i="12"/>
  <c r="J25" i="12"/>
  <c r="H21" i="3"/>
  <c r="H22" i="3"/>
  <c r="M10" i="3"/>
  <c r="J24" i="12"/>
  <c r="J27" i="12"/>
  <c r="J28" i="12"/>
  <c r="O22" i="12"/>
  <c r="I35" i="12"/>
  <c r="G27" i="3"/>
  <c r="G28" i="3"/>
  <c r="L11" i="3"/>
  <c r="I34" i="12"/>
  <c r="I37" i="12"/>
  <c r="I38" i="12"/>
  <c r="N23" i="12"/>
  <c r="J35" i="12"/>
  <c r="H27" i="3"/>
  <c r="H28" i="3"/>
  <c r="M11" i="3"/>
  <c r="J34" i="12"/>
  <c r="J37" i="12"/>
  <c r="J38" i="12"/>
  <c r="O23" i="12"/>
  <c r="N5" i="12"/>
  <c r="G34" i="3"/>
  <c r="G35" i="3"/>
  <c r="L12" i="3"/>
  <c r="N4" i="12"/>
  <c r="N7" i="12"/>
  <c r="N8" i="12"/>
  <c r="N24" i="12"/>
  <c r="O5" i="12"/>
  <c r="H34" i="3"/>
  <c r="H35" i="3"/>
  <c r="M12" i="3"/>
  <c r="O4" i="12"/>
  <c r="O7" i="12"/>
  <c r="O8" i="12"/>
  <c r="O24" i="12"/>
  <c r="N14" i="12"/>
  <c r="C27" i="2"/>
  <c r="G27" i="2"/>
  <c r="K27" i="2"/>
  <c r="B10" i="3"/>
  <c r="B11" i="3"/>
  <c r="L4" i="3"/>
  <c r="N13" i="12"/>
  <c r="N16" i="12"/>
  <c r="N17" i="12"/>
  <c r="N25" i="12"/>
  <c r="O14" i="12"/>
  <c r="H27" i="2"/>
  <c r="L27" i="2"/>
  <c r="C10" i="3"/>
  <c r="C11" i="3"/>
  <c r="M4" i="3"/>
  <c r="O13" i="12"/>
  <c r="O16" i="12"/>
  <c r="O17" i="12"/>
  <c r="O25" i="12"/>
  <c r="N26" i="12"/>
  <c r="N27" i="12"/>
  <c r="O27" i="12"/>
  <c r="C17" i="12"/>
  <c r="B17" i="12"/>
  <c r="C18" i="12"/>
  <c r="B18" i="12"/>
  <c r="B20" i="12"/>
  <c r="B24" i="12"/>
  <c r="C5" i="7"/>
  <c r="D5" i="7"/>
  <c r="B19" i="12"/>
  <c r="B23" i="12"/>
  <c r="B5" i="7"/>
  <c r="E11" i="12"/>
  <c r="J26" i="12"/>
  <c r="J36" i="12"/>
  <c r="O6" i="12"/>
  <c r="O15" i="12"/>
  <c r="D11" i="12"/>
  <c r="I15" i="12"/>
  <c r="J15" i="12"/>
  <c r="I26" i="12"/>
  <c r="I36" i="12"/>
  <c r="N6" i="12"/>
  <c r="N15" i="12"/>
  <c r="I7" i="12"/>
  <c r="O12" i="12"/>
  <c r="N12" i="12"/>
  <c r="O3" i="12"/>
  <c r="N3" i="12"/>
  <c r="J33" i="12"/>
  <c r="I33" i="12"/>
  <c r="J23" i="12"/>
  <c r="I23" i="12"/>
  <c r="D8" i="12"/>
  <c r="B4" i="12"/>
  <c r="C4" i="12"/>
  <c r="D4" i="12"/>
  <c r="D5" i="12"/>
  <c r="D6" i="12"/>
  <c r="D7" i="12"/>
  <c r="D9" i="12"/>
  <c r="E8" i="12"/>
  <c r="E4" i="12"/>
  <c r="E5" i="12"/>
  <c r="E6" i="12"/>
  <c r="E7" i="12"/>
  <c r="E9" i="12"/>
  <c r="J14" i="1"/>
  <c r="I14" i="1"/>
  <c r="I13" i="1"/>
  <c r="I15" i="1"/>
  <c r="I16" i="1"/>
  <c r="N19" i="1"/>
  <c r="J13" i="1"/>
  <c r="J15" i="1"/>
  <c r="J16" i="1"/>
  <c r="O19" i="1"/>
  <c r="I24" i="1"/>
  <c r="I23" i="1"/>
  <c r="I25" i="1"/>
  <c r="I26" i="1"/>
  <c r="N20" i="1"/>
  <c r="J24" i="1"/>
  <c r="J23" i="1"/>
  <c r="J25" i="1"/>
  <c r="J26" i="1"/>
  <c r="O20" i="1"/>
  <c r="I33" i="1"/>
  <c r="I32" i="1"/>
  <c r="I34" i="1"/>
  <c r="I35" i="1"/>
  <c r="N21" i="1"/>
  <c r="J33" i="1"/>
  <c r="J32" i="1"/>
  <c r="J34" i="1"/>
  <c r="J35" i="1"/>
  <c r="O21" i="1"/>
  <c r="N5" i="1"/>
  <c r="N4" i="1"/>
  <c r="N6" i="1"/>
  <c r="N7" i="1"/>
  <c r="N22" i="1"/>
  <c r="O5" i="1"/>
  <c r="O4" i="1"/>
  <c r="O6" i="1"/>
  <c r="O7" i="1"/>
  <c r="O22" i="1"/>
  <c r="N13" i="1"/>
  <c r="N12" i="1"/>
  <c r="N14" i="1"/>
  <c r="N15" i="1"/>
  <c r="N23" i="1"/>
  <c r="O13" i="1"/>
  <c r="O12" i="1"/>
  <c r="O14" i="1"/>
  <c r="O15" i="1"/>
  <c r="O23" i="1"/>
  <c r="N24" i="1"/>
  <c r="I22" i="1"/>
  <c r="J22" i="1"/>
  <c r="I31" i="1"/>
  <c r="J31" i="1"/>
  <c r="N3" i="1"/>
  <c r="O3" i="1"/>
  <c r="N11" i="1"/>
  <c r="O11" i="1"/>
  <c r="N25" i="1"/>
  <c r="O25" i="1"/>
  <c r="C28" i="1"/>
  <c r="C29" i="1"/>
  <c r="B29" i="1"/>
  <c r="B31" i="1"/>
  <c r="D8" i="1"/>
  <c r="D9" i="1"/>
  <c r="D10" i="1"/>
  <c r="D12" i="1"/>
  <c r="E8" i="1"/>
  <c r="E9" i="1"/>
  <c r="E10" i="1"/>
  <c r="E12" i="1"/>
  <c r="D13" i="1"/>
  <c r="E13" i="1"/>
  <c r="D14" i="1"/>
  <c r="I7" i="1"/>
  <c r="B35" i="1"/>
  <c r="B4" i="1"/>
  <c r="C4" i="1"/>
  <c r="D4" i="1"/>
  <c r="D11" i="1"/>
  <c r="E4" i="1"/>
  <c r="E11" i="1"/>
  <c r="E10" i="12"/>
  <c r="J3" i="12"/>
  <c r="J4" i="12"/>
  <c r="J5" i="12"/>
  <c r="D10" i="12"/>
  <c r="I3" i="12"/>
  <c r="I4" i="12"/>
  <c r="I5" i="12"/>
  <c r="I6" i="12"/>
  <c r="J6" i="7"/>
  <c r="K3" i="6"/>
  <c r="K5" i="6"/>
  <c r="K6" i="6"/>
  <c r="K7" i="6"/>
  <c r="E4" i="6"/>
  <c r="K8" i="6"/>
  <c r="K14" i="6"/>
  <c r="K15" i="6"/>
  <c r="K16" i="6"/>
  <c r="K20" i="6"/>
  <c r="E17" i="7"/>
  <c r="I4" i="7"/>
  <c r="D17" i="7"/>
  <c r="H4" i="7"/>
  <c r="K4" i="7"/>
  <c r="F4" i="2"/>
  <c r="G4" i="2"/>
  <c r="D18" i="1"/>
  <c r="E18" i="1"/>
  <c r="D19" i="1"/>
  <c r="E19" i="1"/>
  <c r="D20" i="1"/>
  <c r="E20" i="1"/>
  <c r="D21" i="1"/>
  <c r="E21" i="1"/>
  <c r="K5" i="7"/>
  <c r="G12" i="7"/>
  <c r="B26" i="5"/>
  <c r="G4" i="5"/>
  <c r="B30" i="5"/>
  <c r="B3" i="7"/>
  <c r="F12" i="7"/>
  <c r="K3" i="7"/>
  <c r="E18" i="7"/>
  <c r="D18" i="7"/>
  <c r="G18" i="7"/>
  <c r="G17" i="7"/>
  <c r="H3" i="5"/>
  <c r="D4" i="2"/>
  <c r="I24" i="6"/>
  <c r="I25" i="6"/>
  <c r="I26" i="6"/>
  <c r="J7" i="6"/>
  <c r="J8" i="6"/>
  <c r="J20" i="6"/>
  <c r="H24" i="6"/>
  <c r="H25" i="6"/>
  <c r="H26" i="6"/>
  <c r="B12" i="6"/>
  <c r="C6" i="7"/>
  <c r="G15" i="7"/>
  <c r="E23" i="7"/>
  <c r="D23" i="7"/>
  <c r="D22" i="7"/>
  <c r="G23" i="7"/>
  <c r="E24" i="7"/>
  <c r="D24" i="7"/>
  <c r="G24" i="7"/>
  <c r="E19" i="7"/>
  <c r="D19" i="7"/>
  <c r="G19" i="7"/>
  <c r="E20" i="7"/>
  <c r="D20" i="7"/>
  <c r="G20" i="7"/>
  <c r="E21" i="7"/>
  <c r="D21" i="7"/>
  <c r="G21" i="7"/>
  <c r="E22" i="7"/>
  <c r="G22" i="7"/>
  <c r="C4" i="7"/>
  <c r="G13" i="7"/>
  <c r="K6" i="7"/>
  <c r="G14" i="7"/>
  <c r="J3" i="1"/>
  <c r="H23" i="2"/>
  <c r="J23" i="2"/>
  <c r="L23" i="2"/>
  <c r="J4" i="1"/>
  <c r="J5" i="1"/>
  <c r="I4" i="1"/>
  <c r="I3" i="1"/>
  <c r="I5" i="1"/>
  <c r="I6" i="1"/>
  <c r="J5" i="7"/>
  <c r="J3" i="7"/>
  <c r="H24" i="2"/>
  <c r="J24" i="2"/>
  <c r="L24" i="2"/>
  <c r="I3" i="10"/>
  <c r="I10" i="10"/>
  <c r="J3" i="10"/>
  <c r="J10" i="10"/>
  <c r="B30" i="2"/>
  <c r="C30" i="2"/>
  <c r="G30" i="2"/>
  <c r="K30" i="2"/>
  <c r="B25" i="3"/>
  <c r="B26" i="3"/>
  <c r="O14" i="3"/>
  <c r="L14" i="3"/>
  <c r="I4" i="10"/>
  <c r="I11" i="10"/>
  <c r="H30" i="2"/>
  <c r="L30" i="2"/>
  <c r="C25" i="3"/>
  <c r="C26" i="3"/>
  <c r="M14" i="3"/>
  <c r="J4" i="10"/>
  <c r="J11" i="10"/>
  <c r="I5" i="10"/>
  <c r="I12" i="10"/>
  <c r="J5" i="10"/>
  <c r="J12" i="10"/>
  <c r="I6" i="10"/>
  <c r="I13" i="10"/>
  <c r="J6" i="10"/>
  <c r="J13" i="10"/>
  <c r="I7" i="10"/>
  <c r="I14" i="10"/>
  <c r="J7" i="10"/>
  <c r="J14" i="10"/>
  <c r="I8" i="10"/>
  <c r="I15" i="10"/>
  <c r="J8" i="10"/>
  <c r="J15" i="10"/>
  <c r="I16" i="10"/>
  <c r="G3" i="3"/>
  <c r="G4" i="3"/>
  <c r="G14" i="3"/>
  <c r="P36" i="2"/>
  <c r="H3" i="3"/>
  <c r="P37" i="2"/>
  <c r="H4" i="3"/>
  <c r="P39" i="2"/>
  <c r="H14" i="3"/>
  <c r="G20" i="3"/>
  <c r="P40" i="2"/>
  <c r="H20" i="3"/>
  <c r="H25" i="2"/>
  <c r="J25" i="2"/>
  <c r="L25" i="2"/>
  <c r="G26" i="3"/>
  <c r="P41" i="2"/>
  <c r="H26" i="3"/>
  <c r="H26" i="2"/>
  <c r="J26" i="2"/>
  <c r="L26" i="2"/>
  <c r="G32" i="3"/>
  <c r="G33" i="3"/>
  <c r="H32" i="3"/>
  <c r="P42" i="2"/>
  <c r="H33" i="3"/>
  <c r="B3" i="3"/>
  <c r="B4" i="3"/>
  <c r="B5" i="3"/>
  <c r="B6" i="3"/>
  <c r="L36" i="2"/>
  <c r="C3" i="3"/>
  <c r="L37" i="2"/>
  <c r="C4" i="3"/>
  <c r="L38" i="2"/>
  <c r="C5" i="3"/>
  <c r="L39" i="2"/>
  <c r="C6" i="3"/>
  <c r="J27" i="2"/>
  <c r="M10" i="5"/>
  <c r="M11" i="5"/>
  <c r="M12" i="5"/>
  <c r="O11" i="3"/>
  <c r="O9" i="3"/>
  <c r="O10" i="3"/>
  <c r="O12" i="3"/>
  <c r="O4" i="3"/>
  <c r="I3" i="7"/>
  <c r="H3" i="7"/>
  <c r="I6" i="7"/>
  <c r="H6" i="7"/>
  <c r="B20" i="3"/>
  <c r="B21" i="3"/>
  <c r="O13" i="3"/>
  <c r="L13" i="3"/>
  <c r="H29" i="2"/>
  <c r="J29" i="2"/>
  <c r="L29" i="2"/>
  <c r="C20" i="3"/>
  <c r="C21" i="3"/>
  <c r="M13" i="3"/>
  <c r="J30" i="2"/>
  <c r="G8" i="3"/>
  <c r="G9" i="3"/>
  <c r="G10" i="3"/>
  <c r="O3" i="3"/>
  <c r="L3" i="3"/>
  <c r="P38" i="2"/>
  <c r="H8" i="3"/>
  <c r="H21" i="2"/>
  <c r="J21" i="2"/>
  <c r="L21" i="2"/>
  <c r="H9" i="3"/>
  <c r="H10" i="3"/>
  <c r="M3" i="3"/>
  <c r="C28" i="2"/>
  <c r="G28" i="2"/>
  <c r="K28" i="2"/>
  <c r="B15" i="3"/>
  <c r="B16" i="3"/>
  <c r="O5" i="3"/>
  <c r="L5" i="3"/>
  <c r="H28" i="2"/>
  <c r="J28" i="2"/>
  <c r="L28" i="2"/>
  <c r="C15" i="3"/>
  <c r="C16" i="3"/>
  <c r="M5" i="3"/>
  <c r="E13" i="10"/>
  <c r="E14" i="10"/>
  <c r="E15" i="10"/>
  <c r="E16" i="10"/>
  <c r="E17" i="10"/>
  <c r="E18" i="10"/>
  <c r="I17" i="10"/>
  <c r="J17" i="10"/>
  <c r="J18" i="10"/>
  <c r="I18" i="10"/>
  <c r="B24" i="10"/>
  <c r="C7" i="7"/>
  <c r="G16" i="7"/>
  <c r="B23" i="10"/>
  <c r="B7" i="7"/>
  <c r="F16" i="7"/>
  <c r="B11" i="6"/>
  <c r="B6" i="7"/>
  <c r="F15" i="7"/>
  <c r="F14" i="7"/>
  <c r="B30" i="1"/>
  <c r="B34" i="1"/>
  <c r="B4" i="7"/>
  <c r="F13" i="7"/>
  <c r="F17" i="7"/>
  <c r="F18" i="7"/>
  <c r="F19" i="7"/>
  <c r="F20" i="7"/>
  <c r="F21" i="7"/>
  <c r="F22" i="7"/>
  <c r="F23" i="7"/>
  <c r="F24" i="7"/>
  <c r="N36" i="2"/>
  <c r="O36" i="2"/>
  <c r="N37" i="2"/>
  <c r="O37" i="2"/>
  <c r="N38" i="2"/>
  <c r="N39" i="2"/>
  <c r="O39" i="2"/>
  <c r="C23" i="2"/>
  <c r="G23" i="2"/>
  <c r="E23" i="2"/>
  <c r="I23" i="2"/>
  <c r="K23" i="2"/>
  <c r="N40" i="2"/>
  <c r="O40" i="2"/>
  <c r="C25" i="2"/>
  <c r="G25" i="2"/>
  <c r="E25" i="2"/>
  <c r="I25" i="2"/>
  <c r="K25" i="2"/>
  <c r="N41" i="2"/>
  <c r="O41" i="2"/>
  <c r="C26" i="2"/>
  <c r="G26" i="2"/>
  <c r="E26" i="2"/>
  <c r="I26" i="2"/>
  <c r="K26" i="2"/>
  <c r="N42" i="2"/>
  <c r="O42" i="2"/>
  <c r="J36" i="2"/>
  <c r="K36" i="2"/>
  <c r="J37" i="2"/>
  <c r="K37" i="2"/>
  <c r="J38" i="2"/>
  <c r="K38" i="2"/>
  <c r="J39" i="2"/>
  <c r="K39" i="2"/>
  <c r="C29" i="2"/>
  <c r="G29" i="2"/>
  <c r="I29" i="2"/>
  <c r="K29" i="2"/>
  <c r="I30" i="2"/>
  <c r="O38" i="2"/>
  <c r="C21" i="2"/>
  <c r="G21" i="2"/>
  <c r="I21" i="2"/>
  <c r="K21" i="2"/>
  <c r="D27" i="2"/>
  <c r="I27" i="2"/>
  <c r="I28" i="2"/>
  <c r="C24" i="2"/>
  <c r="D24" i="2"/>
  <c r="E24" i="2"/>
  <c r="G24" i="2"/>
  <c r="I24" i="2"/>
  <c r="K24" i="2"/>
  <c r="I5" i="7"/>
  <c r="H5" i="7"/>
  <c r="B7" i="5"/>
  <c r="C7" i="5"/>
  <c r="L12" i="5"/>
  <c r="L20" i="5"/>
  <c r="L21" i="5"/>
  <c r="L26" i="5"/>
  <c r="M20" i="5"/>
  <c r="M19" i="5"/>
  <c r="M21" i="5"/>
  <c r="M26" i="5"/>
  <c r="G12" i="5"/>
  <c r="H12" i="5"/>
  <c r="H10" i="5"/>
  <c r="H11" i="5"/>
  <c r="C22" i="2"/>
  <c r="L10" i="5"/>
  <c r="B6" i="5"/>
  <c r="C6" i="5"/>
  <c r="L11" i="5"/>
  <c r="B9" i="5"/>
  <c r="C9" i="5"/>
  <c r="L19" i="5"/>
  <c r="I32" i="6"/>
  <c r="I33" i="6"/>
  <c r="H32" i="6"/>
  <c r="H33" i="6"/>
  <c r="K33" i="6"/>
  <c r="J33" i="6"/>
  <c r="H15" i="6"/>
  <c r="H22" i="2"/>
  <c r="J22" i="2"/>
  <c r="L22" i="2"/>
  <c r="G22" i="2"/>
  <c r="I22" i="2"/>
  <c r="K22" i="2"/>
  <c r="G10" i="5"/>
  <c r="G11" i="5"/>
  <c r="C7" i="10"/>
  <c r="B7" i="10"/>
  <c r="D13" i="10"/>
  <c r="D14" i="10"/>
  <c r="D15" i="10"/>
  <c r="D16" i="10"/>
  <c r="D17" i="10"/>
  <c r="D18" i="10"/>
  <c r="I5" i="6"/>
  <c r="J5" i="6"/>
  <c r="J6" i="6"/>
  <c r="I15" i="6"/>
  <c r="J15" i="6"/>
  <c r="J16" i="6"/>
  <c r="E7" i="10"/>
  <c r="E8" i="10"/>
  <c r="C10" i="10"/>
  <c r="B10" i="10"/>
  <c r="E10" i="10"/>
  <c r="E5" i="10"/>
  <c r="E3" i="10"/>
  <c r="E4" i="10"/>
  <c r="E11" i="10"/>
  <c r="D7" i="10"/>
  <c r="D8" i="10"/>
  <c r="D10" i="10"/>
  <c r="D5" i="10"/>
  <c r="D3" i="10"/>
  <c r="D4" i="10"/>
  <c r="D11" i="10"/>
  <c r="J4" i="7"/>
  <c r="J14" i="6"/>
  <c r="J13" i="6"/>
  <c r="D4" i="6"/>
  <c r="J3" i="6"/>
  <c r="D4" i="7"/>
  <c r="H5" i="6"/>
  <c r="C4" i="6"/>
  <c r="B4" i="6"/>
  <c r="D7" i="7"/>
  <c r="D3" i="7"/>
  <c r="K13" i="6"/>
  <c r="D6" i="7"/>
</calcChain>
</file>

<file path=xl/sharedStrings.xml><?xml version="1.0" encoding="utf-8"?>
<sst xmlns="http://schemas.openxmlformats.org/spreadsheetml/2006/main" count="584" uniqueCount="299">
  <si>
    <t>Low CI</t>
  </si>
  <si>
    <t>High CI</t>
  </si>
  <si>
    <t>alpha</t>
  </si>
  <si>
    <t>median</t>
  </si>
  <si>
    <t>Prior (Pareto)</t>
  </si>
  <si>
    <t>stay on earth</t>
  </si>
  <si>
    <t>society doesn't care about animals</t>
  </si>
  <si>
    <t>we make suffering simulations</t>
  </si>
  <si>
    <t>we spread WAS</t>
  </si>
  <si>
    <t>hedonium</t>
  </si>
  <si>
    <t>paperclip</t>
  </si>
  <si>
    <t>dolorium</t>
  </si>
  <si>
    <t>we reduce WAS on balance</t>
  </si>
  <si>
    <t>Far future outcome probabilities</t>
  </si>
  <si>
    <t>accessible stars</t>
  </si>
  <si>
    <t>usable wattage</t>
  </si>
  <si>
    <t>years of future</t>
  </si>
  <si>
    <t>humans per star</t>
  </si>
  <si>
    <t>factory farmed animals per star</t>
  </si>
  <si>
    <t>wild vertebrates per star</t>
  </si>
  <si>
    <t>Sources</t>
  </si>
  <si>
    <t>http://reducing-suffering.org/how-many-wild-animals-are-there/</t>
  </si>
  <si>
    <t>https://en.wikipedia.org/wiki/Timeline_of_the_far_future</t>
  </si>
  <si>
    <t>Bradbury, "Matrioshka Brains"</t>
  </si>
  <si>
    <t>https://www.gwern.net/docs/1999-bradbury-matrioshkabrains.pdf</t>
  </si>
  <si>
    <t>Tomasik, "How Many Wild Animals Are There?"</t>
  </si>
  <si>
    <t>factory farmed animals</t>
  </si>
  <si>
    <t>Notes</t>
  </si>
  <si>
    <t>Biological condition</t>
  </si>
  <si>
    <t>Size of far future (80% CI)</t>
  </si>
  <si>
    <t>Variance</t>
  </si>
  <si>
    <t>Size of far future (mean/variance)</t>
  </si>
  <si>
    <t>[2]</t>
  </si>
  <si>
    <t>[3]</t>
  </si>
  <si>
    <t>[1]; assumes 1-10 planets per star</t>
  </si>
  <si>
    <t>[1]</t>
  </si>
  <si>
    <t>Computronium condition</t>
  </si>
  <si>
    <t>Utility for different types of beings</t>
  </si>
  <si>
    <t>utility per factory farmed animal</t>
  </si>
  <si>
    <t>utility per wild vertebrate</t>
  </si>
  <si>
    <t>utility per insect</t>
  </si>
  <si>
    <t>brains per watt</t>
  </si>
  <si>
    <t>utility per hedonium</t>
  </si>
  <si>
    <t>utility per paperclip</t>
  </si>
  <si>
    <t>utility per dolorium</t>
  </si>
  <si>
    <t>for same energy requirements as human brain</t>
  </si>
  <si>
    <t>Biological Condition</t>
  </si>
  <si>
    <t>Hedonium utility</t>
  </si>
  <si>
    <t>Paperclip neg utility</t>
  </si>
  <si>
    <t>Dolorium neg utility</t>
  </si>
  <si>
    <t>Human utility</t>
  </si>
  <si>
    <t>Computronium Condition</t>
  </si>
  <si>
    <t>utility estimate</t>
  </si>
  <si>
    <t>Factory farming neg utility</t>
  </si>
  <si>
    <t>insects per star</t>
  </si>
  <si>
    <t>Wild vertebrate neg utility</t>
  </si>
  <si>
    <t>Insect neg utility</t>
  </si>
  <si>
    <t>Simulation neg utility</t>
  </si>
  <si>
    <t>simulations per insect</t>
  </si>
  <si>
    <t>Results</t>
  </si>
  <si>
    <t>Sign</t>
  </si>
  <si>
    <t>we have factory farming</t>
  </si>
  <si>
    <t>P(factory farming exists)</t>
  </si>
  <si>
    <t>Direct effect</t>
  </si>
  <si>
    <t>Far-future effect on factory farming</t>
  </si>
  <si>
    <t>Basic facts</t>
  </si>
  <si>
    <t>years factory farming prevented per $1000</t>
  </si>
  <si>
    <t>log-normal posterior</t>
  </si>
  <si>
    <t>P(stopping this if we stop factory farming)</t>
  </si>
  <si>
    <t>Far-future effect on wild vertebrates</t>
  </si>
  <si>
    <t>P(humans exist)</t>
  </si>
  <si>
    <t>P(wild vertebrates exist)</t>
  </si>
  <si>
    <t>P(insects exist)</t>
  </si>
  <si>
    <t>P(simulations exist)</t>
  </si>
  <si>
    <t>P(hedonium exists)</t>
  </si>
  <si>
    <t>P(paperclips exist)</t>
  </si>
  <si>
    <t>P(dolorium exists)</t>
  </si>
  <si>
    <t>Far-future effect on suffering simulations</t>
  </si>
  <si>
    <t>Pareto posterior</t>
  </si>
  <si>
    <t>Prior (log-normal)</t>
  </si>
  <si>
    <t>mu</t>
  </si>
  <si>
    <t>sigma</t>
  </si>
  <si>
    <t>Far-future effect on insects</t>
  </si>
  <si>
    <t>Total (Pareto)</t>
  </si>
  <si>
    <t>Total (log-normal)</t>
  </si>
  <si>
    <t>Log-normal posterior</t>
  </si>
  <si>
    <t>Extinction risk reduction</t>
  </si>
  <si>
    <t>poverty ended per $1000</t>
  </si>
  <si>
    <t>Color guide</t>
  </si>
  <si>
    <t>intermediate result</t>
  </si>
  <si>
    <t>final result</t>
  </si>
  <si>
    <t>P(extinction)</t>
  </si>
  <si>
    <t>extinction scenarios averted by ending poverty</t>
  </si>
  <si>
    <t>extinction scenarios caused by ending poverty</t>
  </si>
  <si>
    <t>Extinction risk increase</t>
  </si>
  <si>
    <t>interest rate</t>
  </si>
  <si>
    <t>cost per year to end poverty ($)</t>
  </si>
  <si>
    <t>P(AI-related extinction)</t>
  </si>
  <si>
    <t>AI researcher multiplicative effect</t>
  </si>
  <si>
    <t>hours to solve AI safety</t>
  </si>
  <si>
    <t>size of FAI community when AGI created</t>
  </si>
  <si>
    <t>cost per AI researcher</t>
  </si>
  <si>
    <t>1/cost per AI researcher</t>
  </si>
  <si>
    <t>annual rate at which vegetarians convert new vegetarians</t>
  </si>
  <si>
    <t>Model 1 (GPP)</t>
  </si>
  <si>
    <t>Model 2</t>
  </si>
  <si>
    <t>EV far future</t>
  </si>
  <si>
    <t>General</t>
  </si>
  <si>
    <t>x-risk averted per $1000</t>
  </si>
  <si>
    <t>1/hours to solve</t>
  </si>
  <si>
    <t>Model average</t>
  </si>
  <si>
    <t>Pareto</t>
  </si>
  <si>
    <t>Log-normal</t>
  </si>
  <si>
    <t>GiveDirectly</t>
  </si>
  <si>
    <t>AI Safety</t>
  </si>
  <si>
    <t>Unified model</t>
  </si>
  <si>
    <t>utility per cage removed</t>
  </si>
  <si>
    <t>years factory farming prevented per $1</t>
  </si>
  <si>
    <t>AMF</t>
  </si>
  <si>
    <t xml:space="preserve">Mean </t>
  </si>
  <si>
    <t>Inputs (80% CI)</t>
  </si>
  <si>
    <t>(80% CI)</t>
  </si>
  <si>
    <t>Wikipedia, "Timeline of the Far Future"</t>
  </si>
  <si>
    <t>P(friendly AI gets built)</t>
  </si>
  <si>
    <t>suffering simulations prevented</t>
  </si>
  <si>
    <t>values propagation multiplier</t>
  </si>
  <si>
    <t>cost to convince one AI researcher to care about animals</t>
  </si>
  <si>
    <t>P(FAI is bad for animals by default)</t>
  </si>
  <si>
    <t>1/size of FAI community when AGI created</t>
  </si>
  <si>
    <t>$1000/cost</t>
  </si>
  <si>
    <t>Increased probability AGI is good for animals per $1000 spent</t>
  </si>
  <si>
    <t>wild vertebrate suffering prevented</t>
  </si>
  <si>
    <t>insect suffering prevented</t>
  </si>
  <si>
    <t>dolorium utility estimate</t>
  </si>
  <si>
    <t>wild vertebrate utility estimate</t>
  </si>
  <si>
    <t>insect utility estimate</t>
  </si>
  <si>
    <t>simulation utility estimate</t>
  </si>
  <si>
    <t>Model</t>
  </si>
  <si>
    <t>AI Targeted Values Spreading</t>
  </si>
  <si>
    <t>Total utility</t>
  </si>
  <si>
    <t>Ratio vs. GD</t>
  </si>
  <si>
    <t>Utility from direct effects only</t>
  </si>
  <si>
    <t xml:space="preserve"> </t>
  </si>
  <si>
    <t>global poverty</t>
  </si>
  <si>
    <t>factory farming</t>
  </si>
  <si>
    <t>far future</t>
  </si>
  <si>
    <t>Enable calculations?</t>
  </si>
  <si>
    <t>0 for false, 1 for true</t>
  </si>
  <si>
    <t>buckets</t>
  </si>
  <si>
    <t>(1) does not include fish/shellfish; (2) I am willing to trade maybe 5 years normal life vs. 1 year on factory farm, and extremely poor people's lives are about half as good as those in the developed world according to world happiness surveys</t>
  </si>
  <si>
    <t>Warning: takes a long time to evaluate (30 seconds on my machine)</t>
  </si>
  <si>
    <t>exp mean/variance</t>
  </si>
  <si>
    <t>pos EV (buckets)</t>
  </si>
  <si>
    <t>neg EV (buckets)</t>
  </si>
  <si>
    <t>neg exp mean/variance</t>
  </si>
  <si>
    <t>pos exp mean/variance</t>
  </si>
  <si>
    <t>Mu</t>
  </si>
  <si>
    <t>Sigma^2 (orders of magnitude)</t>
  </si>
  <si>
    <t>Sigma^2</t>
  </si>
  <si>
    <t>Sigma</t>
  </si>
  <si>
    <t>P-weighted utility estimate (adj. by probability)</t>
  </si>
  <si>
    <t>Probability (used in P-weighted utility estimate)</t>
  </si>
  <si>
    <t>overall exp mean/variance</t>
  </si>
  <si>
    <t>overall utility estimate</t>
  </si>
  <si>
    <t>Total far future effect</t>
  </si>
  <si>
    <t>Total positive far-future effect</t>
  </si>
  <si>
    <t>utility estimates</t>
  </si>
  <si>
    <t>sum (buckets)</t>
  </si>
  <si>
    <t>Total far-future effect</t>
  </si>
  <si>
    <t>Total (Pareto posterior)</t>
  </si>
  <si>
    <t>Total (log-normal posterior)</t>
  </si>
  <si>
    <t>THL</t>
  </si>
  <si>
    <t>Far-future effect on hedonium</t>
  </si>
  <si>
    <t>wild vertebrate suffering prevented if we end factory farming</t>
  </si>
  <si>
    <t>hedonium caused</t>
  </si>
  <si>
    <t>This is the probability increase of stopping WAS conditional on stopping factory farming. This assumes net effect is positive. You can make it negative but that requires changing the way the posterior is calculated. If you make the low CI close to 0, that has a similar effect to putting some of the probability mass below 0.</t>
  </si>
  <si>
    <t>hedonium utility estimate</t>
  </si>
  <si>
    <t>hedonium weighted utility</t>
  </si>
  <si>
    <t>dolorium weighted utility</t>
  </si>
  <si>
    <t>wild vertebrate weighted utility</t>
  </si>
  <si>
    <t>insect weighted utility</t>
  </si>
  <si>
    <t>simulation weighted utility</t>
  </si>
  <si>
    <t>factory farming weighted utility</t>
  </si>
  <si>
    <t>human weighted utility</t>
  </si>
  <si>
    <t>paperclip weighted utility</t>
  </si>
  <si>
    <t>needs manual re-calculation</t>
  </si>
  <si>
    <t>ignore these (no color)</t>
  </si>
  <si>
    <t>factory farming utility estimate</t>
  </si>
  <si>
    <t>implicitly correlated with P(AI-related extinction) on the AI Safety sheet</t>
  </si>
  <si>
    <t>center of distribution (median)</t>
  </si>
  <si>
    <t>scale (logarithmic base 10); this corresponds to standard deviation, not variance</t>
  </si>
  <si>
    <t>log-normal prior is parameterized by Y = mu*10^(sigma*X) for standard normal R.V. X</t>
  </si>
  <si>
    <t>Em utility</t>
  </si>
  <si>
    <t>utility per em</t>
  </si>
  <si>
    <t>em weighted utility</t>
  </si>
  <si>
    <t>P(ems exist)</t>
  </si>
  <si>
    <t>ems</t>
  </si>
  <si>
    <t>Estimated from FHI x-risk survey. CI for probability represents uncertainty about estimate.</t>
  </si>
  <si>
    <t>P(AI researchers' values matter)</t>
  </si>
  <si>
    <t>number of AI researchers when AGI created</t>
  </si>
  <si>
    <t>1/number of AI researchers</t>
  </si>
  <si>
    <t>Different from size of AI safety community; presumably all AI researchers could matter. See https://intelligence.org/2014/01/28/how-big-is-ai/</t>
  </si>
  <si>
    <t>See https://intelligence.org/2014/01/28/how-big-is-ai/</t>
  </si>
  <si>
    <t>Sentience adjustment (80% CI)</t>
  </si>
  <si>
    <t>Mu1</t>
  </si>
  <si>
    <t>Mu2</t>
  </si>
  <si>
    <t>Sigma^2_1</t>
  </si>
  <si>
    <t>Sigma^2_2</t>
  </si>
  <si>
    <t>Well-being, absolute value (80% CI)</t>
  </si>
  <si>
    <t>(assumes AGI is a binary outcome: friendly or unfriendly)</t>
  </si>
  <si>
    <t>some uncertainty here about how to account for counterfactuals; presumably AI safety researchers would do something high value otherwise</t>
  </si>
  <si>
    <t>FAI community growth rate</t>
  </si>
  <si>
    <t>AGI date</t>
  </si>
  <si>
    <t>years until AGI</t>
  </si>
  <si>
    <t>assumes constant exponential growth rate</t>
  </si>
  <si>
    <t>researcher-years spent on AI safety by AGI date</t>
  </si>
  <si>
    <t>TODO: this just combines 80% CI's, which is incorrect</t>
  </si>
  <si>
    <t>P(|hours spent - hours needed| &lt;= hours provided by $1000)</t>
  </si>
  <si>
    <t>fill universe with biology</t>
  </si>
  <si>
    <t>fill universe with computers</t>
  </si>
  <si>
    <t>utility per developing-world human</t>
  </si>
  <si>
    <t>utility per wealthy human</t>
  </si>
  <si>
    <t>extremely poor people's lives are about half as good as those in the developed world according to world happiness surveys</t>
  </si>
  <si>
    <t>assumes there will be no poverty in the far future</t>
  </si>
  <si>
    <t>TODO: this manually categorizes conditions as positive or negative, that should happen automatically</t>
  </si>
  <si>
    <t>Factory farming increase</t>
  </si>
  <si>
    <t>http://effective-altruism.com/ea/rl/quantifying_the_impact_of_economic_growth_on_meat/</t>
  </si>
  <si>
    <t>years factory-farm suffering per $1000</t>
  </si>
  <si>
    <t>Utiliy Estimates</t>
  </si>
  <si>
    <t>x-risk</t>
  </si>
  <si>
    <t>from looking at random articles I found on Google, combined with Fermi estimate (1.2B people, $1/day ~= $500B/yr)</t>
  </si>
  <si>
    <t>should sum to 1</t>
  </si>
  <si>
    <t>not mutually exclusive so don't need to sum to 1</t>
  </si>
  <si>
    <t>http://www.openphilanthropy.org/blog/initial-grants-support-corporate-cage-free-reforms#Corporate_cage-free_campaigns_are_extremely_cost-effective</t>
  </si>
  <si>
    <t>cage-free years per $1</t>
  </si>
  <si>
    <t>1/expenditures</t>
  </si>
  <si>
    <t>cage-free years per $1000</t>
  </si>
  <si>
    <t>total expenditures ($M)</t>
  </si>
  <si>
    <t>centered around 1 by definition</t>
  </si>
  <si>
    <t>Note: All CI's here have zero variance because individual well-being shouldn't factor in to prior estimates of good done.</t>
  </si>
  <si>
    <t>computer emulations of human-like brains</t>
  </si>
  <si>
    <t>maximally happy beings</t>
  </si>
  <si>
    <t>computers that don't do anything useful</t>
  </si>
  <si>
    <t>maximally unhappy beings</t>
  </si>
  <si>
    <t>WAS = wild animal suffering</t>
  </si>
  <si>
    <t>Model 3 (INCOMPLETE)</t>
  </si>
  <si>
    <t>Cause/Org</t>
  </si>
  <si>
    <t>different grants estimated at $30 and $300 per prison-year averted; see http://www.openphilanthropy.org/focus/us-policy/criminal-justice-reform/justleadershipusa-close-rikers-campaign#Direct_impact and http://www.openphilanthropy.org/focus/us-policy/criminal-justice-reform/pew-public-safety-performance-project#Cost_effectiveness</t>
  </si>
  <si>
    <t>policy</t>
  </si>
  <si>
    <t>All Cause Areas</t>
  </si>
  <si>
    <t>Cage-free Campaigns</t>
  </si>
  <si>
    <t>Biosecurity</t>
  </si>
  <si>
    <t>Geoengineering</t>
  </si>
  <si>
    <t>TODO: maybe far future sigma should be bigger</t>
  </si>
  <si>
    <t>proportion of extinction scenarios averted by ending poverty</t>
  </si>
  <si>
    <t>proportion of extinction scenarios caused by ending poverty</t>
  </si>
  <si>
    <t>days factory-farm suffering caused per $1000</t>
  </si>
  <si>
    <t>includes all money spent on cage-free campaigns</t>
  </si>
  <si>
    <t>years until cage-free would have happened anyway</t>
  </si>
  <si>
    <t>millions of cages prevented</t>
  </si>
  <si>
    <t>proportion of change attributable to campaigns</t>
  </si>
  <si>
    <t>If we add 1 new researcher now, there will be this many new researchers by the time AGI is developed.</t>
  </si>
  <si>
    <t>proportion of bad scenarios averted by doubling total research</t>
  </si>
  <si>
    <t>hours per year per AI researcher</t>
  </si>
  <si>
    <t>If we change one researcher's values today, this many researchers' values will change by the time AGI is developed.</t>
  </si>
  <si>
    <t>proportion of hedonium scenarios caused by making the FAI animal-friendly</t>
  </si>
  <si>
    <t>dolorium scenarios prevented</t>
  </si>
  <si>
    <t>factory farming scenarios prevented</t>
  </si>
  <si>
    <t>Perhaps this should follow Pareto dist? http://intelligence.org/files/PredictingAGI.pdf</t>
  </si>
  <si>
    <t>I don't know the right way to calculate this variance</t>
  </si>
  <si>
    <t>user input</t>
  </si>
  <si>
    <t>Outcomes in a column are conditional on outcomes to the left, e.g. P(we reduce WAS on balance) = D8*B8. I explain my reasoning here: http://mdickens.me/2016/04/17/preventing_human_extinction,_now_with_numbers!/</t>
  </si>
  <si>
    <t>http://globalprioritiesproject.org/2015/08/quantifyingaisafety/</t>
  </si>
  <si>
    <t>*includes direct effects only</t>
  </si>
  <si>
    <t>AMF*</t>
  </si>
  <si>
    <t>Deworming*</t>
  </si>
  <si>
    <t>Criminal Justice*</t>
  </si>
  <si>
    <t>Immigration*</t>
  </si>
  <si>
    <t>Land Use Reform*</t>
  </si>
  <si>
    <t>Macroeconomic Policy*</t>
  </si>
  <si>
    <t>Cage-Free Campaigns*</t>
  </si>
  <si>
    <t>Estimated by doubling the 80% CI given by http://www.animalcharityevaluators.org/research/interventions/impact-calculator/. Excludes shellfish.</t>
  </si>
  <si>
    <t>memetically relevant humans</t>
  </si>
  <si>
    <t>veg-years indirectly created per $1000</t>
  </si>
  <si>
    <t>veg-years directly created per $1000</t>
  </si>
  <si>
    <t>1/memetically relevant humans</t>
  </si>
  <si>
    <t>veg-years permanently created per $1000</t>
  </si>
  <si>
    <t>vegetarians per $1000</t>
  </si>
  <si>
    <t>Estimated by doubling the 80% CI for online ads from https://docs.google.com/spreadsheets/d/1YSkZDTWacpkmnZMdRsIMLuCOdIILNVmGTIQAomZDxD4</t>
  </si>
  <si>
    <t>https://docs.google.com/spreadsheets/d/1YSkZDTWacpkmnZMdRsIMLuCOdIILNVmGTIQAomZDxD4</t>
  </si>
  <si>
    <t>years spent being vegetarian</t>
  </si>
  <si>
    <t>vegetarian-years per $1000</t>
  </si>
  <si>
    <t>I suspect this is low-ish b/c cage-free has weaker memetic effects than vegetarianism</t>
  </si>
  <si>
    <t>values spreading effect of cage-free year vs vegetarian-year</t>
  </si>
  <si>
    <t>cage-free years per cage prevented</t>
  </si>
  <si>
    <t>veg-years per cage-free year</t>
  </si>
  <si>
    <t>http://www.unitedegg.org/GeneralStats/default.cfm</t>
  </si>
  <si>
    <t>Cage-Free</t>
  </si>
  <si>
    <t>For detailed explanations of everything, see http://mdickens.me/2016/05/17/quantifying_far_future_effects/</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</si>
</sst>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2"/>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6"/>
      <color theme="1"/>
      <name val="Calibri"/>
      <scheme val="minor"/>
    </font>
    <font>
      <sz val="12"/>
      <color rgb="FF000000"/>
      <name val="Calibri"/>
      <family val="2"/>
      <scheme val="minor"/>
    </font>
    <font>
      <sz val="12"/>
      <name val="Calibri"/>
      <scheme val="minor"/>
    </font>
    <font>
      <sz val="12"/>
      <color rgb="FFFF0000"/>
      <name val="Calibri"/>
      <family val="2"/>
      <scheme val="minor"/>
    </font>
    <font>
      <sz val="12"/>
      <color rgb="FFFF6600"/>
      <name val="Calibri"/>
      <scheme val="minor"/>
    </font>
  </fonts>
  <fills count="21">
    <fill>
      <patternFill patternType="none"/>
    </fill>
    <fill>
      <patternFill patternType="gray125"/>
    </fill>
    <fill>
      <patternFill patternType="solid">
        <fgColor theme="9" tint="0.59999389629810485"/>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C4BD97"/>
        <bgColor rgb="FF000000"/>
      </patternFill>
    </fill>
    <fill>
      <patternFill patternType="solid">
        <fgColor rgb="FFDDD9C4"/>
        <bgColor rgb="FF000000"/>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9"/>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7" tint="0.79998168889431442"/>
        <bgColor indexed="64"/>
      </patternFill>
    </fill>
  </fills>
  <borders count="4">
    <border>
      <left/>
      <right/>
      <top/>
      <bottom/>
      <diagonal/>
    </border>
    <border>
      <left/>
      <right/>
      <top/>
      <bottom style="thin">
        <color auto="1"/>
      </bottom>
      <diagonal/>
    </border>
    <border>
      <left/>
      <right/>
      <top style="thin">
        <color auto="1"/>
      </top>
      <bottom style="thin">
        <color auto="1"/>
      </bottom>
      <diagonal/>
    </border>
    <border>
      <left/>
      <right/>
      <top style="thin">
        <color auto="1"/>
      </top>
      <bottom/>
      <diagonal/>
    </border>
  </borders>
  <cellStyleXfs count="2150">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57">
    <xf numFmtId="0" fontId="0" fillId="0" borderId="0" xfId="0"/>
    <xf numFmtId="0" fontId="3" fillId="0" borderId="0" xfId="0" applyFont="1"/>
    <xf numFmtId="11" fontId="0" fillId="0" borderId="0" xfId="0" applyNumberFormat="1"/>
    <xf numFmtId="0" fontId="0" fillId="0" borderId="0" xfId="0" applyFill="1"/>
    <xf numFmtId="0" fontId="0" fillId="2" borderId="0" xfId="0" applyFill="1"/>
    <xf numFmtId="0" fontId="0" fillId="0" borderId="0" xfId="0" applyAlignment="1">
      <alignment wrapText="1"/>
    </xf>
    <xf numFmtId="0" fontId="4" fillId="0" borderId="0" xfId="0" applyFont="1"/>
    <xf numFmtId="0" fontId="5" fillId="0" borderId="0" xfId="0" applyFont="1"/>
    <xf numFmtId="0" fontId="0" fillId="0" borderId="0" xfId="0" applyFill="1" applyAlignment="1">
      <alignment wrapText="1"/>
    </xf>
    <xf numFmtId="11" fontId="0" fillId="0" borderId="0" xfId="0" applyNumberFormat="1" applyFill="1"/>
    <xf numFmtId="0" fontId="3" fillId="0" borderId="0" xfId="0" applyFont="1" applyAlignment="1">
      <alignment wrapText="1"/>
    </xf>
    <xf numFmtId="0" fontId="4" fillId="0" borderId="0" xfId="0" applyFont="1" applyAlignment="1"/>
    <xf numFmtId="0" fontId="0" fillId="0" borderId="0" xfId="0" applyAlignment="1"/>
    <xf numFmtId="0" fontId="3" fillId="0" borderId="0" xfId="0" applyFont="1" applyFill="1"/>
    <xf numFmtId="0" fontId="0" fillId="12" borderId="0" xfId="0" applyFill="1"/>
    <xf numFmtId="0" fontId="0" fillId="13" borderId="0" xfId="0" applyFill="1"/>
    <xf numFmtId="0" fontId="0" fillId="13" borderId="0" xfId="0" applyFill="1" applyAlignment="1">
      <alignment wrapText="1"/>
    </xf>
    <xf numFmtId="0" fontId="0" fillId="13" borderId="0" xfId="0" applyFont="1" applyFill="1" applyAlignment="1">
      <alignment wrapText="1"/>
    </xf>
    <xf numFmtId="0" fontId="0" fillId="15" borderId="0" xfId="0" applyFill="1"/>
    <xf numFmtId="0" fontId="0" fillId="16" borderId="0" xfId="0" applyFill="1"/>
    <xf numFmtId="0" fontId="0" fillId="16" borderId="0" xfId="0" applyFill="1" applyAlignment="1">
      <alignment horizontal="right"/>
    </xf>
    <xf numFmtId="0" fontId="0" fillId="0" borderId="0" xfId="0" applyFill="1" applyAlignment="1">
      <alignment horizontal="right"/>
    </xf>
    <xf numFmtId="0" fontId="3" fillId="0" borderId="0" xfId="0" applyFont="1" applyFill="1" applyAlignment="1">
      <alignment wrapText="1"/>
    </xf>
    <xf numFmtId="0" fontId="0" fillId="0" borderId="0" xfId="0" applyFont="1" applyFill="1" applyAlignment="1">
      <alignment wrapText="1"/>
    </xf>
    <xf numFmtId="0" fontId="0" fillId="17" borderId="0" xfId="0" applyFill="1"/>
    <xf numFmtId="0" fontId="0" fillId="0" borderId="0" xfId="0" applyFont="1" applyFill="1"/>
    <xf numFmtId="0" fontId="7" fillId="0" borderId="0" xfId="0" applyFont="1" applyFill="1"/>
    <xf numFmtId="0" fontId="0" fillId="15" borderId="0" xfId="0" applyFont="1" applyFill="1"/>
    <xf numFmtId="0" fontId="8" fillId="0" borderId="0" xfId="0" applyFont="1"/>
    <xf numFmtId="0" fontId="5" fillId="0" borderId="0" xfId="0" applyFont="1" applyFill="1"/>
    <xf numFmtId="0" fontId="0" fillId="19" borderId="0" xfId="0" applyFill="1"/>
    <xf numFmtId="0" fontId="0" fillId="20" borderId="0" xfId="0" applyFill="1"/>
    <xf numFmtId="0" fontId="4" fillId="0" borderId="0" xfId="0" applyFont="1" applyAlignment="1">
      <alignment wrapText="1"/>
    </xf>
    <xf numFmtId="0" fontId="0" fillId="14" borderId="0" xfId="0" applyFill="1" applyAlignment="1">
      <alignment wrapText="1"/>
    </xf>
    <xf numFmtId="0" fontId="0" fillId="0" borderId="0" xfId="0" applyBorder="1"/>
    <xf numFmtId="0" fontId="0" fillId="0" borderId="0" xfId="0" applyBorder="1" applyAlignment="1">
      <alignment wrapText="1"/>
    </xf>
    <xf numFmtId="0" fontId="0" fillId="15" borderId="0" xfId="0" applyFill="1" applyAlignment="1">
      <alignment wrapText="1"/>
    </xf>
    <xf numFmtId="0" fontId="0" fillId="14" borderId="0" xfId="0" applyFill="1" applyBorder="1" applyAlignment="1">
      <alignment wrapText="1"/>
    </xf>
    <xf numFmtId="0" fontId="0" fillId="2" borderId="0" xfId="0" applyFill="1" applyBorder="1"/>
    <xf numFmtId="0" fontId="0" fillId="0" borderId="0" xfId="0" applyAlignment="1">
      <alignment horizontal="left" vertical="center"/>
    </xf>
    <xf numFmtId="0" fontId="4" fillId="0" borderId="0" xfId="0" applyFont="1" applyAlignment="1">
      <alignment horizontal="left" vertical="center"/>
    </xf>
    <xf numFmtId="0" fontId="5" fillId="0" borderId="0" xfId="0" applyFont="1" applyAlignment="1">
      <alignment horizontal="left" vertical="center"/>
    </xf>
    <xf numFmtId="0" fontId="0" fillId="11" borderId="1" xfId="0" applyFill="1" applyBorder="1" applyAlignment="1">
      <alignment horizontal="center" vertical="center" wrapText="1"/>
    </xf>
    <xf numFmtId="0" fontId="0" fillId="8" borderId="1" xfId="0" applyFill="1" applyBorder="1" applyAlignment="1">
      <alignment horizontal="center" vertical="center"/>
    </xf>
    <xf numFmtId="0" fontId="0" fillId="0" borderId="0" xfId="0" applyAlignment="1">
      <alignment horizontal="center" vertical="center"/>
    </xf>
    <xf numFmtId="0" fontId="0" fillId="0" borderId="0" xfId="0" applyFill="1" applyAlignment="1">
      <alignment horizontal="center" vertical="center"/>
    </xf>
    <xf numFmtId="0" fontId="0" fillId="11" borderId="2" xfId="0" applyFill="1" applyBorder="1" applyAlignment="1">
      <alignment horizontal="center" vertical="center" wrapText="1"/>
    </xf>
    <xf numFmtId="0" fontId="0" fillId="8" borderId="2" xfId="0" applyFill="1" applyBorder="1" applyAlignment="1">
      <alignment horizontal="center" vertical="center"/>
    </xf>
    <xf numFmtId="0" fontId="4" fillId="0" borderId="0" xfId="0" applyFont="1" applyAlignment="1">
      <alignment horizontal="center" vertical="center"/>
    </xf>
    <xf numFmtId="11" fontId="0" fillId="0" borderId="0" xfId="0" applyNumberFormat="1" applyAlignment="1">
      <alignment horizontal="center" vertical="center"/>
    </xf>
    <xf numFmtId="11" fontId="0" fillId="8" borderId="1" xfId="0" applyNumberFormat="1" applyFill="1" applyBorder="1" applyAlignment="1">
      <alignment horizontal="center" vertical="center"/>
    </xf>
    <xf numFmtId="0" fontId="0" fillId="8" borderId="3" xfId="0" applyFill="1" applyBorder="1" applyAlignment="1">
      <alignment horizontal="center" vertical="center"/>
    </xf>
    <xf numFmtId="0" fontId="0" fillId="11" borderId="3" xfId="0" applyFill="1" applyBorder="1" applyAlignment="1">
      <alignment horizontal="center" vertical="center" wrapText="1"/>
    </xf>
    <xf numFmtId="0" fontId="3" fillId="0" borderId="0" xfId="0" applyFont="1" applyAlignment="1">
      <alignment horizontal="center" vertical="center"/>
    </xf>
    <xf numFmtId="0" fontId="5" fillId="0" borderId="0" xfId="0" applyFont="1" applyAlignment="1">
      <alignment horizontal="center" vertical="center"/>
    </xf>
    <xf numFmtId="0" fontId="0" fillId="0" borderId="0" xfId="0" applyFill="1" applyAlignment="1">
      <alignment horizontal="center" vertical="center" wrapText="1"/>
    </xf>
    <xf numFmtId="11" fontId="0" fillId="0" borderId="0" xfId="0" applyNumberFormat="1" applyFill="1" applyAlignment="1">
      <alignment horizontal="center" vertical="center"/>
    </xf>
    <xf numFmtId="0" fontId="0" fillId="0" borderId="0" xfId="0" applyAlignment="1">
      <alignment horizontal="center" vertical="center" wrapText="1"/>
    </xf>
    <xf numFmtId="0" fontId="0" fillId="14" borderId="0" xfId="0" applyFill="1" applyAlignment="1">
      <alignment horizontal="center" vertical="center"/>
    </xf>
    <xf numFmtId="0" fontId="0" fillId="15" borderId="0" xfId="0" applyFill="1" applyAlignment="1">
      <alignment horizontal="center" vertical="center"/>
    </xf>
    <xf numFmtId="0" fontId="0" fillId="13" borderId="0" xfId="0" applyFill="1" applyAlignment="1">
      <alignment horizontal="center" vertical="center"/>
    </xf>
    <xf numFmtId="0" fontId="6" fillId="19" borderId="0" xfId="0" applyFont="1" applyFill="1" applyAlignment="1">
      <alignment horizontal="center" vertical="center"/>
    </xf>
    <xf numFmtId="0" fontId="0" fillId="11" borderId="0" xfId="0" applyFill="1" applyAlignment="1">
      <alignment horizontal="center" vertical="center"/>
    </xf>
    <xf numFmtId="0" fontId="0" fillId="0" borderId="3" xfId="0" applyFill="1" applyBorder="1" applyAlignment="1">
      <alignment horizontal="center" vertical="center" wrapText="1"/>
    </xf>
    <xf numFmtId="0" fontId="0" fillId="11" borderId="0" xfId="0" applyFill="1" applyBorder="1" applyAlignment="1">
      <alignment horizontal="center" vertical="center" wrapText="1"/>
    </xf>
    <xf numFmtId="0" fontId="0" fillId="8" borderId="0" xfId="0" applyFill="1" applyBorder="1" applyAlignment="1">
      <alignment horizontal="center" vertical="center"/>
    </xf>
    <xf numFmtId="0" fontId="0" fillId="11" borderId="0" xfId="0" applyFill="1" applyBorder="1" applyAlignment="1">
      <alignment horizontal="center" vertical="center"/>
    </xf>
    <xf numFmtId="0" fontId="0" fillId="4" borderId="0" xfId="0" applyFill="1" applyBorder="1" applyAlignment="1">
      <alignment horizontal="center" vertical="center" wrapText="1"/>
    </xf>
    <xf numFmtId="11" fontId="0" fillId="3" borderId="0" xfId="0" applyNumberFormat="1" applyFill="1" applyBorder="1" applyAlignment="1">
      <alignment horizontal="center" vertical="center"/>
    </xf>
    <xf numFmtId="0" fontId="5" fillId="9" borderId="0" xfId="0" applyFont="1" applyFill="1" applyBorder="1" applyAlignment="1">
      <alignment horizontal="center" vertical="center" wrapText="1"/>
    </xf>
    <xf numFmtId="11" fontId="5" fillId="10" borderId="0" xfId="0" applyNumberFormat="1" applyFont="1" applyFill="1" applyBorder="1" applyAlignment="1">
      <alignment horizontal="center" vertical="center"/>
    </xf>
    <xf numFmtId="0" fontId="0" fillId="2" borderId="0" xfId="0" applyFill="1" applyBorder="1" applyAlignment="1">
      <alignment horizontal="center" vertical="center"/>
    </xf>
    <xf numFmtId="0" fontId="0" fillId="5" borderId="0" xfId="0" applyFill="1" applyBorder="1" applyAlignment="1">
      <alignment horizontal="center" vertical="center"/>
    </xf>
    <xf numFmtId="0" fontId="0" fillId="0" borderId="0" xfId="0" applyBorder="1" applyAlignment="1">
      <alignment horizontal="left" vertical="center"/>
    </xf>
    <xf numFmtId="0" fontId="0" fillId="0" borderId="0" xfId="0" applyBorder="1" applyAlignment="1">
      <alignment horizontal="center" vertical="center"/>
    </xf>
    <xf numFmtId="11" fontId="0" fillId="5" borderId="0" xfId="0" applyNumberFormat="1" applyFill="1" applyBorder="1" applyAlignment="1">
      <alignment horizontal="center" vertical="center"/>
    </xf>
    <xf numFmtId="0" fontId="4" fillId="0" borderId="0" xfId="0" applyFont="1" applyBorder="1"/>
    <xf numFmtId="0" fontId="0" fillId="7" borderId="0" xfId="0" applyFill="1" applyBorder="1" applyAlignment="1">
      <alignment horizontal="center" vertical="center" wrapText="1"/>
    </xf>
    <xf numFmtId="0" fontId="0" fillId="6" borderId="0" xfId="0" applyFill="1" applyBorder="1" applyAlignment="1">
      <alignment horizontal="center" vertical="center" wrapText="1"/>
    </xf>
    <xf numFmtId="0" fontId="0" fillId="0" borderId="0" xfId="0" applyBorder="1" applyAlignment="1">
      <alignment horizontal="center" vertical="center" wrapText="1"/>
    </xf>
    <xf numFmtId="0" fontId="0" fillId="0" borderId="0" xfId="0" applyFill="1" applyBorder="1" applyAlignment="1">
      <alignment horizontal="center" vertical="center" wrapText="1"/>
    </xf>
    <xf numFmtId="11" fontId="0" fillId="6" borderId="0" xfId="0" applyNumberFormat="1" applyFill="1" applyBorder="1" applyAlignment="1">
      <alignment horizontal="center" vertical="center" wrapText="1"/>
    </xf>
    <xf numFmtId="0" fontId="0" fillId="0" borderId="0" xfId="0" applyBorder="1" applyAlignment="1">
      <alignment horizontal="left"/>
    </xf>
    <xf numFmtId="0" fontId="0" fillId="8" borderId="1" xfId="0" applyNumberFormat="1" applyFill="1" applyBorder="1" applyAlignment="1">
      <alignment horizontal="center" vertical="center"/>
    </xf>
    <xf numFmtId="0" fontId="0" fillId="8" borderId="2" xfId="0" applyNumberFormat="1" applyFill="1" applyBorder="1" applyAlignment="1">
      <alignment horizontal="center" vertical="center"/>
    </xf>
    <xf numFmtId="0" fontId="0" fillId="0" borderId="2" xfId="0" applyBorder="1" applyAlignment="1">
      <alignment horizontal="center" vertical="center" wrapText="1"/>
    </xf>
    <xf numFmtId="0" fontId="0" fillId="0" borderId="2" xfId="0" applyBorder="1" applyAlignment="1">
      <alignment horizontal="center" vertical="center"/>
    </xf>
    <xf numFmtId="0" fontId="0" fillId="0" borderId="2" xfId="0" applyFill="1" applyBorder="1" applyAlignment="1">
      <alignment horizontal="center" vertical="center" wrapText="1"/>
    </xf>
    <xf numFmtId="0" fontId="0" fillId="0" borderId="3" xfId="0" applyBorder="1" applyAlignment="1">
      <alignment horizontal="center" vertical="center"/>
    </xf>
    <xf numFmtId="11" fontId="0" fillId="0" borderId="2" xfId="0" applyNumberFormat="1" applyBorder="1" applyAlignment="1">
      <alignment horizontal="center" vertical="center"/>
    </xf>
    <xf numFmtId="0" fontId="0" fillId="0" borderId="3" xfId="0" applyBorder="1" applyAlignment="1">
      <alignment horizontal="center" vertical="center" wrapText="1"/>
    </xf>
    <xf numFmtId="0" fontId="0" fillId="11" borderId="0" xfId="0" applyFill="1" applyAlignment="1">
      <alignment horizontal="center" vertical="center" wrapText="1"/>
    </xf>
    <xf numFmtId="0" fontId="0" fillId="8" borderId="0" xfId="0" applyFill="1" applyAlignment="1">
      <alignment horizontal="center" vertical="center"/>
    </xf>
    <xf numFmtId="0" fontId="4" fillId="0" borderId="0" xfId="0" applyFont="1" applyBorder="1" applyAlignment="1">
      <alignment horizontal="left"/>
    </xf>
    <xf numFmtId="0" fontId="0" fillId="11" borderId="1" xfId="0" applyFont="1" applyFill="1" applyBorder="1" applyAlignment="1">
      <alignment horizontal="center" vertical="center" wrapText="1"/>
    </xf>
    <xf numFmtId="0" fontId="0" fillId="11" borderId="2" xfId="0" applyFont="1" applyFill="1" applyBorder="1" applyAlignment="1">
      <alignment horizontal="center" vertical="center" wrapText="1"/>
    </xf>
    <xf numFmtId="0" fontId="0" fillId="14" borderId="0" xfId="0" applyFill="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left" vertical="top" wrapText="1"/>
    </xf>
    <xf numFmtId="0" fontId="3" fillId="0" borderId="0" xfId="0" applyFont="1" applyAlignment="1">
      <alignment horizontal="left" wrapText="1"/>
    </xf>
    <xf numFmtId="0" fontId="0" fillId="18" borderId="0" xfId="0" applyFill="1" applyAlignment="1">
      <alignment wrapText="1"/>
    </xf>
    <xf numFmtId="0" fontId="6" fillId="11" borderId="2" xfId="0" applyFont="1" applyFill="1" applyBorder="1" applyAlignment="1">
      <alignment horizontal="center" vertical="center" wrapText="1"/>
    </xf>
    <xf numFmtId="0" fontId="6" fillId="8" borderId="2" xfId="0" applyFont="1" applyFill="1" applyBorder="1" applyAlignment="1">
      <alignment horizontal="center" vertical="center"/>
    </xf>
    <xf numFmtId="0" fontId="0" fillId="0" borderId="0" xfId="0" applyAlignment="1">
      <alignment vertical="center"/>
    </xf>
    <xf numFmtId="0" fontId="6" fillId="0" borderId="0" xfId="0" applyFont="1" applyAlignment="1">
      <alignment horizontal="center" vertical="center"/>
    </xf>
    <xf numFmtId="0" fontId="6" fillId="0"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3" xfId="0" applyNumberFormat="1" applyFill="1" applyBorder="1" applyAlignment="1">
      <alignment horizontal="center" vertical="center"/>
    </xf>
    <xf numFmtId="11" fontId="0" fillId="8" borderId="0" xfId="0" applyNumberFormat="1" applyFill="1" applyAlignment="1">
      <alignment horizontal="center" vertical="center"/>
    </xf>
    <xf numFmtId="0" fontId="0" fillId="5" borderId="0" xfId="0" applyNumberFormat="1" applyFill="1" applyBorder="1" applyAlignment="1">
      <alignment horizontal="center" vertical="center"/>
    </xf>
    <xf numFmtId="0" fontId="5" fillId="0" borderId="0" xfId="0" applyFont="1" applyAlignment="1">
      <alignment wrapText="1"/>
    </xf>
    <xf numFmtId="0" fontId="0" fillId="12" borderId="0" xfId="0" applyFill="1" applyAlignment="1">
      <alignment wrapText="1"/>
    </xf>
    <xf numFmtId="0" fontId="0" fillId="0" borderId="2" xfId="0" applyBorder="1"/>
    <xf numFmtId="0" fontId="0" fillId="0" borderId="2" xfId="0" applyBorder="1" applyAlignment="1">
      <alignment wrapText="1"/>
    </xf>
    <xf numFmtId="0" fontId="0" fillId="20" borderId="2" xfId="0" applyFill="1" applyBorder="1" applyAlignment="1">
      <alignment horizontal="center" vertical="center"/>
    </xf>
    <xf numFmtId="0" fontId="0" fillId="19" borderId="2" xfId="0" applyFill="1" applyBorder="1" applyAlignment="1">
      <alignment horizontal="center" vertical="center" wrapText="1"/>
    </xf>
    <xf numFmtId="0" fontId="0" fillId="0" borderId="3" xfId="0" applyFill="1" applyBorder="1" applyAlignment="1">
      <alignment vertical="center" wrapText="1"/>
    </xf>
    <xf numFmtId="0" fontId="0" fillId="0" borderId="0" xfId="0" applyFill="1" applyAlignment="1"/>
    <xf numFmtId="0" fontId="0" fillId="0" borderId="0" xfId="0" applyAlignment="1">
      <alignment vertical="center" wrapText="1"/>
    </xf>
    <xf numFmtId="0" fontId="0" fillId="0" borderId="0" xfId="0" applyBorder="1" applyAlignment="1">
      <alignment vertical="center"/>
    </xf>
    <xf numFmtId="0" fontId="1" fillId="0" borderId="0" xfId="2019" applyFill="1" applyAlignment="1">
      <alignment vertical="center"/>
    </xf>
    <xf numFmtId="0" fontId="3" fillId="0" borderId="0" xfId="0" applyFont="1" applyFill="1" applyAlignment="1"/>
    <xf numFmtId="0" fontId="0" fillId="12" borderId="0" xfId="0" applyFill="1" applyAlignment="1"/>
    <xf numFmtId="0" fontId="0" fillId="13" borderId="0" xfId="0" applyFill="1" applyAlignment="1"/>
    <xf numFmtId="0" fontId="0" fillId="20" borderId="0" xfId="0" applyFill="1" applyAlignment="1"/>
    <xf numFmtId="0" fontId="0" fillId="19" borderId="0" xfId="0" applyFill="1" applyAlignment="1"/>
    <xf numFmtId="0" fontId="0" fillId="0" borderId="0" xfId="0" applyFill="1" applyBorder="1" applyAlignment="1">
      <alignment horizontal="left" vertical="center"/>
    </xf>
    <xf numFmtId="0" fontId="0" fillId="0" borderId="0" xfId="0" applyAlignment="1">
      <alignment horizontal="left"/>
    </xf>
    <xf numFmtId="0" fontId="4" fillId="0" borderId="0" xfId="0" applyFont="1" applyAlignment="1">
      <alignment horizontal="center" wrapText="1"/>
    </xf>
    <xf numFmtId="0" fontId="0" fillId="0" borderId="0" xfId="0" applyAlignment="1">
      <alignment horizontal="center"/>
    </xf>
    <xf numFmtId="0" fontId="0" fillId="0" borderId="0" xfId="0" applyAlignment="1">
      <alignment horizontal="center" wrapText="1"/>
    </xf>
    <xf numFmtId="11" fontId="0" fillId="0" borderId="2" xfId="0" applyNumberFormat="1" applyFill="1" applyBorder="1" applyAlignment="1">
      <alignment vertical="center"/>
    </xf>
    <xf numFmtId="0" fontId="0" fillId="8" borderId="2" xfId="0" applyFill="1" applyBorder="1" applyAlignment="1">
      <alignment vertical="center"/>
    </xf>
    <xf numFmtId="0" fontId="0" fillId="0" borderId="3" xfId="0" applyBorder="1" applyAlignment="1">
      <alignment vertical="center"/>
    </xf>
    <xf numFmtId="0" fontId="0" fillId="13" borderId="0" xfId="0" applyFill="1" applyAlignment="1">
      <alignment horizontal="left"/>
    </xf>
    <xf numFmtId="0" fontId="0" fillId="15" borderId="0" xfId="0" applyFill="1" applyAlignment="1">
      <alignment horizontal="left"/>
    </xf>
    <xf numFmtId="0" fontId="0" fillId="8" borderId="1" xfId="0" applyNumberFormat="1" applyFill="1" applyBorder="1" applyAlignment="1">
      <alignment vertical="center"/>
    </xf>
    <xf numFmtId="0" fontId="0" fillId="8" borderId="2" xfId="0" applyNumberFormat="1" applyFill="1" applyBorder="1" applyAlignment="1">
      <alignment vertical="center"/>
    </xf>
    <xf numFmtId="0" fontId="0" fillId="0" borderId="0" xfId="0" applyNumberFormat="1" applyFill="1" applyBorder="1" applyAlignment="1">
      <alignment horizontal="center" vertical="center" wrapText="1"/>
    </xf>
    <xf numFmtId="0" fontId="0" fillId="0" borderId="0" xfId="0" applyFont="1" applyFill="1" applyBorder="1" applyAlignment="1">
      <alignment horizontal="center" vertical="center" wrapText="1"/>
    </xf>
    <xf numFmtId="0" fontId="0" fillId="2" borderId="0" xfId="0" applyFill="1" applyAlignment="1">
      <alignment horizontal="center" vertical="center"/>
    </xf>
    <xf numFmtId="0" fontId="0" fillId="8" borderId="0" xfId="0" applyNumberFormat="1" applyFill="1" applyBorder="1" applyAlignment="1">
      <alignment horizontal="center" vertical="center" wrapText="1"/>
    </xf>
    <xf numFmtId="0" fontId="5" fillId="0" borderId="0" xfId="0" applyFont="1" applyAlignment="1">
      <alignment vertical="center"/>
    </xf>
    <xf numFmtId="0" fontId="0" fillId="0" borderId="0" xfId="0" applyFill="1" applyAlignment="1">
      <alignment vertical="center"/>
    </xf>
    <xf numFmtId="0" fontId="6" fillId="7" borderId="0" xfId="0" applyFont="1" applyFill="1" applyAlignment="1">
      <alignment horizontal="center" vertical="center"/>
    </xf>
    <xf numFmtId="0" fontId="0" fillId="4" borderId="0" xfId="0" applyFill="1" applyAlignment="1">
      <alignment horizontal="center" vertical="center"/>
    </xf>
    <xf numFmtId="0" fontId="0" fillId="0" borderId="2" xfId="0" applyNumberFormat="1" applyFill="1" applyBorder="1" applyAlignment="1">
      <alignment horizontal="center" vertical="center"/>
    </xf>
    <xf numFmtId="11" fontId="0" fillId="8" borderId="2" xfId="0" applyNumberFormat="1" applyFill="1" applyBorder="1" applyAlignment="1">
      <alignment horizontal="center" vertical="center"/>
    </xf>
    <xf numFmtId="0" fontId="0" fillId="0" borderId="2" xfId="0" applyBorder="1" applyAlignment="1">
      <alignment horizontal="left"/>
    </xf>
    <xf numFmtId="0" fontId="5" fillId="0" borderId="2" xfId="0" applyFont="1" applyBorder="1" applyAlignment="1">
      <alignment horizontal="center" vertical="center" wrapText="1"/>
    </xf>
    <xf numFmtId="11" fontId="5" fillId="0" borderId="2" xfId="0" applyNumberFormat="1" applyFont="1" applyBorder="1" applyAlignment="1">
      <alignment horizontal="center" vertical="center"/>
    </xf>
    <xf numFmtId="0" fontId="0" fillId="8" borderId="0" xfId="0" applyFill="1" applyBorder="1" applyAlignment="1">
      <alignment vertical="center"/>
    </xf>
    <xf numFmtId="0" fontId="0" fillId="11" borderId="0" xfId="0" applyFill="1" applyAlignment="1">
      <alignment horizontal="center" wrapText="1"/>
    </xf>
    <xf numFmtId="0" fontId="0" fillId="8" borderId="3" xfId="0" applyFill="1" applyBorder="1" applyAlignment="1">
      <alignment vertical="center"/>
    </xf>
    <xf numFmtId="11" fontId="0" fillId="8" borderId="0" xfId="0" applyNumberFormat="1" applyFill="1" applyBorder="1" applyAlignment="1">
      <alignment horizontal="center" vertical="center"/>
    </xf>
    <xf numFmtId="11" fontId="0" fillId="16" borderId="0" xfId="0" applyNumberFormat="1" applyFill="1"/>
    <xf numFmtId="11" fontId="0" fillId="0" borderId="0" xfId="0" applyNumberFormat="1" applyFill="1" applyAlignment="1">
      <alignment wrapText="1"/>
    </xf>
  </cellXfs>
  <cellStyles count="215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2" builtinId="9" hidden="1"/>
    <cellStyle name="Followed Hyperlink" xfId="974" builtinId="9" hidden="1"/>
    <cellStyle name="Followed Hyperlink" xfId="976" builtinId="9" hidden="1"/>
    <cellStyle name="Followed Hyperlink" xfId="978" builtinId="9" hidden="1"/>
    <cellStyle name="Followed Hyperlink" xfId="980" builtinId="9" hidden="1"/>
    <cellStyle name="Followed Hyperlink" xfId="982" builtinId="9" hidden="1"/>
    <cellStyle name="Followed Hyperlink" xfId="984" builtinId="9" hidden="1"/>
    <cellStyle name="Followed Hyperlink" xfId="986" builtinId="9" hidden="1"/>
    <cellStyle name="Followed Hyperlink" xfId="988" builtinId="9" hidden="1"/>
    <cellStyle name="Followed Hyperlink" xfId="990" builtinId="9" hidden="1"/>
    <cellStyle name="Followed Hyperlink" xfId="992" builtinId="9" hidden="1"/>
    <cellStyle name="Followed Hyperlink" xfId="994" builtinId="9" hidden="1"/>
    <cellStyle name="Followed Hyperlink" xfId="996" builtinId="9" hidden="1"/>
    <cellStyle name="Followed Hyperlink" xfId="998" builtinId="9" hidden="1"/>
    <cellStyle name="Followed Hyperlink" xfId="1000" builtinId="9" hidden="1"/>
    <cellStyle name="Followed Hyperlink" xfId="1002" builtinId="9" hidden="1"/>
    <cellStyle name="Followed Hyperlink" xfId="1004" builtinId="9" hidden="1"/>
    <cellStyle name="Followed Hyperlink" xfId="1006" builtinId="9" hidden="1"/>
    <cellStyle name="Followed Hyperlink" xfId="1008" builtinId="9" hidden="1"/>
    <cellStyle name="Followed Hyperlink" xfId="1010" builtinId="9" hidden="1"/>
    <cellStyle name="Followed Hyperlink" xfId="1012" builtinId="9" hidden="1"/>
    <cellStyle name="Followed Hyperlink" xfId="1014" builtinId="9" hidden="1"/>
    <cellStyle name="Followed Hyperlink" xfId="1016" builtinId="9" hidden="1"/>
    <cellStyle name="Followed Hyperlink" xfId="1018" builtinId="9" hidden="1"/>
    <cellStyle name="Followed Hyperlink" xfId="1020" builtinId="9" hidden="1"/>
    <cellStyle name="Followed Hyperlink" xfId="1022" builtinId="9" hidden="1"/>
    <cellStyle name="Followed Hyperlink" xfId="1024" builtinId="9" hidden="1"/>
    <cellStyle name="Followed Hyperlink" xfId="1026" builtinId="9" hidden="1"/>
    <cellStyle name="Followed Hyperlink" xfId="1028" builtinId="9" hidden="1"/>
    <cellStyle name="Followed Hyperlink" xfId="1030" builtinId="9" hidden="1"/>
    <cellStyle name="Followed Hyperlink" xfId="1032" builtinId="9" hidden="1"/>
    <cellStyle name="Followed Hyperlink" xfId="1034" builtinId="9" hidden="1"/>
    <cellStyle name="Followed Hyperlink" xfId="1036" builtinId="9" hidden="1"/>
    <cellStyle name="Followed Hyperlink" xfId="1038" builtinId="9" hidden="1"/>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xfId="1058" builtinId="9" hidden="1"/>
    <cellStyle name="Followed Hyperlink" xfId="1060" builtinId="9" hidden="1"/>
    <cellStyle name="Followed Hyperlink" xfId="1062" builtinId="9" hidden="1"/>
    <cellStyle name="Followed Hyperlink" xfId="1064" builtinId="9" hidden="1"/>
    <cellStyle name="Followed Hyperlink" xfId="1066" builtinId="9" hidden="1"/>
    <cellStyle name="Followed Hyperlink" xfId="1068" builtinId="9" hidden="1"/>
    <cellStyle name="Followed Hyperlink" xfId="1070" builtinId="9" hidden="1"/>
    <cellStyle name="Followed Hyperlink" xfId="1072" builtinId="9" hidden="1"/>
    <cellStyle name="Followed Hyperlink" xfId="1074" builtinId="9" hidden="1"/>
    <cellStyle name="Followed Hyperlink" xfId="1076" builtinId="9" hidden="1"/>
    <cellStyle name="Followed Hyperlink" xfId="1078" builtinId="9" hidden="1"/>
    <cellStyle name="Followed Hyperlink" xfId="1080" builtinId="9" hidden="1"/>
    <cellStyle name="Followed Hyperlink" xfId="1082" builtinId="9" hidden="1"/>
    <cellStyle name="Followed Hyperlink" xfId="1084" builtinId="9" hidden="1"/>
    <cellStyle name="Followed Hyperlink" xfId="1086" builtinId="9" hidden="1"/>
    <cellStyle name="Followed Hyperlink" xfId="1088" builtinId="9" hidden="1"/>
    <cellStyle name="Followed Hyperlink" xfId="1090" builtinId="9" hidden="1"/>
    <cellStyle name="Followed Hyperlink" xfId="1092" builtinId="9" hidden="1"/>
    <cellStyle name="Followed Hyperlink" xfId="1094" builtinId="9" hidden="1"/>
    <cellStyle name="Followed Hyperlink" xfId="1096" builtinId="9" hidden="1"/>
    <cellStyle name="Followed Hyperlink" xfId="1098" builtinId="9" hidden="1"/>
    <cellStyle name="Followed Hyperlink" xfId="1100" builtinId="9" hidden="1"/>
    <cellStyle name="Followed Hyperlink" xfId="1102" builtinId="9" hidden="1"/>
    <cellStyle name="Followed Hyperlink" xfId="1104" builtinId="9" hidden="1"/>
    <cellStyle name="Followed Hyperlink" xfId="1106" builtinId="9" hidden="1"/>
    <cellStyle name="Followed Hyperlink" xfId="1108" builtinId="9" hidden="1"/>
    <cellStyle name="Followed Hyperlink" xfId="1110" builtinId="9" hidden="1"/>
    <cellStyle name="Followed Hyperlink" xfId="1112" builtinId="9" hidden="1"/>
    <cellStyle name="Followed Hyperlink" xfId="1114" builtinId="9" hidden="1"/>
    <cellStyle name="Followed Hyperlink" xfId="1116" builtinId="9" hidden="1"/>
    <cellStyle name="Followed Hyperlink" xfId="1118" builtinId="9" hidden="1"/>
    <cellStyle name="Followed Hyperlink" xfId="1120" builtinId="9" hidden="1"/>
    <cellStyle name="Followed Hyperlink" xfId="1122" builtinId="9" hidden="1"/>
    <cellStyle name="Followed Hyperlink" xfId="1124" builtinId="9" hidden="1"/>
    <cellStyle name="Followed Hyperlink" xfId="1126" builtinId="9" hidden="1"/>
    <cellStyle name="Followed Hyperlink" xfId="1128" builtinId="9" hidden="1"/>
    <cellStyle name="Followed Hyperlink" xfId="1130" builtinId="9" hidden="1"/>
    <cellStyle name="Followed Hyperlink" xfId="1132" builtinId="9" hidden="1"/>
    <cellStyle name="Followed Hyperlink" xfId="1134" builtinId="9" hidden="1"/>
    <cellStyle name="Followed Hyperlink" xfId="1136" builtinId="9" hidden="1"/>
    <cellStyle name="Followed Hyperlink" xfId="1138" builtinId="9" hidden="1"/>
    <cellStyle name="Followed Hyperlink" xfId="1140" builtinId="9" hidden="1"/>
    <cellStyle name="Followed Hyperlink" xfId="1142" builtinId="9" hidden="1"/>
    <cellStyle name="Followed Hyperlink" xfId="1144" builtinId="9" hidden="1"/>
    <cellStyle name="Followed Hyperlink" xfId="1146" builtinId="9" hidden="1"/>
    <cellStyle name="Followed Hyperlink" xfId="1148" builtinId="9" hidden="1"/>
    <cellStyle name="Followed Hyperlink" xfId="1150" builtinId="9" hidden="1"/>
    <cellStyle name="Followed Hyperlink" xfId="1152" builtinId="9" hidden="1"/>
    <cellStyle name="Followed Hyperlink" xfId="1154" builtinId="9" hidden="1"/>
    <cellStyle name="Followed Hyperlink" xfId="1156" builtinId="9" hidden="1"/>
    <cellStyle name="Followed Hyperlink" xfId="1158" builtinId="9" hidden="1"/>
    <cellStyle name="Followed Hyperlink" xfId="1160" builtinId="9" hidden="1"/>
    <cellStyle name="Followed Hyperlink" xfId="1162" builtinId="9" hidden="1"/>
    <cellStyle name="Followed Hyperlink" xfId="1164" builtinId="9" hidden="1"/>
    <cellStyle name="Followed Hyperlink" xfId="1166" builtinId="9" hidden="1"/>
    <cellStyle name="Followed Hyperlink" xfId="1168" builtinId="9" hidden="1"/>
    <cellStyle name="Followed Hyperlink" xfId="1170" builtinId="9" hidden="1"/>
    <cellStyle name="Followed Hyperlink" xfId="1172" builtinId="9" hidden="1"/>
    <cellStyle name="Followed Hyperlink" xfId="1174" builtinId="9" hidden="1"/>
    <cellStyle name="Followed Hyperlink" xfId="1176" builtinId="9" hidden="1"/>
    <cellStyle name="Followed Hyperlink" xfId="1178" builtinId="9" hidden="1"/>
    <cellStyle name="Followed Hyperlink" xfId="1180" builtinId="9" hidden="1"/>
    <cellStyle name="Followed Hyperlink" xfId="1182" builtinId="9" hidden="1"/>
    <cellStyle name="Followed Hyperlink" xfId="1184" builtinId="9" hidden="1"/>
    <cellStyle name="Followed Hyperlink" xfId="1186" builtinId="9" hidden="1"/>
    <cellStyle name="Followed Hyperlink" xfId="1188" builtinId="9" hidden="1"/>
    <cellStyle name="Followed Hyperlink" xfId="1190" builtinId="9" hidden="1"/>
    <cellStyle name="Followed Hyperlink" xfId="1192" builtinId="9" hidden="1"/>
    <cellStyle name="Followed Hyperlink" xfId="1194" builtinId="9" hidden="1"/>
    <cellStyle name="Followed Hyperlink" xfId="1196" builtinId="9" hidden="1"/>
    <cellStyle name="Followed Hyperlink" xfId="1198" builtinId="9" hidden="1"/>
    <cellStyle name="Followed Hyperlink" xfId="1200" builtinId="9" hidden="1"/>
    <cellStyle name="Followed Hyperlink" xfId="1202" builtinId="9" hidden="1"/>
    <cellStyle name="Followed Hyperlink" xfId="1204" builtinId="9" hidden="1"/>
    <cellStyle name="Followed Hyperlink" xfId="1206" builtinId="9" hidden="1"/>
    <cellStyle name="Followed Hyperlink" xfId="1208" builtinId="9" hidden="1"/>
    <cellStyle name="Followed Hyperlink" xfId="1210" builtinId="9" hidden="1"/>
    <cellStyle name="Followed Hyperlink" xfId="1212" builtinId="9" hidden="1"/>
    <cellStyle name="Followed Hyperlink" xfId="1214" builtinId="9" hidden="1"/>
    <cellStyle name="Followed Hyperlink" xfId="1216" builtinId="9" hidden="1"/>
    <cellStyle name="Followed Hyperlink" xfId="1218" builtinId="9" hidden="1"/>
    <cellStyle name="Followed Hyperlink" xfId="1220" builtinId="9" hidden="1"/>
    <cellStyle name="Followed Hyperlink" xfId="1222" builtinId="9" hidden="1"/>
    <cellStyle name="Followed Hyperlink" xfId="1224" builtinId="9" hidden="1"/>
    <cellStyle name="Followed Hyperlink" xfId="1226" builtinId="9" hidden="1"/>
    <cellStyle name="Followed Hyperlink" xfId="1228" builtinId="9" hidden="1"/>
    <cellStyle name="Followed Hyperlink" xfId="1230" builtinId="9" hidden="1"/>
    <cellStyle name="Followed Hyperlink" xfId="1232" builtinId="9" hidden="1"/>
    <cellStyle name="Followed Hyperlink" xfId="1234" builtinId="9" hidden="1"/>
    <cellStyle name="Followed Hyperlink" xfId="1236" builtinId="9" hidden="1"/>
    <cellStyle name="Followed Hyperlink" xfId="1238" builtinId="9" hidden="1"/>
    <cellStyle name="Followed Hyperlink" xfId="1240" builtinId="9" hidden="1"/>
    <cellStyle name="Followed Hyperlink" xfId="1242" builtinId="9" hidden="1"/>
    <cellStyle name="Followed Hyperlink" xfId="1244" builtinId="9" hidden="1"/>
    <cellStyle name="Followed Hyperlink" xfId="1246" builtinId="9" hidden="1"/>
    <cellStyle name="Followed Hyperlink" xfId="1248" builtinId="9" hidden="1"/>
    <cellStyle name="Followed Hyperlink" xfId="1250" builtinId="9" hidden="1"/>
    <cellStyle name="Followed Hyperlink" xfId="1252" builtinId="9" hidden="1"/>
    <cellStyle name="Followed Hyperlink" xfId="1254" builtinId="9" hidden="1"/>
    <cellStyle name="Followed Hyperlink" xfId="1256" builtinId="9" hidden="1"/>
    <cellStyle name="Followed Hyperlink" xfId="1258" builtinId="9" hidden="1"/>
    <cellStyle name="Followed Hyperlink" xfId="1260" builtinId="9" hidden="1"/>
    <cellStyle name="Followed Hyperlink" xfId="1262" builtinId="9" hidden="1"/>
    <cellStyle name="Followed Hyperlink" xfId="1264" builtinId="9" hidden="1"/>
    <cellStyle name="Followed Hyperlink" xfId="1266" builtinId="9" hidden="1"/>
    <cellStyle name="Followed Hyperlink" xfId="1268" builtinId="9" hidden="1"/>
    <cellStyle name="Followed Hyperlink" xfId="1270" builtinId="9" hidden="1"/>
    <cellStyle name="Followed Hyperlink" xfId="1272" builtinId="9" hidden="1"/>
    <cellStyle name="Followed Hyperlink" xfId="1274" builtinId="9" hidden="1"/>
    <cellStyle name="Followed Hyperlink" xfId="1276" builtinId="9" hidden="1"/>
    <cellStyle name="Followed Hyperlink" xfId="1278" builtinId="9" hidden="1"/>
    <cellStyle name="Followed Hyperlink" xfId="1280" builtinId="9" hidden="1"/>
    <cellStyle name="Followed Hyperlink" xfId="1282" builtinId="9" hidden="1"/>
    <cellStyle name="Followed Hyperlink" xfId="1284" builtinId="9" hidden="1"/>
    <cellStyle name="Followed Hyperlink" xfId="1286" builtinId="9" hidden="1"/>
    <cellStyle name="Followed Hyperlink" xfId="1288" builtinId="9" hidden="1"/>
    <cellStyle name="Followed Hyperlink" xfId="1290" builtinId="9" hidden="1"/>
    <cellStyle name="Followed Hyperlink" xfId="1292" builtinId="9" hidden="1"/>
    <cellStyle name="Followed Hyperlink" xfId="1294" builtinId="9" hidden="1"/>
    <cellStyle name="Followed Hyperlink" xfId="1296" builtinId="9" hidden="1"/>
    <cellStyle name="Followed Hyperlink" xfId="1298" builtinId="9" hidden="1"/>
    <cellStyle name="Followed Hyperlink" xfId="1300" builtinId="9" hidden="1"/>
    <cellStyle name="Followed Hyperlink" xfId="1302" builtinId="9" hidden="1"/>
    <cellStyle name="Followed Hyperlink" xfId="1304" builtinId="9" hidden="1"/>
    <cellStyle name="Followed Hyperlink" xfId="1306" builtinId="9" hidden="1"/>
    <cellStyle name="Followed Hyperlink" xfId="1308" builtinId="9" hidden="1"/>
    <cellStyle name="Followed Hyperlink" xfId="1310" builtinId="9" hidden="1"/>
    <cellStyle name="Followed Hyperlink" xfId="1312" builtinId="9" hidden="1"/>
    <cellStyle name="Followed Hyperlink" xfId="1314" builtinId="9" hidden="1"/>
    <cellStyle name="Followed Hyperlink" xfId="1316" builtinId="9" hidden="1"/>
    <cellStyle name="Followed Hyperlink" xfId="1318" builtinId="9" hidden="1"/>
    <cellStyle name="Followed Hyperlink" xfId="1320" builtinId="9" hidden="1"/>
    <cellStyle name="Followed Hyperlink" xfId="1322" builtinId="9" hidden="1"/>
    <cellStyle name="Followed Hyperlink" xfId="1324" builtinId="9" hidden="1"/>
    <cellStyle name="Followed Hyperlink" xfId="1326" builtinId="9" hidden="1"/>
    <cellStyle name="Followed Hyperlink" xfId="1328" builtinId="9" hidden="1"/>
    <cellStyle name="Followed Hyperlink" xfId="1330" builtinId="9" hidden="1"/>
    <cellStyle name="Followed Hyperlink" xfId="1332" builtinId="9" hidden="1"/>
    <cellStyle name="Followed Hyperlink" xfId="1334" builtinId="9" hidden="1"/>
    <cellStyle name="Followed Hyperlink" xfId="1336" builtinId="9" hidden="1"/>
    <cellStyle name="Followed Hyperlink" xfId="1338" builtinId="9" hidden="1"/>
    <cellStyle name="Followed Hyperlink" xfId="1340" builtinId="9" hidden="1"/>
    <cellStyle name="Followed Hyperlink" xfId="1342" builtinId="9" hidden="1"/>
    <cellStyle name="Followed Hyperlink" xfId="1344" builtinId="9" hidden="1"/>
    <cellStyle name="Followed Hyperlink" xfId="1346" builtinId="9" hidden="1"/>
    <cellStyle name="Followed Hyperlink" xfId="1348" builtinId="9" hidden="1"/>
    <cellStyle name="Followed Hyperlink" xfId="1350" builtinId="9" hidden="1"/>
    <cellStyle name="Followed Hyperlink" xfId="1352" builtinId="9" hidden="1"/>
    <cellStyle name="Followed Hyperlink" xfId="1354" builtinId="9" hidden="1"/>
    <cellStyle name="Followed Hyperlink" xfId="1356" builtinId="9" hidden="1"/>
    <cellStyle name="Followed Hyperlink" xfId="1358" builtinId="9" hidden="1"/>
    <cellStyle name="Followed Hyperlink" xfId="1360" builtinId="9" hidden="1"/>
    <cellStyle name="Followed Hyperlink" xfId="1362" builtinId="9" hidden="1"/>
    <cellStyle name="Followed Hyperlink" xfId="1364" builtinId="9" hidden="1"/>
    <cellStyle name="Followed Hyperlink" xfId="1366" builtinId="9" hidden="1"/>
    <cellStyle name="Followed Hyperlink" xfId="1368" builtinId="9" hidden="1"/>
    <cellStyle name="Followed Hyperlink" xfId="1370" builtinId="9" hidden="1"/>
    <cellStyle name="Followed Hyperlink" xfId="1372" builtinId="9" hidden="1"/>
    <cellStyle name="Followed Hyperlink" xfId="1374" builtinId="9" hidden="1"/>
    <cellStyle name="Followed Hyperlink" xfId="1376" builtinId="9" hidden="1"/>
    <cellStyle name="Followed Hyperlink" xfId="1378" builtinId="9" hidden="1"/>
    <cellStyle name="Followed Hyperlink" xfId="1380" builtinId="9" hidden="1"/>
    <cellStyle name="Followed Hyperlink" xfId="1382" builtinId="9" hidden="1"/>
    <cellStyle name="Followed Hyperlink" xfId="1384" builtinId="9" hidden="1"/>
    <cellStyle name="Followed Hyperlink" xfId="1386" builtinId="9" hidden="1"/>
    <cellStyle name="Followed Hyperlink" xfId="1388" builtinId="9" hidden="1"/>
    <cellStyle name="Followed Hyperlink" xfId="1390" builtinId="9" hidden="1"/>
    <cellStyle name="Followed Hyperlink" xfId="1392" builtinId="9" hidden="1"/>
    <cellStyle name="Followed Hyperlink" xfId="1394" builtinId="9" hidden="1"/>
    <cellStyle name="Followed Hyperlink" xfId="1396" builtinId="9" hidden="1"/>
    <cellStyle name="Followed Hyperlink" xfId="1398" builtinId="9" hidden="1"/>
    <cellStyle name="Followed Hyperlink" xfId="1400" builtinId="9" hidden="1"/>
    <cellStyle name="Followed Hyperlink" xfId="1402" builtinId="9" hidden="1"/>
    <cellStyle name="Followed Hyperlink" xfId="1404" builtinId="9" hidden="1"/>
    <cellStyle name="Followed Hyperlink" xfId="1406" builtinId="9" hidden="1"/>
    <cellStyle name="Followed Hyperlink" xfId="1408" builtinId="9" hidden="1"/>
    <cellStyle name="Followed Hyperlink" xfId="1410" builtinId="9" hidden="1"/>
    <cellStyle name="Followed Hyperlink" xfId="1412" builtinId="9" hidden="1"/>
    <cellStyle name="Followed Hyperlink" xfId="1414" builtinId="9" hidden="1"/>
    <cellStyle name="Followed Hyperlink" xfId="1416" builtinId="9" hidden="1"/>
    <cellStyle name="Followed Hyperlink" xfId="1418" builtinId="9" hidden="1"/>
    <cellStyle name="Followed Hyperlink" xfId="1420" builtinId="9" hidden="1"/>
    <cellStyle name="Followed Hyperlink" xfId="1422" builtinId="9" hidden="1"/>
    <cellStyle name="Followed Hyperlink" xfId="1424" builtinId="9" hidden="1"/>
    <cellStyle name="Followed Hyperlink" xfId="1426" builtinId="9" hidden="1"/>
    <cellStyle name="Followed Hyperlink" xfId="1428" builtinId="9" hidden="1"/>
    <cellStyle name="Followed Hyperlink" xfId="1430" builtinId="9" hidden="1"/>
    <cellStyle name="Followed Hyperlink" xfId="1432" builtinId="9" hidden="1"/>
    <cellStyle name="Followed Hyperlink" xfId="1434" builtinId="9" hidden="1"/>
    <cellStyle name="Followed Hyperlink" xfId="1436" builtinId="9" hidden="1"/>
    <cellStyle name="Followed Hyperlink" xfId="1438" builtinId="9" hidden="1"/>
    <cellStyle name="Followed Hyperlink" xfId="1440" builtinId="9" hidden="1"/>
    <cellStyle name="Followed Hyperlink" xfId="1442" builtinId="9" hidden="1"/>
    <cellStyle name="Followed Hyperlink" xfId="1444" builtinId="9" hidden="1"/>
    <cellStyle name="Followed Hyperlink" xfId="1446" builtinId="9" hidden="1"/>
    <cellStyle name="Followed Hyperlink" xfId="1448" builtinId="9" hidden="1"/>
    <cellStyle name="Followed Hyperlink" xfId="1450" builtinId="9" hidden="1"/>
    <cellStyle name="Followed Hyperlink" xfId="1452" builtinId="9" hidden="1"/>
    <cellStyle name="Followed Hyperlink" xfId="1454" builtinId="9" hidden="1"/>
    <cellStyle name="Followed Hyperlink" xfId="1456" builtinId="9" hidden="1"/>
    <cellStyle name="Followed Hyperlink" xfId="1458" builtinId="9" hidden="1"/>
    <cellStyle name="Followed Hyperlink" xfId="1460" builtinId="9" hidden="1"/>
    <cellStyle name="Followed Hyperlink" xfId="1462" builtinId="9" hidden="1"/>
    <cellStyle name="Followed Hyperlink" xfId="1464" builtinId="9" hidden="1"/>
    <cellStyle name="Followed Hyperlink" xfId="1466" builtinId="9" hidden="1"/>
    <cellStyle name="Followed Hyperlink" xfId="1468" builtinId="9" hidden="1"/>
    <cellStyle name="Followed Hyperlink" xfId="1470" builtinId="9" hidden="1"/>
    <cellStyle name="Followed Hyperlink" xfId="1472" builtinId="9" hidden="1"/>
    <cellStyle name="Followed Hyperlink" xfId="1474" builtinId="9" hidden="1"/>
    <cellStyle name="Followed Hyperlink" xfId="1476" builtinId="9" hidden="1"/>
    <cellStyle name="Followed Hyperlink" xfId="1478" builtinId="9" hidden="1"/>
    <cellStyle name="Followed Hyperlink" xfId="1480" builtinId="9" hidden="1"/>
    <cellStyle name="Followed Hyperlink" xfId="1482" builtinId="9" hidden="1"/>
    <cellStyle name="Followed Hyperlink" xfId="1484" builtinId="9" hidden="1"/>
    <cellStyle name="Followed Hyperlink" xfId="1486" builtinId="9" hidden="1"/>
    <cellStyle name="Followed Hyperlink" xfId="1488" builtinId="9" hidden="1"/>
    <cellStyle name="Followed Hyperlink" xfId="1490" builtinId="9" hidden="1"/>
    <cellStyle name="Followed Hyperlink" xfId="1492" builtinId="9" hidden="1"/>
    <cellStyle name="Followed Hyperlink" xfId="1494" builtinId="9" hidden="1"/>
    <cellStyle name="Followed Hyperlink" xfId="1496" builtinId="9" hidden="1"/>
    <cellStyle name="Followed Hyperlink" xfId="1498" builtinId="9" hidden="1"/>
    <cellStyle name="Followed Hyperlink" xfId="1500" builtinId="9" hidden="1"/>
    <cellStyle name="Followed Hyperlink" xfId="1502" builtinId="9" hidden="1"/>
    <cellStyle name="Followed Hyperlink" xfId="1504" builtinId="9" hidden="1"/>
    <cellStyle name="Followed Hyperlink" xfId="1506" builtinId="9" hidden="1"/>
    <cellStyle name="Followed Hyperlink" xfId="1508" builtinId="9" hidden="1"/>
    <cellStyle name="Followed Hyperlink" xfId="1510" builtinId="9" hidden="1"/>
    <cellStyle name="Followed Hyperlink" xfId="1512" builtinId="9" hidden="1"/>
    <cellStyle name="Followed Hyperlink" xfId="1514" builtinId="9" hidden="1"/>
    <cellStyle name="Followed Hyperlink" xfId="1516" builtinId="9" hidden="1"/>
    <cellStyle name="Followed Hyperlink" xfId="1518" builtinId="9" hidden="1"/>
    <cellStyle name="Followed Hyperlink" xfId="1520" builtinId="9" hidden="1"/>
    <cellStyle name="Followed Hyperlink" xfId="1522" builtinId="9" hidden="1"/>
    <cellStyle name="Followed Hyperlink" xfId="1524" builtinId="9" hidden="1"/>
    <cellStyle name="Followed Hyperlink" xfId="1526" builtinId="9" hidden="1"/>
    <cellStyle name="Followed Hyperlink" xfId="1528" builtinId="9" hidden="1"/>
    <cellStyle name="Followed Hyperlink" xfId="1530" builtinId="9" hidden="1"/>
    <cellStyle name="Followed Hyperlink" xfId="1532" builtinId="9" hidden="1"/>
    <cellStyle name="Followed Hyperlink" xfId="1534" builtinId="9" hidden="1"/>
    <cellStyle name="Followed Hyperlink" xfId="1536" builtinId="9" hidden="1"/>
    <cellStyle name="Followed Hyperlink" xfId="1538" builtinId="9" hidden="1"/>
    <cellStyle name="Followed Hyperlink" xfId="1540" builtinId="9" hidden="1"/>
    <cellStyle name="Followed Hyperlink" xfId="1542" builtinId="9" hidden="1"/>
    <cellStyle name="Followed Hyperlink" xfId="1544" builtinId="9" hidden="1"/>
    <cellStyle name="Followed Hyperlink" xfId="1546" builtinId="9" hidden="1"/>
    <cellStyle name="Followed Hyperlink" xfId="1548" builtinId="9" hidden="1"/>
    <cellStyle name="Followed Hyperlink" xfId="1550" builtinId="9" hidden="1"/>
    <cellStyle name="Followed Hyperlink" xfId="1552" builtinId="9" hidden="1"/>
    <cellStyle name="Followed Hyperlink" xfId="1554" builtinId="9" hidden="1"/>
    <cellStyle name="Followed Hyperlink" xfId="1556" builtinId="9" hidden="1"/>
    <cellStyle name="Followed Hyperlink" xfId="1558" builtinId="9" hidden="1"/>
    <cellStyle name="Followed Hyperlink" xfId="1560" builtinId="9" hidden="1"/>
    <cellStyle name="Followed Hyperlink" xfId="1562" builtinId="9" hidden="1"/>
    <cellStyle name="Followed Hyperlink" xfId="1564" builtinId="9" hidden="1"/>
    <cellStyle name="Followed Hyperlink" xfId="1566" builtinId="9" hidden="1"/>
    <cellStyle name="Followed Hyperlink" xfId="1568" builtinId="9" hidden="1"/>
    <cellStyle name="Followed Hyperlink" xfId="1570" builtinId="9" hidden="1"/>
    <cellStyle name="Followed Hyperlink" xfId="1572" builtinId="9" hidden="1"/>
    <cellStyle name="Followed Hyperlink" xfId="1574" builtinId="9" hidden="1"/>
    <cellStyle name="Followed Hyperlink" xfId="1576" builtinId="9" hidden="1"/>
    <cellStyle name="Followed Hyperlink" xfId="1578" builtinId="9" hidden="1"/>
    <cellStyle name="Followed Hyperlink" xfId="1580" builtinId="9" hidden="1"/>
    <cellStyle name="Followed Hyperlink" xfId="1582" builtinId="9" hidden="1"/>
    <cellStyle name="Followed Hyperlink" xfId="1584" builtinId="9" hidden="1"/>
    <cellStyle name="Followed Hyperlink" xfId="1586" builtinId="9" hidden="1"/>
    <cellStyle name="Followed Hyperlink" xfId="1588" builtinId="9" hidden="1"/>
    <cellStyle name="Followed Hyperlink" xfId="1590" builtinId="9" hidden="1"/>
    <cellStyle name="Followed Hyperlink" xfId="1592" builtinId="9" hidden="1"/>
    <cellStyle name="Followed Hyperlink" xfId="1594" builtinId="9" hidden="1"/>
    <cellStyle name="Followed Hyperlink" xfId="1596" builtinId="9" hidden="1"/>
    <cellStyle name="Followed Hyperlink" xfId="1598" builtinId="9" hidden="1"/>
    <cellStyle name="Followed Hyperlink" xfId="1600" builtinId="9" hidden="1"/>
    <cellStyle name="Followed Hyperlink" xfId="1602" builtinId="9" hidden="1"/>
    <cellStyle name="Followed Hyperlink" xfId="1604" builtinId="9" hidden="1"/>
    <cellStyle name="Followed Hyperlink" xfId="1606" builtinId="9" hidden="1"/>
    <cellStyle name="Followed Hyperlink" xfId="1608" builtinId="9" hidden="1"/>
    <cellStyle name="Followed Hyperlink" xfId="1610" builtinId="9" hidden="1"/>
    <cellStyle name="Followed Hyperlink" xfId="1612" builtinId="9" hidden="1"/>
    <cellStyle name="Followed Hyperlink" xfId="1614" builtinId="9" hidden="1"/>
    <cellStyle name="Followed Hyperlink" xfId="1616" builtinId="9" hidden="1"/>
    <cellStyle name="Followed Hyperlink" xfId="1618" builtinId="9" hidden="1"/>
    <cellStyle name="Followed Hyperlink" xfId="1620" builtinId="9" hidden="1"/>
    <cellStyle name="Followed Hyperlink" xfId="1622" builtinId="9" hidden="1"/>
    <cellStyle name="Followed Hyperlink" xfId="1624" builtinId="9" hidden="1"/>
    <cellStyle name="Followed Hyperlink" xfId="1626" builtinId="9" hidden="1"/>
    <cellStyle name="Followed Hyperlink" xfId="1628" builtinId="9" hidden="1"/>
    <cellStyle name="Followed Hyperlink" xfId="1630" builtinId="9" hidden="1"/>
    <cellStyle name="Followed Hyperlink" xfId="1632" builtinId="9" hidden="1"/>
    <cellStyle name="Followed Hyperlink" xfId="1634" builtinId="9" hidden="1"/>
    <cellStyle name="Followed Hyperlink" xfId="1636" builtinId="9" hidden="1"/>
    <cellStyle name="Followed Hyperlink" xfId="1638" builtinId="9" hidden="1"/>
    <cellStyle name="Followed Hyperlink" xfId="1640" builtinId="9" hidden="1"/>
    <cellStyle name="Followed Hyperlink" xfId="1642" builtinId="9" hidden="1"/>
    <cellStyle name="Followed Hyperlink" xfId="1644" builtinId="9" hidden="1"/>
    <cellStyle name="Followed Hyperlink" xfId="1646" builtinId="9" hidden="1"/>
    <cellStyle name="Followed Hyperlink" xfId="1648" builtinId="9" hidden="1"/>
    <cellStyle name="Followed Hyperlink" xfId="1650" builtinId="9" hidden="1"/>
    <cellStyle name="Followed Hyperlink" xfId="1652" builtinId="9" hidden="1"/>
    <cellStyle name="Followed Hyperlink" xfId="1654" builtinId="9" hidden="1"/>
    <cellStyle name="Followed Hyperlink" xfId="1656" builtinId="9" hidden="1"/>
    <cellStyle name="Followed Hyperlink" xfId="1658" builtinId="9" hidden="1"/>
    <cellStyle name="Followed Hyperlink" xfId="1660" builtinId="9" hidden="1"/>
    <cellStyle name="Followed Hyperlink" xfId="1662" builtinId="9" hidden="1"/>
    <cellStyle name="Followed Hyperlink" xfId="1664" builtinId="9" hidden="1"/>
    <cellStyle name="Followed Hyperlink" xfId="1666" builtinId="9" hidden="1"/>
    <cellStyle name="Followed Hyperlink" xfId="1668" builtinId="9" hidden="1"/>
    <cellStyle name="Followed Hyperlink" xfId="1670" builtinId="9" hidden="1"/>
    <cellStyle name="Followed Hyperlink" xfId="1672" builtinId="9" hidden="1"/>
    <cellStyle name="Followed Hyperlink" xfId="1674" builtinId="9" hidden="1"/>
    <cellStyle name="Followed Hyperlink" xfId="1676" builtinId="9" hidden="1"/>
    <cellStyle name="Followed Hyperlink" xfId="1678" builtinId="9" hidden="1"/>
    <cellStyle name="Followed Hyperlink" xfId="1680" builtinId="9" hidden="1"/>
    <cellStyle name="Followed Hyperlink" xfId="1682" builtinId="9" hidden="1"/>
    <cellStyle name="Followed Hyperlink" xfId="1684" builtinId="9" hidden="1"/>
    <cellStyle name="Followed Hyperlink" xfId="1686" builtinId="9" hidden="1"/>
    <cellStyle name="Followed Hyperlink" xfId="1688" builtinId="9" hidden="1"/>
    <cellStyle name="Followed Hyperlink" xfId="1690" builtinId="9" hidden="1"/>
    <cellStyle name="Followed Hyperlink" xfId="1692" builtinId="9" hidden="1"/>
    <cellStyle name="Followed Hyperlink" xfId="1694" builtinId="9" hidden="1"/>
    <cellStyle name="Followed Hyperlink" xfId="1696" builtinId="9" hidden="1"/>
    <cellStyle name="Followed Hyperlink" xfId="1698" builtinId="9" hidden="1"/>
    <cellStyle name="Followed Hyperlink" xfId="1700" builtinId="9" hidden="1"/>
    <cellStyle name="Followed Hyperlink" xfId="1702" builtinId="9" hidden="1"/>
    <cellStyle name="Followed Hyperlink" xfId="1704" builtinId="9" hidden="1"/>
    <cellStyle name="Followed Hyperlink" xfId="1706" builtinId="9" hidden="1"/>
    <cellStyle name="Followed Hyperlink" xfId="1708" builtinId="9" hidden="1"/>
    <cellStyle name="Followed Hyperlink" xfId="1710" builtinId="9" hidden="1"/>
    <cellStyle name="Followed Hyperlink" xfId="1712" builtinId="9" hidden="1"/>
    <cellStyle name="Followed Hyperlink" xfId="1714" builtinId="9" hidden="1"/>
    <cellStyle name="Followed Hyperlink" xfId="1716" builtinId="9" hidden="1"/>
    <cellStyle name="Followed Hyperlink" xfId="1718" builtinId="9" hidden="1"/>
    <cellStyle name="Followed Hyperlink" xfId="1720" builtinId="9" hidden="1"/>
    <cellStyle name="Followed Hyperlink" xfId="1722" builtinId="9" hidden="1"/>
    <cellStyle name="Followed Hyperlink" xfId="1724" builtinId="9" hidden="1"/>
    <cellStyle name="Followed Hyperlink" xfId="1726" builtinId="9" hidden="1"/>
    <cellStyle name="Followed Hyperlink" xfId="1728" builtinId="9" hidden="1"/>
    <cellStyle name="Followed Hyperlink" xfId="1730" builtinId="9" hidden="1"/>
    <cellStyle name="Followed Hyperlink" xfId="1732" builtinId="9" hidden="1"/>
    <cellStyle name="Followed Hyperlink" xfId="1734" builtinId="9" hidden="1"/>
    <cellStyle name="Followed Hyperlink" xfId="1736" builtinId="9" hidden="1"/>
    <cellStyle name="Followed Hyperlink" xfId="1738" builtinId="9" hidden="1"/>
    <cellStyle name="Followed Hyperlink" xfId="1740" builtinId="9" hidden="1"/>
    <cellStyle name="Followed Hyperlink" xfId="1742" builtinId="9" hidden="1"/>
    <cellStyle name="Followed Hyperlink" xfId="1744" builtinId="9" hidden="1"/>
    <cellStyle name="Followed Hyperlink" xfId="1746" builtinId="9" hidden="1"/>
    <cellStyle name="Followed Hyperlink" xfId="1748" builtinId="9" hidden="1"/>
    <cellStyle name="Followed Hyperlink" xfId="1750" builtinId="9" hidden="1"/>
    <cellStyle name="Followed Hyperlink" xfId="1752" builtinId="9" hidden="1"/>
    <cellStyle name="Followed Hyperlink" xfId="1754" builtinId="9" hidden="1"/>
    <cellStyle name="Followed Hyperlink" xfId="1756" builtinId="9" hidden="1"/>
    <cellStyle name="Followed Hyperlink" xfId="1758" builtinId="9" hidden="1"/>
    <cellStyle name="Followed Hyperlink" xfId="1760" builtinId="9" hidden="1"/>
    <cellStyle name="Followed Hyperlink" xfId="1762" builtinId="9" hidden="1"/>
    <cellStyle name="Followed Hyperlink" xfId="1764" builtinId="9" hidden="1"/>
    <cellStyle name="Followed Hyperlink" xfId="1766" builtinId="9" hidden="1"/>
    <cellStyle name="Followed Hyperlink" xfId="1768" builtinId="9" hidden="1"/>
    <cellStyle name="Followed Hyperlink" xfId="1770" builtinId="9" hidden="1"/>
    <cellStyle name="Followed Hyperlink" xfId="1772" builtinId="9" hidden="1"/>
    <cellStyle name="Followed Hyperlink" xfId="1774" builtinId="9" hidden="1"/>
    <cellStyle name="Followed Hyperlink" xfId="1776" builtinId="9" hidden="1"/>
    <cellStyle name="Followed Hyperlink" xfId="1778" builtinId="9" hidden="1"/>
    <cellStyle name="Followed Hyperlink" xfId="1780" builtinId="9" hidden="1"/>
    <cellStyle name="Followed Hyperlink" xfId="1782" builtinId="9" hidden="1"/>
    <cellStyle name="Followed Hyperlink" xfId="1784" builtinId="9" hidden="1"/>
    <cellStyle name="Followed Hyperlink" xfId="1786" builtinId="9" hidden="1"/>
    <cellStyle name="Followed Hyperlink" xfId="1788" builtinId="9" hidden="1"/>
    <cellStyle name="Followed Hyperlink" xfId="1790" builtinId="9" hidden="1"/>
    <cellStyle name="Followed Hyperlink" xfId="1792" builtinId="9" hidden="1"/>
    <cellStyle name="Followed Hyperlink" xfId="1794" builtinId="9" hidden="1"/>
    <cellStyle name="Followed Hyperlink" xfId="1796" builtinId="9" hidden="1"/>
    <cellStyle name="Followed Hyperlink" xfId="1798" builtinId="9" hidden="1"/>
    <cellStyle name="Followed Hyperlink" xfId="1800" builtinId="9" hidden="1"/>
    <cellStyle name="Followed Hyperlink" xfId="1802" builtinId="9" hidden="1"/>
    <cellStyle name="Followed Hyperlink" xfId="1804" builtinId="9" hidden="1"/>
    <cellStyle name="Followed Hyperlink" xfId="1806" builtinId="9" hidden="1"/>
    <cellStyle name="Followed Hyperlink" xfId="1808" builtinId="9" hidden="1"/>
    <cellStyle name="Followed Hyperlink" xfId="1810" builtinId="9" hidden="1"/>
    <cellStyle name="Followed Hyperlink" xfId="1812" builtinId="9" hidden="1"/>
    <cellStyle name="Followed Hyperlink" xfId="1814" builtinId="9" hidden="1"/>
    <cellStyle name="Followed Hyperlink" xfId="1816" builtinId="9" hidden="1"/>
    <cellStyle name="Followed Hyperlink" xfId="1818" builtinId="9" hidden="1"/>
    <cellStyle name="Followed Hyperlink" xfId="1820" builtinId="9" hidden="1"/>
    <cellStyle name="Followed Hyperlink" xfId="1822" builtinId="9" hidden="1"/>
    <cellStyle name="Followed Hyperlink" xfId="1824" builtinId="9" hidden="1"/>
    <cellStyle name="Followed Hyperlink" xfId="1826" builtinId="9" hidden="1"/>
    <cellStyle name="Followed Hyperlink" xfId="1828" builtinId="9" hidden="1"/>
    <cellStyle name="Followed Hyperlink" xfId="1830" builtinId="9" hidden="1"/>
    <cellStyle name="Followed Hyperlink" xfId="1832" builtinId="9" hidden="1"/>
    <cellStyle name="Followed Hyperlink" xfId="1834" builtinId="9" hidden="1"/>
    <cellStyle name="Followed Hyperlink" xfId="1836" builtinId="9" hidden="1"/>
    <cellStyle name="Followed Hyperlink" xfId="1838" builtinId="9" hidden="1"/>
    <cellStyle name="Followed Hyperlink" xfId="1840" builtinId="9" hidden="1"/>
    <cellStyle name="Followed Hyperlink" xfId="1842" builtinId="9" hidden="1"/>
    <cellStyle name="Followed Hyperlink" xfId="1844" builtinId="9" hidden="1"/>
    <cellStyle name="Followed Hyperlink" xfId="1846" builtinId="9" hidden="1"/>
    <cellStyle name="Followed Hyperlink" xfId="1848" builtinId="9" hidden="1"/>
    <cellStyle name="Followed Hyperlink" xfId="1850" builtinId="9" hidden="1"/>
    <cellStyle name="Followed Hyperlink" xfId="1852" builtinId="9" hidden="1"/>
    <cellStyle name="Followed Hyperlink" xfId="1854" builtinId="9" hidden="1"/>
    <cellStyle name="Followed Hyperlink" xfId="1856" builtinId="9" hidden="1"/>
    <cellStyle name="Followed Hyperlink" xfId="1858" builtinId="9" hidden="1"/>
    <cellStyle name="Followed Hyperlink" xfId="1860" builtinId="9" hidden="1"/>
    <cellStyle name="Followed Hyperlink" xfId="1862" builtinId="9" hidden="1"/>
    <cellStyle name="Followed Hyperlink" xfId="1864" builtinId="9" hidden="1"/>
    <cellStyle name="Followed Hyperlink" xfId="1866" builtinId="9" hidden="1"/>
    <cellStyle name="Followed Hyperlink" xfId="1868" builtinId="9" hidden="1"/>
    <cellStyle name="Followed Hyperlink" xfId="1870" builtinId="9" hidden="1"/>
    <cellStyle name="Followed Hyperlink" xfId="1872" builtinId="9" hidden="1"/>
    <cellStyle name="Followed Hyperlink" xfId="1874" builtinId="9" hidden="1"/>
    <cellStyle name="Followed Hyperlink" xfId="1876" builtinId="9" hidden="1"/>
    <cellStyle name="Followed Hyperlink" xfId="1878" builtinId="9" hidden="1"/>
    <cellStyle name="Followed Hyperlink" xfId="1880" builtinId="9" hidden="1"/>
    <cellStyle name="Followed Hyperlink" xfId="1882" builtinId="9" hidden="1"/>
    <cellStyle name="Followed Hyperlink" xfId="1884" builtinId="9" hidden="1"/>
    <cellStyle name="Followed Hyperlink" xfId="1886" builtinId="9" hidden="1"/>
    <cellStyle name="Followed Hyperlink" xfId="1888" builtinId="9" hidden="1"/>
    <cellStyle name="Followed Hyperlink" xfId="1890" builtinId="9" hidden="1"/>
    <cellStyle name="Followed Hyperlink" xfId="1892" builtinId="9" hidden="1"/>
    <cellStyle name="Followed Hyperlink" xfId="1894" builtinId="9" hidden="1"/>
    <cellStyle name="Followed Hyperlink" xfId="1896" builtinId="9" hidden="1"/>
    <cellStyle name="Followed Hyperlink" xfId="1898" builtinId="9" hidden="1"/>
    <cellStyle name="Followed Hyperlink" xfId="1900" builtinId="9" hidden="1"/>
    <cellStyle name="Followed Hyperlink" xfId="1902" builtinId="9" hidden="1"/>
    <cellStyle name="Followed Hyperlink" xfId="1904" builtinId="9" hidden="1"/>
    <cellStyle name="Followed Hyperlink" xfId="1906" builtinId="9" hidden="1"/>
    <cellStyle name="Followed Hyperlink" xfId="1908" builtinId="9" hidden="1"/>
    <cellStyle name="Followed Hyperlink" xfId="1910" builtinId="9" hidden="1"/>
    <cellStyle name="Followed Hyperlink" xfId="1912" builtinId="9" hidden="1"/>
    <cellStyle name="Followed Hyperlink" xfId="1914" builtinId="9" hidden="1"/>
    <cellStyle name="Followed Hyperlink" xfId="1916" builtinId="9" hidden="1"/>
    <cellStyle name="Followed Hyperlink" xfId="1918" builtinId="9" hidden="1"/>
    <cellStyle name="Followed Hyperlink" xfId="1920" builtinId="9" hidden="1"/>
    <cellStyle name="Followed Hyperlink" xfId="1922" builtinId="9" hidden="1"/>
    <cellStyle name="Followed Hyperlink" xfId="1924" builtinId="9" hidden="1"/>
    <cellStyle name="Followed Hyperlink" xfId="1926" builtinId="9" hidden="1"/>
    <cellStyle name="Followed Hyperlink" xfId="1928" builtinId="9" hidden="1"/>
    <cellStyle name="Followed Hyperlink" xfId="1930" builtinId="9" hidden="1"/>
    <cellStyle name="Followed Hyperlink" xfId="1932" builtinId="9" hidden="1"/>
    <cellStyle name="Followed Hyperlink" xfId="1934" builtinId="9" hidden="1"/>
    <cellStyle name="Followed Hyperlink" xfId="1936" builtinId="9" hidden="1"/>
    <cellStyle name="Followed Hyperlink" xfId="1938" builtinId="9" hidden="1"/>
    <cellStyle name="Followed Hyperlink" xfId="1940" builtinId="9" hidden="1"/>
    <cellStyle name="Followed Hyperlink" xfId="1942" builtinId="9" hidden="1"/>
    <cellStyle name="Followed Hyperlink" xfId="1944" builtinId="9" hidden="1"/>
    <cellStyle name="Followed Hyperlink" xfId="1946" builtinId="9" hidden="1"/>
    <cellStyle name="Followed Hyperlink" xfId="1948" builtinId="9" hidden="1"/>
    <cellStyle name="Followed Hyperlink" xfId="1950" builtinId="9" hidden="1"/>
    <cellStyle name="Followed Hyperlink" xfId="1952" builtinId="9" hidden="1"/>
    <cellStyle name="Followed Hyperlink" xfId="1954" builtinId="9" hidden="1"/>
    <cellStyle name="Followed Hyperlink" xfId="1956" builtinId="9" hidden="1"/>
    <cellStyle name="Followed Hyperlink" xfId="1958" builtinId="9" hidden="1"/>
    <cellStyle name="Followed Hyperlink" xfId="1960" builtinId="9" hidden="1"/>
    <cellStyle name="Followed Hyperlink" xfId="1962" builtinId="9" hidden="1"/>
    <cellStyle name="Followed Hyperlink" xfId="1964" builtinId="9" hidden="1"/>
    <cellStyle name="Followed Hyperlink" xfId="1966" builtinId="9" hidden="1"/>
    <cellStyle name="Followed Hyperlink" xfId="1968" builtinId="9" hidden="1"/>
    <cellStyle name="Followed Hyperlink" xfId="1970" builtinId="9" hidden="1"/>
    <cellStyle name="Followed Hyperlink" xfId="1972" builtinId="9" hidden="1"/>
    <cellStyle name="Followed Hyperlink" xfId="1974" builtinId="9" hidden="1"/>
    <cellStyle name="Followed Hyperlink" xfId="1976" builtinId="9" hidden="1"/>
    <cellStyle name="Followed Hyperlink" xfId="1978" builtinId="9" hidden="1"/>
    <cellStyle name="Followed Hyperlink" xfId="1980" builtinId="9" hidden="1"/>
    <cellStyle name="Followed Hyperlink" xfId="1982" builtinId="9" hidden="1"/>
    <cellStyle name="Followed Hyperlink" xfId="1984" builtinId="9" hidden="1"/>
    <cellStyle name="Followed Hyperlink" xfId="1986" builtinId="9" hidden="1"/>
    <cellStyle name="Followed Hyperlink" xfId="1988" builtinId="9" hidden="1"/>
    <cellStyle name="Followed Hyperlink" xfId="1990" builtinId="9" hidden="1"/>
    <cellStyle name="Followed Hyperlink" xfId="1992" builtinId="9" hidden="1"/>
    <cellStyle name="Followed Hyperlink" xfId="1994" builtinId="9" hidden="1"/>
    <cellStyle name="Followed Hyperlink" xfId="1996" builtinId="9" hidden="1"/>
    <cellStyle name="Followed Hyperlink" xfId="1998" builtinId="9" hidden="1"/>
    <cellStyle name="Followed Hyperlink" xfId="2000" builtinId="9" hidden="1"/>
    <cellStyle name="Followed Hyperlink" xfId="2002" builtinId="9" hidden="1"/>
    <cellStyle name="Followed Hyperlink" xfId="2004" builtinId="9" hidden="1"/>
    <cellStyle name="Followed Hyperlink" xfId="2006" builtinId="9" hidden="1"/>
    <cellStyle name="Followed Hyperlink" xfId="2008" builtinId="9" hidden="1"/>
    <cellStyle name="Followed Hyperlink" xfId="2010" builtinId="9" hidden="1"/>
    <cellStyle name="Followed Hyperlink" xfId="2012" builtinId="9" hidden="1"/>
    <cellStyle name="Followed Hyperlink" xfId="2014" builtinId="9" hidden="1"/>
    <cellStyle name="Followed Hyperlink" xfId="2016" builtinId="9" hidden="1"/>
    <cellStyle name="Followed Hyperlink" xfId="2018" builtinId="9" hidden="1"/>
    <cellStyle name="Followed Hyperlink" xfId="2020" builtinId="9" hidden="1"/>
    <cellStyle name="Followed Hyperlink" xfId="2021" builtinId="9" hidden="1"/>
    <cellStyle name="Followed Hyperlink" xfId="2022" builtinId="9" hidden="1"/>
    <cellStyle name="Followed Hyperlink" xfId="2023" builtinId="9" hidden="1"/>
    <cellStyle name="Followed Hyperlink" xfId="2024" builtinId="9" hidden="1"/>
    <cellStyle name="Followed Hyperlink" xfId="2025" builtinId="9" hidden="1"/>
    <cellStyle name="Followed Hyperlink" xfId="2026" builtinId="9" hidden="1"/>
    <cellStyle name="Followed Hyperlink" xfId="2027" builtinId="9" hidden="1"/>
    <cellStyle name="Followed Hyperlink" xfId="2028" builtinId="9" hidden="1"/>
    <cellStyle name="Followed Hyperlink" xfId="2029" builtinId="9" hidden="1"/>
    <cellStyle name="Followed Hyperlink" xfId="2030" builtinId="9" hidden="1"/>
    <cellStyle name="Followed Hyperlink" xfId="2031" builtinId="9" hidden="1"/>
    <cellStyle name="Followed Hyperlink" xfId="2032" builtinId="9" hidden="1"/>
    <cellStyle name="Followed Hyperlink" xfId="2033" builtinId="9" hidden="1"/>
    <cellStyle name="Followed Hyperlink" xfId="2034" builtinId="9" hidden="1"/>
    <cellStyle name="Followed Hyperlink" xfId="2035" builtinId="9" hidden="1"/>
    <cellStyle name="Followed Hyperlink" xfId="2036" builtinId="9" hidden="1"/>
    <cellStyle name="Followed Hyperlink" xfId="2037" builtinId="9" hidden="1"/>
    <cellStyle name="Followed Hyperlink" xfId="2038" builtinId="9" hidden="1"/>
    <cellStyle name="Followed Hyperlink" xfId="2039" builtinId="9" hidden="1"/>
    <cellStyle name="Followed Hyperlink" xfId="2040" builtinId="9" hidden="1"/>
    <cellStyle name="Followed Hyperlink" xfId="2041" builtinId="9" hidden="1"/>
    <cellStyle name="Followed Hyperlink" xfId="2042" builtinId="9" hidden="1"/>
    <cellStyle name="Followed Hyperlink" xfId="2043" builtinId="9" hidden="1"/>
    <cellStyle name="Followed Hyperlink" xfId="2044" builtinId="9" hidden="1"/>
    <cellStyle name="Followed Hyperlink" xfId="2045" builtinId="9" hidden="1"/>
    <cellStyle name="Followed Hyperlink" xfId="2046" builtinId="9" hidden="1"/>
    <cellStyle name="Followed Hyperlink" xfId="2047" builtinId="9" hidden="1"/>
    <cellStyle name="Followed Hyperlink" xfId="2048" builtinId="9" hidden="1"/>
    <cellStyle name="Followed Hyperlink" xfId="2049" builtinId="9" hidden="1"/>
    <cellStyle name="Followed Hyperlink" xfId="2050" builtinId="9" hidden="1"/>
    <cellStyle name="Followed Hyperlink" xfId="2051" builtinId="9" hidden="1"/>
    <cellStyle name="Followed Hyperlink" xfId="2052" builtinId="9" hidden="1"/>
    <cellStyle name="Followed Hyperlink" xfId="2053" builtinId="9" hidden="1"/>
    <cellStyle name="Followed Hyperlink" xfId="2054" builtinId="9" hidden="1"/>
    <cellStyle name="Followed Hyperlink" xfId="2055" builtinId="9" hidden="1"/>
    <cellStyle name="Followed Hyperlink" xfId="2056" builtinId="9" hidden="1"/>
    <cellStyle name="Followed Hyperlink" xfId="2057" builtinId="9" hidden="1"/>
    <cellStyle name="Followed Hyperlink" xfId="2058" builtinId="9" hidden="1"/>
    <cellStyle name="Followed Hyperlink" xfId="2059" builtinId="9" hidden="1"/>
    <cellStyle name="Followed Hyperlink" xfId="2060" builtinId="9" hidden="1"/>
    <cellStyle name="Followed Hyperlink" xfId="2061" builtinId="9" hidden="1"/>
    <cellStyle name="Followed Hyperlink" xfId="2062" builtinId="9" hidden="1"/>
    <cellStyle name="Followed Hyperlink" xfId="2063" builtinId="9" hidden="1"/>
    <cellStyle name="Followed Hyperlink" xfId="2064" builtinId="9" hidden="1"/>
    <cellStyle name="Followed Hyperlink" xfId="2065" builtinId="9" hidden="1"/>
    <cellStyle name="Followed Hyperlink" xfId="2066" builtinId="9" hidden="1"/>
    <cellStyle name="Followed Hyperlink" xfId="2067" builtinId="9" hidden="1"/>
    <cellStyle name="Followed Hyperlink" xfId="2068" builtinId="9" hidden="1"/>
    <cellStyle name="Followed Hyperlink" xfId="2069" builtinId="9" hidden="1"/>
    <cellStyle name="Followed Hyperlink" xfId="2070" builtinId="9" hidden="1"/>
    <cellStyle name="Followed Hyperlink" xfId="2071" builtinId="9" hidden="1"/>
    <cellStyle name="Followed Hyperlink" xfId="2072" builtinId="9" hidden="1"/>
    <cellStyle name="Followed Hyperlink" xfId="2073" builtinId="9" hidden="1"/>
    <cellStyle name="Followed Hyperlink" xfId="2074" builtinId="9" hidden="1"/>
    <cellStyle name="Followed Hyperlink" xfId="2075" builtinId="9" hidden="1"/>
    <cellStyle name="Followed Hyperlink" xfId="2076" builtinId="9" hidden="1"/>
    <cellStyle name="Followed Hyperlink" xfId="2077" builtinId="9" hidden="1"/>
    <cellStyle name="Followed Hyperlink" xfId="2078" builtinId="9" hidden="1"/>
    <cellStyle name="Followed Hyperlink" xfId="2079" builtinId="9" hidden="1"/>
    <cellStyle name="Followed Hyperlink" xfId="2080" builtinId="9" hidden="1"/>
    <cellStyle name="Followed Hyperlink" xfId="2081" builtinId="9" hidden="1"/>
    <cellStyle name="Followed Hyperlink" xfId="2082" builtinId="9" hidden="1"/>
    <cellStyle name="Followed Hyperlink" xfId="2083" builtinId="9" hidden="1"/>
    <cellStyle name="Followed Hyperlink" xfId="2084" builtinId="9" hidden="1"/>
    <cellStyle name="Followed Hyperlink" xfId="2085" builtinId="9" hidden="1"/>
    <cellStyle name="Followed Hyperlink" xfId="2086" builtinId="9" hidden="1"/>
    <cellStyle name="Followed Hyperlink" xfId="2087" builtinId="9" hidden="1"/>
    <cellStyle name="Followed Hyperlink" xfId="2088" builtinId="9" hidden="1"/>
    <cellStyle name="Followed Hyperlink" xfId="2089" builtinId="9" hidden="1"/>
    <cellStyle name="Followed Hyperlink" xfId="2090" builtinId="9" hidden="1"/>
    <cellStyle name="Followed Hyperlink" xfId="2091" builtinId="9" hidden="1"/>
    <cellStyle name="Followed Hyperlink" xfId="2092" builtinId="9" hidden="1"/>
    <cellStyle name="Followed Hyperlink" xfId="2093" builtinId="9" hidden="1"/>
    <cellStyle name="Followed Hyperlink" xfId="2094" builtinId="9" hidden="1"/>
    <cellStyle name="Followed Hyperlink" xfId="2095" builtinId="9" hidden="1"/>
    <cellStyle name="Followed Hyperlink" xfId="2096" builtinId="9" hidden="1"/>
    <cellStyle name="Followed Hyperlink" xfId="2097" builtinId="9" hidden="1"/>
    <cellStyle name="Followed Hyperlink" xfId="2098" builtinId="9" hidden="1"/>
    <cellStyle name="Followed Hyperlink" xfId="2099" builtinId="9" hidden="1"/>
    <cellStyle name="Followed Hyperlink" xfId="2100" builtinId="9" hidden="1"/>
    <cellStyle name="Followed Hyperlink" xfId="2101" builtinId="9" hidden="1"/>
    <cellStyle name="Followed Hyperlink" xfId="2102" builtinId="9" hidden="1"/>
    <cellStyle name="Followed Hyperlink" xfId="2103" builtinId="9" hidden="1"/>
    <cellStyle name="Followed Hyperlink" xfId="2104" builtinId="9" hidden="1"/>
    <cellStyle name="Followed Hyperlink" xfId="2105" builtinId="9" hidden="1"/>
    <cellStyle name="Followed Hyperlink" xfId="2106" builtinId="9" hidden="1"/>
    <cellStyle name="Followed Hyperlink" xfId="2107" builtinId="9" hidden="1"/>
    <cellStyle name="Followed Hyperlink" xfId="2108" builtinId="9" hidden="1"/>
    <cellStyle name="Followed Hyperlink" xfId="2109" builtinId="9" hidden="1"/>
    <cellStyle name="Followed Hyperlink" xfId="2110" builtinId="9" hidden="1"/>
    <cellStyle name="Followed Hyperlink" xfId="2111" builtinId="9" hidden="1"/>
    <cellStyle name="Followed Hyperlink" xfId="2112" builtinId="9" hidden="1"/>
    <cellStyle name="Followed Hyperlink" xfId="2113" builtinId="9" hidden="1"/>
    <cellStyle name="Followed Hyperlink" xfId="2114" builtinId="9" hidden="1"/>
    <cellStyle name="Followed Hyperlink" xfId="2115" builtinId="9" hidden="1"/>
    <cellStyle name="Followed Hyperlink" xfId="2116" builtinId="9" hidden="1"/>
    <cellStyle name="Followed Hyperlink" xfId="2117" builtinId="9" hidden="1"/>
    <cellStyle name="Followed Hyperlink" xfId="2118" builtinId="9" hidden="1"/>
    <cellStyle name="Followed Hyperlink" xfId="2119" builtinId="9" hidden="1"/>
    <cellStyle name="Followed Hyperlink" xfId="2120" builtinId="9" hidden="1"/>
    <cellStyle name="Followed Hyperlink" xfId="2121" builtinId="9" hidden="1"/>
    <cellStyle name="Followed Hyperlink" xfId="2122" builtinId="9" hidden="1"/>
    <cellStyle name="Followed Hyperlink" xfId="2123" builtinId="9" hidden="1"/>
    <cellStyle name="Followed Hyperlink" xfId="2124" builtinId="9" hidden="1"/>
    <cellStyle name="Followed Hyperlink" xfId="2125" builtinId="9" hidden="1"/>
    <cellStyle name="Followed Hyperlink" xfId="2126" builtinId="9" hidden="1"/>
    <cellStyle name="Followed Hyperlink" xfId="2127" builtinId="9" hidden="1"/>
    <cellStyle name="Followed Hyperlink" xfId="2128" builtinId="9" hidden="1"/>
    <cellStyle name="Followed Hyperlink" xfId="2129" builtinId="9" hidden="1"/>
    <cellStyle name="Followed Hyperlink" xfId="2130" builtinId="9" hidden="1"/>
    <cellStyle name="Followed Hyperlink" xfId="2131" builtinId="9" hidden="1"/>
    <cellStyle name="Followed Hyperlink" xfId="2132" builtinId="9" hidden="1"/>
    <cellStyle name="Followed Hyperlink" xfId="2133" builtinId="9" hidden="1"/>
    <cellStyle name="Followed Hyperlink" xfId="2134" builtinId="9" hidden="1"/>
    <cellStyle name="Followed Hyperlink" xfId="2135" builtinId="9" hidden="1"/>
    <cellStyle name="Followed Hyperlink" xfId="2136" builtinId="9" hidden="1"/>
    <cellStyle name="Followed Hyperlink" xfId="2137" builtinId="9" hidden="1"/>
    <cellStyle name="Followed Hyperlink" xfId="2138" builtinId="9" hidden="1"/>
    <cellStyle name="Followed Hyperlink" xfId="2139" builtinId="9" hidden="1"/>
    <cellStyle name="Followed Hyperlink" xfId="2140" builtinId="9" hidden="1"/>
    <cellStyle name="Followed Hyperlink" xfId="2141" builtinId="9" hidden="1"/>
    <cellStyle name="Followed Hyperlink" xfId="2142" builtinId="9" hidden="1"/>
    <cellStyle name="Followed Hyperlink" xfId="2143" builtinId="9" hidden="1"/>
    <cellStyle name="Followed Hyperlink" xfId="2144" builtinId="9" hidden="1"/>
    <cellStyle name="Followed Hyperlink" xfId="2145" builtinId="9" hidden="1"/>
    <cellStyle name="Followed Hyperlink" xfId="2146" builtinId="9" hidden="1"/>
    <cellStyle name="Followed Hyperlink" xfId="2147" builtinId="9" hidden="1"/>
    <cellStyle name="Followed Hyperlink" xfId="2148" builtinId="9" hidden="1"/>
    <cellStyle name="Followed Hyperlink" xfId="214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1" builtinId="8" hidden="1"/>
    <cellStyle name="Hyperlink" xfId="973" builtinId="8" hidden="1"/>
    <cellStyle name="Hyperlink" xfId="975" builtinId="8" hidden="1"/>
    <cellStyle name="Hyperlink" xfId="977" builtinId="8" hidden="1"/>
    <cellStyle name="Hyperlink" xfId="979" builtinId="8" hidden="1"/>
    <cellStyle name="Hyperlink" xfId="981" builtinId="8" hidden="1"/>
    <cellStyle name="Hyperlink" xfId="983" builtinId="8" hidden="1"/>
    <cellStyle name="Hyperlink" xfId="985" builtinId="8" hidden="1"/>
    <cellStyle name="Hyperlink" xfId="987" builtinId="8" hidden="1"/>
    <cellStyle name="Hyperlink" xfId="989" builtinId="8" hidden="1"/>
    <cellStyle name="Hyperlink" xfId="991" builtinId="8" hidden="1"/>
    <cellStyle name="Hyperlink" xfId="993" builtinId="8" hidden="1"/>
    <cellStyle name="Hyperlink" xfId="995" builtinId="8" hidden="1"/>
    <cellStyle name="Hyperlink" xfId="997" builtinId="8" hidden="1"/>
    <cellStyle name="Hyperlink" xfId="999" builtinId="8" hidden="1"/>
    <cellStyle name="Hyperlink" xfId="1001" builtinId="8" hidden="1"/>
    <cellStyle name="Hyperlink" xfId="1003" builtinId="8" hidden="1"/>
    <cellStyle name="Hyperlink" xfId="1005" builtinId="8" hidden="1"/>
    <cellStyle name="Hyperlink" xfId="1007" builtinId="8" hidden="1"/>
    <cellStyle name="Hyperlink" xfId="1009" builtinId="8" hidden="1"/>
    <cellStyle name="Hyperlink" xfId="1011" builtinId="8" hidden="1"/>
    <cellStyle name="Hyperlink" xfId="1013" builtinId="8" hidden="1"/>
    <cellStyle name="Hyperlink" xfId="1015" builtinId="8" hidden="1"/>
    <cellStyle name="Hyperlink" xfId="1017" builtinId="8" hidden="1"/>
    <cellStyle name="Hyperlink" xfId="1019" builtinId="8" hidden="1"/>
    <cellStyle name="Hyperlink" xfId="1021" builtinId="8" hidden="1"/>
    <cellStyle name="Hyperlink" xfId="1023" builtinId="8" hidden="1"/>
    <cellStyle name="Hyperlink" xfId="1025" builtinId="8" hidden="1"/>
    <cellStyle name="Hyperlink" xfId="1027" builtinId="8" hidden="1"/>
    <cellStyle name="Hyperlink" xfId="1029" builtinId="8" hidden="1"/>
    <cellStyle name="Hyperlink" xfId="1031" builtinId="8" hidden="1"/>
    <cellStyle name="Hyperlink" xfId="1033" builtinId="8" hidden="1"/>
    <cellStyle name="Hyperlink" xfId="1035" builtinId="8" hidden="1"/>
    <cellStyle name="Hyperlink" xfId="1037" builtinId="8" hidden="1"/>
    <cellStyle name="Hyperlink" xfId="1039" builtinId="8" hidden="1"/>
    <cellStyle name="Hyperlink" xfId="1041" builtinId="8" hidden="1"/>
    <cellStyle name="Hyperlink" xfId="1043" builtinId="8" hidden="1"/>
    <cellStyle name="Hyperlink" xfId="1045" builtinId="8" hidden="1"/>
    <cellStyle name="Hyperlink" xfId="1047" builtinId="8" hidden="1"/>
    <cellStyle name="Hyperlink" xfId="1049" builtinId="8" hidden="1"/>
    <cellStyle name="Hyperlink" xfId="1051" builtinId="8" hidden="1"/>
    <cellStyle name="Hyperlink" xfId="1053" builtinId="8" hidden="1"/>
    <cellStyle name="Hyperlink" xfId="1055" builtinId="8" hidden="1"/>
    <cellStyle name="Hyperlink" xfId="1057" builtinId="8" hidden="1"/>
    <cellStyle name="Hyperlink" xfId="1059" builtinId="8" hidden="1"/>
    <cellStyle name="Hyperlink" xfId="1061" builtinId="8" hidden="1"/>
    <cellStyle name="Hyperlink" xfId="1063" builtinId="8" hidden="1"/>
    <cellStyle name="Hyperlink" xfId="1065" builtinId="8" hidden="1"/>
    <cellStyle name="Hyperlink" xfId="1067" builtinId="8" hidden="1"/>
    <cellStyle name="Hyperlink" xfId="1069" builtinId="8" hidden="1"/>
    <cellStyle name="Hyperlink" xfId="1071" builtinId="8" hidden="1"/>
    <cellStyle name="Hyperlink" xfId="1073" builtinId="8" hidden="1"/>
    <cellStyle name="Hyperlink" xfId="1075" builtinId="8" hidden="1"/>
    <cellStyle name="Hyperlink" xfId="1077" builtinId="8" hidden="1"/>
    <cellStyle name="Hyperlink" xfId="1079" builtinId="8" hidden="1"/>
    <cellStyle name="Hyperlink" xfId="1081" builtinId="8" hidden="1"/>
    <cellStyle name="Hyperlink" xfId="1083" builtinId="8" hidden="1"/>
    <cellStyle name="Hyperlink" xfId="1085" builtinId="8" hidden="1"/>
    <cellStyle name="Hyperlink" xfId="1087" builtinId="8" hidden="1"/>
    <cellStyle name="Hyperlink" xfId="1089" builtinId="8" hidden="1"/>
    <cellStyle name="Hyperlink" xfId="1091" builtinId="8" hidden="1"/>
    <cellStyle name="Hyperlink" xfId="1093" builtinId="8" hidden="1"/>
    <cellStyle name="Hyperlink" xfId="1095" builtinId="8" hidden="1"/>
    <cellStyle name="Hyperlink" xfId="1097" builtinId="8" hidden="1"/>
    <cellStyle name="Hyperlink" xfId="1099" builtinId="8" hidden="1"/>
    <cellStyle name="Hyperlink" xfId="1101" builtinId="8" hidden="1"/>
    <cellStyle name="Hyperlink" xfId="1103" builtinId="8" hidden="1"/>
    <cellStyle name="Hyperlink" xfId="1105" builtinId="8" hidden="1"/>
    <cellStyle name="Hyperlink" xfId="1107" builtinId="8" hidden="1"/>
    <cellStyle name="Hyperlink" xfId="1109" builtinId="8" hidden="1"/>
    <cellStyle name="Hyperlink" xfId="1111" builtinId="8" hidden="1"/>
    <cellStyle name="Hyperlink" xfId="1113" builtinId="8" hidden="1"/>
    <cellStyle name="Hyperlink" xfId="1115" builtinId="8" hidden="1"/>
    <cellStyle name="Hyperlink" xfId="1117" builtinId="8" hidden="1"/>
    <cellStyle name="Hyperlink" xfId="1119" builtinId="8" hidden="1"/>
    <cellStyle name="Hyperlink" xfId="1121" builtinId="8" hidden="1"/>
    <cellStyle name="Hyperlink" xfId="1123" builtinId="8" hidden="1"/>
    <cellStyle name="Hyperlink" xfId="1125" builtinId="8" hidden="1"/>
    <cellStyle name="Hyperlink" xfId="1127" builtinId="8" hidden="1"/>
    <cellStyle name="Hyperlink" xfId="1129" builtinId="8" hidden="1"/>
    <cellStyle name="Hyperlink" xfId="1131" builtinId="8" hidden="1"/>
    <cellStyle name="Hyperlink" xfId="1133" builtinId="8" hidden="1"/>
    <cellStyle name="Hyperlink" xfId="1135" builtinId="8" hidden="1"/>
    <cellStyle name="Hyperlink" xfId="1137" builtinId="8" hidden="1"/>
    <cellStyle name="Hyperlink" xfId="1139" builtinId="8" hidden="1"/>
    <cellStyle name="Hyperlink" xfId="1141" builtinId="8" hidden="1"/>
    <cellStyle name="Hyperlink" xfId="1143" builtinId="8" hidden="1"/>
    <cellStyle name="Hyperlink" xfId="1145" builtinId="8" hidden="1"/>
    <cellStyle name="Hyperlink" xfId="1147" builtinId="8" hidden="1"/>
    <cellStyle name="Hyperlink" xfId="1149" builtinId="8" hidden="1"/>
    <cellStyle name="Hyperlink" xfId="1151" builtinId="8" hidden="1"/>
    <cellStyle name="Hyperlink" xfId="1153" builtinId="8" hidden="1"/>
    <cellStyle name="Hyperlink" xfId="1155" builtinId="8" hidden="1"/>
    <cellStyle name="Hyperlink" xfId="1157" builtinId="8" hidden="1"/>
    <cellStyle name="Hyperlink" xfId="1159" builtinId="8" hidden="1"/>
    <cellStyle name="Hyperlink" xfId="1161" builtinId="8" hidden="1"/>
    <cellStyle name="Hyperlink" xfId="1163" builtinId="8" hidden="1"/>
    <cellStyle name="Hyperlink" xfId="1165" builtinId="8" hidden="1"/>
    <cellStyle name="Hyperlink" xfId="1167" builtinId="8" hidden="1"/>
    <cellStyle name="Hyperlink" xfId="1169" builtinId="8" hidden="1"/>
    <cellStyle name="Hyperlink" xfId="1171" builtinId="8" hidden="1"/>
    <cellStyle name="Hyperlink" xfId="1173" builtinId="8" hidden="1"/>
    <cellStyle name="Hyperlink" xfId="1175" builtinId="8" hidden="1"/>
    <cellStyle name="Hyperlink" xfId="1177" builtinId="8" hidden="1"/>
    <cellStyle name="Hyperlink" xfId="1179" builtinId="8" hidden="1"/>
    <cellStyle name="Hyperlink" xfId="1181" builtinId="8" hidden="1"/>
    <cellStyle name="Hyperlink" xfId="1183" builtinId="8" hidden="1"/>
    <cellStyle name="Hyperlink" xfId="1185" builtinId="8" hidden="1"/>
    <cellStyle name="Hyperlink" xfId="1187" builtinId="8" hidden="1"/>
    <cellStyle name="Hyperlink" xfId="1189" builtinId="8" hidden="1"/>
    <cellStyle name="Hyperlink" xfId="1191" builtinId="8" hidden="1"/>
    <cellStyle name="Hyperlink" xfId="1193" builtinId="8" hidden="1"/>
    <cellStyle name="Hyperlink" xfId="1195" builtinId="8" hidden="1"/>
    <cellStyle name="Hyperlink" xfId="1197" builtinId="8" hidden="1"/>
    <cellStyle name="Hyperlink" xfId="1199" builtinId="8" hidden="1"/>
    <cellStyle name="Hyperlink" xfId="1201" builtinId="8" hidden="1"/>
    <cellStyle name="Hyperlink" xfId="1203" builtinId="8" hidden="1"/>
    <cellStyle name="Hyperlink" xfId="1205" builtinId="8" hidden="1"/>
    <cellStyle name="Hyperlink" xfId="1207" builtinId="8" hidden="1"/>
    <cellStyle name="Hyperlink" xfId="1209" builtinId="8" hidden="1"/>
    <cellStyle name="Hyperlink" xfId="1211" builtinId="8" hidden="1"/>
    <cellStyle name="Hyperlink" xfId="1213" builtinId="8" hidden="1"/>
    <cellStyle name="Hyperlink" xfId="1215" builtinId="8" hidden="1"/>
    <cellStyle name="Hyperlink" xfId="1217" builtinId="8" hidden="1"/>
    <cellStyle name="Hyperlink" xfId="1219" builtinId="8" hidden="1"/>
    <cellStyle name="Hyperlink" xfId="1221" builtinId="8" hidden="1"/>
    <cellStyle name="Hyperlink" xfId="1223" builtinId="8" hidden="1"/>
    <cellStyle name="Hyperlink" xfId="1225" builtinId="8" hidden="1"/>
    <cellStyle name="Hyperlink" xfId="1227" builtinId="8" hidden="1"/>
    <cellStyle name="Hyperlink" xfId="1229" builtinId="8" hidden="1"/>
    <cellStyle name="Hyperlink" xfId="1231" builtinId="8" hidden="1"/>
    <cellStyle name="Hyperlink" xfId="1233" builtinId="8" hidden="1"/>
    <cellStyle name="Hyperlink" xfId="1235" builtinId="8" hidden="1"/>
    <cellStyle name="Hyperlink" xfId="1237" builtinId="8" hidden="1"/>
    <cellStyle name="Hyperlink" xfId="1239" builtinId="8" hidden="1"/>
    <cellStyle name="Hyperlink" xfId="1241" builtinId="8" hidden="1"/>
    <cellStyle name="Hyperlink" xfId="1243" builtinId="8" hidden="1"/>
    <cellStyle name="Hyperlink" xfId="1245" builtinId="8" hidden="1"/>
    <cellStyle name="Hyperlink" xfId="1247" builtinId="8" hidden="1"/>
    <cellStyle name="Hyperlink" xfId="1249" builtinId="8" hidden="1"/>
    <cellStyle name="Hyperlink" xfId="1251" builtinId="8" hidden="1"/>
    <cellStyle name="Hyperlink" xfId="1253" builtinId="8" hidden="1"/>
    <cellStyle name="Hyperlink" xfId="1255" builtinId="8" hidden="1"/>
    <cellStyle name="Hyperlink" xfId="1257" builtinId="8" hidden="1"/>
    <cellStyle name="Hyperlink" xfId="1259" builtinId="8" hidden="1"/>
    <cellStyle name="Hyperlink" xfId="1261" builtinId="8" hidden="1"/>
    <cellStyle name="Hyperlink" xfId="1263" builtinId="8" hidden="1"/>
    <cellStyle name="Hyperlink" xfId="1265" builtinId="8" hidden="1"/>
    <cellStyle name="Hyperlink" xfId="1267" builtinId="8" hidden="1"/>
    <cellStyle name="Hyperlink" xfId="1269" builtinId="8" hidden="1"/>
    <cellStyle name="Hyperlink" xfId="1271" builtinId="8" hidden="1"/>
    <cellStyle name="Hyperlink" xfId="1273" builtinId="8" hidden="1"/>
    <cellStyle name="Hyperlink" xfId="1275" builtinId="8" hidden="1"/>
    <cellStyle name="Hyperlink" xfId="1277" builtinId="8" hidden="1"/>
    <cellStyle name="Hyperlink" xfId="1279" builtinId="8" hidden="1"/>
    <cellStyle name="Hyperlink" xfId="1281" builtinId="8" hidden="1"/>
    <cellStyle name="Hyperlink" xfId="1283" builtinId="8" hidden="1"/>
    <cellStyle name="Hyperlink" xfId="1285" builtinId="8" hidden="1"/>
    <cellStyle name="Hyperlink" xfId="1287" builtinId="8" hidden="1"/>
    <cellStyle name="Hyperlink" xfId="1289" builtinId="8" hidden="1"/>
    <cellStyle name="Hyperlink" xfId="1291" builtinId="8" hidden="1"/>
    <cellStyle name="Hyperlink" xfId="1293" builtinId="8" hidden="1"/>
    <cellStyle name="Hyperlink" xfId="1295" builtinId="8" hidden="1"/>
    <cellStyle name="Hyperlink" xfId="1297" builtinId="8" hidden="1"/>
    <cellStyle name="Hyperlink" xfId="1299" builtinId="8" hidden="1"/>
    <cellStyle name="Hyperlink" xfId="1301" builtinId="8" hidden="1"/>
    <cellStyle name="Hyperlink" xfId="1303" builtinId="8" hidden="1"/>
    <cellStyle name="Hyperlink" xfId="1305" builtinId="8" hidden="1"/>
    <cellStyle name="Hyperlink" xfId="1307" builtinId="8" hidden="1"/>
    <cellStyle name="Hyperlink" xfId="1309" builtinId="8" hidden="1"/>
    <cellStyle name="Hyperlink" xfId="1311" builtinId="8" hidden="1"/>
    <cellStyle name="Hyperlink" xfId="1313" builtinId="8" hidden="1"/>
    <cellStyle name="Hyperlink" xfId="1315" builtinId="8" hidden="1"/>
    <cellStyle name="Hyperlink" xfId="1317" builtinId="8" hidden="1"/>
    <cellStyle name="Hyperlink" xfId="1319" builtinId="8" hidden="1"/>
    <cellStyle name="Hyperlink" xfId="1321" builtinId="8" hidden="1"/>
    <cellStyle name="Hyperlink" xfId="1323" builtinId="8" hidden="1"/>
    <cellStyle name="Hyperlink" xfId="1325" builtinId="8" hidden="1"/>
    <cellStyle name="Hyperlink" xfId="1327" builtinId="8" hidden="1"/>
    <cellStyle name="Hyperlink" xfId="1329" builtinId="8" hidden="1"/>
    <cellStyle name="Hyperlink" xfId="1331" builtinId="8" hidden="1"/>
    <cellStyle name="Hyperlink" xfId="1333" builtinId="8" hidden="1"/>
    <cellStyle name="Hyperlink" xfId="1335" builtinId="8" hidden="1"/>
    <cellStyle name="Hyperlink" xfId="1337" builtinId="8" hidden="1"/>
    <cellStyle name="Hyperlink" xfId="1339" builtinId="8" hidden="1"/>
    <cellStyle name="Hyperlink" xfId="1341" builtinId="8" hidden="1"/>
    <cellStyle name="Hyperlink" xfId="1343" builtinId="8" hidden="1"/>
    <cellStyle name="Hyperlink" xfId="1345" builtinId="8" hidden="1"/>
    <cellStyle name="Hyperlink" xfId="1347" builtinId="8" hidden="1"/>
    <cellStyle name="Hyperlink" xfId="1349" builtinId="8" hidden="1"/>
    <cellStyle name="Hyperlink" xfId="1351" builtinId="8" hidden="1"/>
    <cellStyle name="Hyperlink" xfId="1353" builtinId="8" hidden="1"/>
    <cellStyle name="Hyperlink" xfId="1355" builtinId="8" hidden="1"/>
    <cellStyle name="Hyperlink" xfId="1357" builtinId="8" hidden="1"/>
    <cellStyle name="Hyperlink" xfId="1359" builtinId="8" hidden="1"/>
    <cellStyle name="Hyperlink" xfId="1361" builtinId="8" hidden="1"/>
    <cellStyle name="Hyperlink" xfId="1363" builtinId="8" hidden="1"/>
    <cellStyle name="Hyperlink" xfId="1365" builtinId="8" hidden="1"/>
    <cellStyle name="Hyperlink" xfId="1367" builtinId="8" hidden="1"/>
    <cellStyle name="Hyperlink" xfId="1369" builtinId="8" hidden="1"/>
    <cellStyle name="Hyperlink" xfId="1371" builtinId="8" hidden="1"/>
    <cellStyle name="Hyperlink" xfId="1373" builtinId="8" hidden="1"/>
    <cellStyle name="Hyperlink" xfId="1375" builtinId="8" hidden="1"/>
    <cellStyle name="Hyperlink" xfId="1377" builtinId="8" hidden="1"/>
    <cellStyle name="Hyperlink" xfId="1379" builtinId="8" hidden="1"/>
    <cellStyle name="Hyperlink" xfId="1381" builtinId="8" hidden="1"/>
    <cellStyle name="Hyperlink" xfId="1383" builtinId="8" hidden="1"/>
    <cellStyle name="Hyperlink" xfId="1385" builtinId="8" hidden="1"/>
    <cellStyle name="Hyperlink" xfId="1387" builtinId="8" hidden="1"/>
    <cellStyle name="Hyperlink" xfId="1389" builtinId="8" hidden="1"/>
    <cellStyle name="Hyperlink" xfId="1391" builtinId="8" hidden="1"/>
    <cellStyle name="Hyperlink" xfId="1393" builtinId="8" hidden="1"/>
    <cellStyle name="Hyperlink" xfId="1395" builtinId="8" hidden="1"/>
    <cellStyle name="Hyperlink" xfId="1397" builtinId="8" hidden="1"/>
    <cellStyle name="Hyperlink" xfId="1399" builtinId="8" hidden="1"/>
    <cellStyle name="Hyperlink" xfId="1401" builtinId="8" hidden="1"/>
    <cellStyle name="Hyperlink" xfId="1403" builtinId="8" hidden="1"/>
    <cellStyle name="Hyperlink" xfId="1405" builtinId="8" hidden="1"/>
    <cellStyle name="Hyperlink" xfId="1407" builtinId="8" hidden="1"/>
    <cellStyle name="Hyperlink" xfId="1409" builtinId="8" hidden="1"/>
    <cellStyle name="Hyperlink" xfId="1411" builtinId="8" hidden="1"/>
    <cellStyle name="Hyperlink" xfId="1413" builtinId="8" hidden="1"/>
    <cellStyle name="Hyperlink" xfId="1415" builtinId="8" hidden="1"/>
    <cellStyle name="Hyperlink" xfId="1417" builtinId="8" hidden="1"/>
    <cellStyle name="Hyperlink" xfId="1419" builtinId="8" hidden="1"/>
    <cellStyle name="Hyperlink" xfId="1421" builtinId="8" hidden="1"/>
    <cellStyle name="Hyperlink" xfId="1423" builtinId="8" hidden="1"/>
    <cellStyle name="Hyperlink" xfId="1425" builtinId="8" hidden="1"/>
    <cellStyle name="Hyperlink" xfId="1427" builtinId="8" hidden="1"/>
    <cellStyle name="Hyperlink" xfId="1429" builtinId="8" hidden="1"/>
    <cellStyle name="Hyperlink" xfId="1431" builtinId="8" hidden="1"/>
    <cellStyle name="Hyperlink" xfId="1433" builtinId="8" hidden="1"/>
    <cellStyle name="Hyperlink" xfId="1435" builtinId="8" hidden="1"/>
    <cellStyle name="Hyperlink" xfId="1437" builtinId="8" hidden="1"/>
    <cellStyle name="Hyperlink" xfId="1439" builtinId="8" hidden="1"/>
    <cellStyle name="Hyperlink" xfId="1441" builtinId="8" hidden="1"/>
    <cellStyle name="Hyperlink" xfId="1443" builtinId="8" hidden="1"/>
    <cellStyle name="Hyperlink" xfId="1445" builtinId="8" hidden="1"/>
    <cellStyle name="Hyperlink" xfId="1447" builtinId="8" hidden="1"/>
    <cellStyle name="Hyperlink" xfId="1449" builtinId="8" hidden="1"/>
    <cellStyle name="Hyperlink" xfId="1451" builtinId="8" hidden="1"/>
    <cellStyle name="Hyperlink" xfId="1453" builtinId="8" hidden="1"/>
    <cellStyle name="Hyperlink" xfId="1455" builtinId="8" hidden="1"/>
    <cellStyle name="Hyperlink" xfId="1457" builtinId="8" hidden="1"/>
    <cellStyle name="Hyperlink" xfId="1459" builtinId="8" hidden="1"/>
    <cellStyle name="Hyperlink" xfId="1461" builtinId="8" hidden="1"/>
    <cellStyle name="Hyperlink" xfId="1463" builtinId="8" hidden="1"/>
    <cellStyle name="Hyperlink" xfId="1465" builtinId="8" hidden="1"/>
    <cellStyle name="Hyperlink" xfId="1467" builtinId="8" hidden="1"/>
    <cellStyle name="Hyperlink" xfId="1469" builtinId="8" hidden="1"/>
    <cellStyle name="Hyperlink" xfId="1471" builtinId="8" hidden="1"/>
    <cellStyle name="Hyperlink" xfId="1473" builtinId="8" hidden="1"/>
    <cellStyle name="Hyperlink" xfId="1475" builtinId="8" hidden="1"/>
    <cellStyle name="Hyperlink" xfId="1477" builtinId="8" hidden="1"/>
    <cellStyle name="Hyperlink" xfId="1479" builtinId="8" hidden="1"/>
    <cellStyle name="Hyperlink" xfId="1481" builtinId="8" hidden="1"/>
    <cellStyle name="Hyperlink" xfId="1483" builtinId="8" hidden="1"/>
    <cellStyle name="Hyperlink" xfId="1485" builtinId="8" hidden="1"/>
    <cellStyle name="Hyperlink" xfId="1487" builtinId="8" hidden="1"/>
    <cellStyle name="Hyperlink" xfId="1489" builtinId="8" hidden="1"/>
    <cellStyle name="Hyperlink" xfId="1491" builtinId="8" hidden="1"/>
    <cellStyle name="Hyperlink" xfId="1493" builtinId="8" hidden="1"/>
    <cellStyle name="Hyperlink" xfId="1495" builtinId="8" hidden="1"/>
    <cellStyle name="Hyperlink" xfId="1497" builtinId="8" hidden="1"/>
    <cellStyle name="Hyperlink" xfId="1499" builtinId="8" hidden="1"/>
    <cellStyle name="Hyperlink" xfId="1501" builtinId="8" hidden="1"/>
    <cellStyle name="Hyperlink" xfId="1503" builtinId="8" hidden="1"/>
    <cellStyle name="Hyperlink" xfId="1505" builtinId="8" hidden="1"/>
    <cellStyle name="Hyperlink" xfId="1507" builtinId="8" hidden="1"/>
    <cellStyle name="Hyperlink" xfId="1509" builtinId="8" hidden="1"/>
    <cellStyle name="Hyperlink" xfId="1511" builtinId="8" hidden="1"/>
    <cellStyle name="Hyperlink" xfId="1513" builtinId="8" hidden="1"/>
    <cellStyle name="Hyperlink" xfId="1515" builtinId="8" hidden="1"/>
    <cellStyle name="Hyperlink" xfId="1517" builtinId="8" hidden="1"/>
    <cellStyle name="Hyperlink" xfId="1519" builtinId="8" hidden="1"/>
    <cellStyle name="Hyperlink" xfId="1521" builtinId="8" hidden="1"/>
    <cellStyle name="Hyperlink" xfId="1523" builtinId="8" hidden="1"/>
    <cellStyle name="Hyperlink" xfId="1525" builtinId="8" hidden="1"/>
    <cellStyle name="Hyperlink" xfId="1527" builtinId="8" hidden="1"/>
    <cellStyle name="Hyperlink" xfId="1529" builtinId="8" hidden="1"/>
    <cellStyle name="Hyperlink" xfId="1531" builtinId="8" hidden="1"/>
    <cellStyle name="Hyperlink" xfId="1533" builtinId="8" hidden="1"/>
    <cellStyle name="Hyperlink" xfId="1535" builtinId="8" hidden="1"/>
    <cellStyle name="Hyperlink" xfId="1537" builtinId="8" hidden="1"/>
    <cellStyle name="Hyperlink" xfId="1539" builtinId="8" hidden="1"/>
    <cellStyle name="Hyperlink" xfId="1541" builtinId="8" hidden="1"/>
    <cellStyle name="Hyperlink" xfId="1543" builtinId="8" hidden="1"/>
    <cellStyle name="Hyperlink" xfId="1545" builtinId="8" hidden="1"/>
    <cellStyle name="Hyperlink" xfId="1547" builtinId="8" hidden="1"/>
    <cellStyle name="Hyperlink" xfId="1549" builtinId="8" hidden="1"/>
    <cellStyle name="Hyperlink" xfId="1551" builtinId="8" hidden="1"/>
    <cellStyle name="Hyperlink" xfId="1553" builtinId="8" hidden="1"/>
    <cellStyle name="Hyperlink" xfId="1555" builtinId="8" hidden="1"/>
    <cellStyle name="Hyperlink" xfId="1557" builtinId="8" hidden="1"/>
    <cellStyle name="Hyperlink" xfId="1559" builtinId="8" hidden="1"/>
    <cellStyle name="Hyperlink" xfId="1561" builtinId="8" hidden="1"/>
    <cellStyle name="Hyperlink" xfId="1563" builtinId="8" hidden="1"/>
    <cellStyle name="Hyperlink" xfId="1565" builtinId="8" hidden="1"/>
    <cellStyle name="Hyperlink" xfId="1567" builtinId="8" hidden="1"/>
    <cellStyle name="Hyperlink" xfId="1569" builtinId="8" hidden="1"/>
    <cellStyle name="Hyperlink" xfId="1571" builtinId="8" hidden="1"/>
    <cellStyle name="Hyperlink" xfId="1573" builtinId="8" hidden="1"/>
    <cellStyle name="Hyperlink" xfId="1575" builtinId="8" hidden="1"/>
    <cellStyle name="Hyperlink" xfId="1577" builtinId="8" hidden="1"/>
    <cellStyle name="Hyperlink" xfId="1579" builtinId="8" hidden="1"/>
    <cellStyle name="Hyperlink" xfId="1581" builtinId="8" hidden="1"/>
    <cellStyle name="Hyperlink" xfId="1583" builtinId="8" hidden="1"/>
    <cellStyle name="Hyperlink" xfId="1585" builtinId="8" hidden="1"/>
    <cellStyle name="Hyperlink" xfId="1587" builtinId="8" hidden="1"/>
    <cellStyle name="Hyperlink" xfId="1589" builtinId="8" hidden="1"/>
    <cellStyle name="Hyperlink" xfId="1591" builtinId="8" hidden="1"/>
    <cellStyle name="Hyperlink" xfId="1593" builtinId="8" hidden="1"/>
    <cellStyle name="Hyperlink" xfId="1595" builtinId="8" hidden="1"/>
    <cellStyle name="Hyperlink" xfId="1597" builtinId="8" hidden="1"/>
    <cellStyle name="Hyperlink" xfId="1599" builtinId="8" hidden="1"/>
    <cellStyle name="Hyperlink" xfId="1601" builtinId="8" hidden="1"/>
    <cellStyle name="Hyperlink" xfId="1603" builtinId="8" hidden="1"/>
    <cellStyle name="Hyperlink" xfId="1605" builtinId="8" hidden="1"/>
    <cellStyle name="Hyperlink" xfId="1607" builtinId="8" hidden="1"/>
    <cellStyle name="Hyperlink" xfId="1609" builtinId="8" hidden="1"/>
    <cellStyle name="Hyperlink" xfId="1611" builtinId="8" hidden="1"/>
    <cellStyle name="Hyperlink" xfId="1613" builtinId="8" hidden="1"/>
    <cellStyle name="Hyperlink" xfId="1615" builtinId="8" hidden="1"/>
    <cellStyle name="Hyperlink" xfId="1617" builtinId="8" hidden="1"/>
    <cellStyle name="Hyperlink" xfId="1619" builtinId="8" hidden="1"/>
    <cellStyle name="Hyperlink" xfId="1621" builtinId="8" hidden="1"/>
    <cellStyle name="Hyperlink" xfId="1623" builtinId="8" hidden="1"/>
    <cellStyle name="Hyperlink" xfId="1625" builtinId="8" hidden="1"/>
    <cellStyle name="Hyperlink" xfId="1627" builtinId="8" hidden="1"/>
    <cellStyle name="Hyperlink" xfId="1629" builtinId="8" hidden="1"/>
    <cellStyle name="Hyperlink" xfId="1631" builtinId="8" hidden="1"/>
    <cellStyle name="Hyperlink" xfId="1633" builtinId="8" hidden="1"/>
    <cellStyle name="Hyperlink" xfId="1635" builtinId="8" hidden="1"/>
    <cellStyle name="Hyperlink" xfId="1637" builtinId="8" hidden="1"/>
    <cellStyle name="Hyperlink" xfId="1639" builtinId="8" hidden="1"/>
    <cellStyle name="Hyperlink" xfId="1641" builtinId="8" hidden="1"/>
    <cellStyle name="Hyperlink" xfId="1643" builtinId="8" hidden="1"/>
    <cellStyle name="Hyperlink" xfId="1645" builtinId="8" hidden="1"/>
    <cellStyle name="Hyperlink" xfId="1647" builtinId="8" hidden="1"/>
    <cellStyle name="Hyperlink" xfId="1649" builtinId="8" hidden="1"/>
    <cellStyle name="Hyperlink" xfId="1651" builtinId="8" hidden="1"/>
    <cellStyle name="Hyperlink" xfId="1653" builtinId="8" hidden="1"/>
    <cellStyle name="Hyperlink" xfId="1655" builtinId="8" hidden="1"/>
    <cellStyle name="Hyperlink" xfId="1657" builtinId="8" hidden="1"/>
    <cellStyle name="Hyperlink" xfId="1659" builtinId="8" hidden="1"/>
    <cellStyle name="Hyperlink" xfId="1661" builtinId="8" hidden="1"/>
    <cellStyle name="Hyperlink" xfId="1663" builtinId="8" hidden="1"/>
    <cellStyle name="Hyperlink" xfId="1665" builtinId="8" hidden="1"/>
    <cellStyle name="Hyperlink" xfId="1667" builtinId="8" hidden="1"/>
    <cellStyle name="Hyperlink" xfId="1669" builtinId="8" hidden="1"/>
    <cellStyle name="Hyperlink" xfId="1671" builtinId="8" hidden="1"/>
    <cellStyle name="Hyperlink" xfId="1673" builtinId="8" hidden="1"/>
    <cellStyle name="Hyperlink" xfId="1675" builtinId="8" hidden="1"/>
    <cellStyle name="Hyperlink" xfId="1677" builtinId="8" hidden="1"/>
    <cellStyle name="Hyperlink" xfId="1679" builtinId="8" hidden="1"/>
    <cellStyle name="Hyperlink" xfId="1681" builtinId="8" hidden="1"/>
    <cellStyle name="Hyperlink" xfId="1683" builtinId="8" hidden="1"/>
    <cellStyle name="Hyperlink" xfId="1685" builtinId="8" hidden="1"/>
    <cellStyle name="Hyperlink" xfId="1687" builtinId="8" hidden="1"/>
    <cellStyle name="Hyperlink" xfId="1689" builtinId="8" hidden="1"/>
    <cellStyle name="Hyperlink" xfId="1691" builtinId="8" hidden="1"/>
    <cellStyle name="Hyperlink" xfId="1693" builtinId="8" hidden="1"/>
    <cellStyle name="Hyperlink" xfId="1695" builtinId="8" hidden="1"/>
    <cellStyle name="Hyperlink" xfId="1697" builtinId="8" hidden="1"/>
    <cellStyle name="Hyperlink" xfId="1699" builtinId="8" hidden="1"/>
    <cellStyle name="Hyperlink" xfId="1701" builtinId="8" hidden="1"/>
    <cellStyle name="Hyperlink" xfId="1703" builtinId="8" hidden="1"/>
    <cellStyle name="Hyperlink" xfId="1705" builtinId="8" hidden="1"/>
    <cellStyle name="Hyperlink" xfId="1707" builtinId="8" hidden="1"/>
    <cellStyle name="Hyperlink" xfId="1709" builtinId="8" hidden="1"/>
    <cellStyle name="Hyperlink" xfId="1711" builtinId="8" hidden="1"/>
    <cellStyle name="Hyperlink" xfId="1713" builtinId="8" hidden="1"/>
    <cellStyle name="Hyperlink" xfId="1715" builtinId="8" hidden="1"/>
    <cellStyle name="Hyperlink" xfId="1717" builtinId="8" hidden="1"/>
    <cellStyle name="Hyperlink" xfId="1719" builtinId="8" hidden="1"/>
    <cellStyle name="Hyperlink" xfId="1721" builtinId="8" hidden="1"/>
    <cellStyle name="Hyperlink" xfId="1723" builtinId="8" hidden="1"/>
    <cellStyle name="Hyperlink" xfId="1725" builtinId="8" hidden="1"/>
    <cellStyle name="Hyperlink" xfId="1727" builtinId="8" hidden="1"/>
    <cellStyle name="Hyperlink" xfId="1729" builtinId="8" hidden="1"/>
    <cellStyle name="Hyperlink" xfId="1731" builtinId="8" hidden="1"/>
    <cellStyle name="Hyperlink" xfId="1733" builtinId="8" hidden="1"/>
    <cellStyle name="Hyperlink" xfId="1735" builtinId="8" hidden="1"/>
    <cellStyle name="Hyperlink" xfId="1737" builtinId="8" hidden="1"/>
    <cellStyle name="Hyperlink" xfId="1739" builtinId="8" hidden="1"/>
    <cellStyle name="Hyperlink" xfId="1741" builtinId="8" hidden="1"/>
    <cellStyle name="Hyperlink" xfId="1743" builtinId="8" hidden="1"/>
    <cellStyle name="Hyperlink" xfId="1745" builtinId="8" hidden="1"/>
    <cellStyle name="Hyperlink" xfId="1747" builtinId="8" hidden="1"/>
    <cellStyle name="Hyperlink" xfId="1749" builtinId="8" hidden="1"/>
    <cellStyle name="Hyperlink" xfId="1751" builtinId="8" hidden="1"/>
    <cellStyle name="Hyperlink" xfId="1753" builtinId="8" hidden="1"/>
    <cellStyle name="Hyperlink" xfId="1755" builtinId="8" hidden="1"/>
    <cellStyle name="Hyperlink" xfId="1757" builtinId="8" hidden="1"/>
    <cellStyle name="Hyperlink" xfId="1759" builtinId="8" hidden="1"/>
    <cellStyle name="Hyperlink" xfId="1761" builtinId="8" hidden="1"/>
    <cellStyle name="Hyperlink" xfId="1763" builtinId="8" hidden="1"/>
    <cellStyle name="Hyperlink" xfId="1765" builtinId="8" hidden="1"/>
    <cellStyle name="Hyperlink" xfId="1767" builtinId="8" hidden="1"/>
    <cellStyle name="Hyperlink" xfId="1769" builtinId="8" hidden="1"/>
    <cellStyle name="Hyperlink" xfId="1771" builtinId="8" hidden="1"/>
    <cellStyle name="Hyperlink" xfId="1773" builtinId="8" hidden="1"/>
    <cellStyle name="Hyperlink" xfId="1775" builtinId="8" hidden="1"/>
    <cellStyle name="Hyperlink" xfId="1777" builtinId="8" hidden="1"/>
    <cellStyle name="Hyperlink" xfId="1779" builtinId="8" hidden="1"/>
    <cellStyle name="Hyperlink" xfId="1781" builtinId="8" hidden="1"/>
    <cellStyle name="Hyperlink" xfId="1783" builtinId="8" hidden="1"/>
    <cellStyle name="Hyperlink" xfId="1785" builtinId="8" hidden="1"/>
    <cellStyle name="Hyperlink" xfId="1787" builtinId="8" hidden="1"/>
    <cellStyle name="Hyperlink" xfId="1789" builtinId="8" hidden="1"/>
    <cellStyle name="Hyperlink" xfId="1791" builtinId="8" hidden="1"/>
    <cellStyle name="Hyperlink" xfId="1793" builtinId="8" hidden="1"/>
    <cellStyle name="Hyperlink" xfId="1795" builtinId="8" hidden="1"/>
    <cellStyle name="Hyperlink" xfId="1797" builtinId="8" hidden="1"/>
    <cellStyle name="Hyperlink" xfId="1799" builtinId="8" hidden="1"/>
    <cellStyle name="Hyperlink" xfId="1801" builtinId="8" hidden="1"/>
    <cellStyle name="Hyperlink" xfId="1803" builtinId="8" hidden="1"/>
    <cellStyle name="Hyperlink" xfId="1805" builtinId="8" hidden="1"/>
    <cellStyle name="Hyperlink" xfId="1807" builtinId="8" hidden="1"/>
    <cellStyle name="Hyperlink" xfId="1809" builtinId="8" hidden="1"/>
    <cellStyle name="Hyperlink" xfId="1811" builtinId="8" hidden="1"/>
    <cellStyle name="Hyperlink" xfId="1813" builtinId="8" hidden="1"/>
    <cellStyle name="Hyperlink" xfId="1815" builtinId="8" hidden="1"/>
    <cellStyle name="Hyperlink" xfId="1817" builtinId="8" hidden="1"/>
    <cellStyle name="Hyperlink" xfId="1819" builtinId="8" hidden="1"/>
    <cellStyle name="Hyperlink" xfId="1821" builtinId="8" hidden="1"/>
    <cellStyle name="Hyperlink" xfId="1823" builtinId="8" hidden="1"/>
    <cellStyle name="Hyperlink" xfId="1825" builtinId="8" hidden="1"/>
    <cellStyle name="Hyperlink" xfId="1827" builtinId="8" hidden="1"/>
    <cellStyle name="Hyperlink" xfId="1829" builtinId="8" hidden="1"/>
    <cellStyle name="Hyperlink" xfId="1831" builtinId="8" hidden="1"/>
    <cellStyle name="Hyperlink" xfId="1833" builtinId="8" hidden="1"/>
    <cellStyle name="Hyperlink" xfId="1835" builtinId="8" hidden="1"/>
    <cellStyle name="Hyperlink" xfId="1837" builtinId="8" hidden="1"/>
    <cellStyle name="Hyperlink" xfId="1839" builtinId="8" hidden="1"/>
    <cellStyle name="Hyperlink" xfId="1841" builtinId="8" hidden="1"/>
    <cellStyle name="Hyperlink" xfId="1843" builtinId="8" hidden="1"/>
    <cellStyle name="Hyperlink" xfId="1845" builtinId="8" hidden="1"/>
    <cellStyle name="Hyperlink" xfId="1847" builtinId="8" hidden="1"/>
    <cellStyle name="Hyperlink" xfId="1849" builtinId="8" hidden="1"/>
    <cellStyle name="Hyperlink" xfId="1851" builtinId="8" hidden="1"/>
    <cellStyle name="Hyperlink" xfId="1853" builtinId="8" hidden="1"/>
    <cellStyle name="Hyperlink" xfId="1855" builtinId="8" hidden="1"/>
    <cellStyle name="Hyperlink" xfId="1857" builtinId="8" hidden="1"/>
    <cellStyle name="Hyperlink" xfId="1859" builtinId="8" hidden="1"/>
    <cellStyle name="Hyperlink" xfId="1861" builtinId="8" hidden="1"/>
    <cellStyle name="Hyperlink" xfId="1863" builtinId="8" hidden="1"/>
    <cellStyle name="Hyperlink" xfId="1865" builtinId="8" hidden="1"/>
    <cellStyle name="Hyperlink" xfId="1867" builtinId="8" hidden="1"/>
    <cellStyle name="Hyperlink" xfId="1869" builtinId="8" hidden="1"/>
    <cellStyle name="Hyperlink" xfId="1871" builtinId="8" hidden="1"/>
    <cellStyle name="Hyperlink" xfId="1873" builtinId="8" hidden="1"/>
    <cellStyle name="Hyperlink" xfId="1875" builtinId="8" hidden="1"/>
    <cellStyle name="Hyperlink" xfId="1877" builtinId="8" hidden="1"/>
    <cellStyle name="Hyperlink" xfId="1879" builtinId="8" hidden="1"/>
    <cellStyle name="Hyperlink" xfId="1881" builtinId="8" hidden="1"/>
    <cellStyle name="Hyperlink" xfId="1883" builtinId="8" hidden="1"/>
    <cellStyle name="Hyperlink" xfId="1885" builtinId="8" hidden="1"/>
    <cellStyle name="Hyperlink" xfId="1887" builtinId="8" hidden="1"/>
    <cellStyle name="Hyperlink" xfId="1889" builtinId="8" hidden="1"/>
    <cellStyle name="Hyperlink" xfId="1891" builtinId="8" hidden="1"/>
    <cellStyle name="Hyperlink" xfId="1893" builtinId="8" hidden="1"/>
    <cellStyle name="Hyperlink" xfId="1895" builtinId="8" hidden="1"/>
    <cellStyle name="Hyperlink" xfId="1897" builtinId="8" hidden="1"/>
    <cellStyle name="Hyperlink" xfId="1899" builtinId="8" hidden="1"/>
    <cellStyle name="Hyperlink" xfId="1901" builtinId="8" hidden="1"/>
    <cellStyle name="Hyperlink" xfId="1903" builtinId="8" hidden="1"/>
    <cellStyle name="Hyperlink" xfId="1905" builtinId="8" hidden="1"/>
    <cellStyle name="Hyperlink" xfId="1907" builtinId="8" hidden="1"/>
    <cellStyle name="Hyperlink" xfId="1909" builtinId="8" hidden="1"/>
    <cellStyle name="Hyperlink" xfId="1911" builtinId="8" hidden="1"/>
    <cellStyle name="Hyperlink" xfId="1913" builtinId="8" hidden="1"/>
    <cellStyle name="Hyperlink" xfId="1915" builtinId="8" hidden="1"/>
    <cellStyle name="Hyperlink" xfId="1917" builtinId="8" hidden="1"/>
    <cellStyle name="Hyperlink" xfId="1919" builtinId="8" hidden="1"/>
    <cellStyle name="Hyperlink" xfId="1921" builtinId="8" hidden="1"/>
    <cellStyle name="Hyperlink" xfId="1923" builtinId="8" hidden="1"/>
    <cellStyle name="Hyperlink" xfId="1925" builtinId="8" hidden="1"/>
    <cellStyle name="Hyperlink" xfId="1927" builtinId="8" hidden="1"/>
    <cellStyle name="Hyperlink" xfId="1929" builtinId="8" hidden="1"/>
    <cellStyle name="Hyperlink" xfId="1931" builtinId="8" hidden="1"/>
    <cellStyle name="Hyperlink" xfId="1933" builtinId="8" hidden="1"/>
    <cellStyle name="Hyperlink" xfId="1935" builtinId="8" hidden="1"/>
    <cellStyle name="Hyperlink" xfId="1937" builtinId="8" hidden="1"/>
    <cellStyle name="Hyperlink" xfId="1939" builtinId="8" hidden="1"/>
    <cellStyle name="Hyperlink" xfId="1941" builtinId="8" hidden="1"/>
    <cellStyle name="Hyperlink" xfId="1943" builtinId="8" hidden="1"/>
    <cellStyle name="Hyperlink" xfId="1945" builtinId="8" hidden="1"/>
    <cellStyle name="Hyperlink" xfId="1947" builtinId="8" hidden="1"/>
    <cellStyle name="Hyperlink" xfId="1949" builtinId="8" hidden="1"/>
    <cellStyle name="Hyperlink" xfId="1951" builtinId="8" hidden="1"/>
    <cellStyle name="Hyperlink" xfId="1953" builtinId="8" hidden="1"/>
    <cellStyle name="Hyperlink" xfId="1955" builtinId="8" hidden="1"/>
    <cellStyle name="Hyperlink" xfId="1957" builtinId="8" hidden="1"/>
    <cellStyle name="Hyperlink" xfId="1959" builtinId="8" hidden="1"/>
    <cellStyle name="Hyperlink" xfId="1961" builtinId="8" hidden="1"/>
    <cellStyle name="Hyperlink" xfId="1963" builtinId="8" hidden="1"/>
    <cellStyle name="Hyperlink" xfId="1965" builtinId="8" hidden="1"/>
    <cellStyle name="Hyperlink" xfId="1967" builtinId="8" hidden="1"/>
    <cellStyle name="Hyperlink" xfId="1969" builtinId="8" hidden="1"/>
    <cellStyle name="Hyperlink" xfId="1971" builtinId="8" hidden="1"/>
    <cellStyle name="Hyperlink" xfId="1973" builtinId="8" hidden="1"/>
    <cellStyle name="Hyperlink" xfId="1975" builtinId="8" hidden="1"/>
    <cellStyle name="Hyperlink" xfId="1977" builtinId="8" hidden="1"/>
    <cellStyle name="Hyperlink" xfId="1979" builtinId="8" hidden="1"/>
    <cellStyle name="Hyperlink" xfId="1981" builtinId="8" hidden="1"/>
    <cellStyle name="Hyperlink" xfId="1983" builtinId="8" hidden="1"/>
    <cellStyle name="Hyperlink" xfId="1985" builtinId="8" hidden="1"/>
    <cellStyle name="Hyperlink" xfId="1987" builtinId="8" hidden="1"/>
    <cellStyle name="Hyperlink" xfId="1989" builtinId="8" hidden="1"/>
    <cellStyle name="Hyperlink" xfId="1991" builtinId="8" hidden="1"/>
    <cellStyle name="Hyperlink" xfId="1993" builtinId="8" hidden="1"/>
    <cellStyle name="Hyperlink" xfId="1995" builtinId="8" hidden="1"/>
    <cellStyle name="Hyperlink" xfId="1997" builtinId="8" hidden="1"/>
    <cellStyle name="Hyperlink" xfId="1999" builtinId="8" hidden="1"/>
    <cellStyle name="Hyperlink" xfId="2001" builtinId="8" hidden="1"/>
    <cellStyle name="Hyperlink" xfId="2003" builtinId="8" hidden="1"/>
    <cellStyle name="Hyperlink" xfId="2005" builtinId="8" hidden="1"/>
    <cellStyle name="Hyperlink" xfId="2007" builtinId="8" hidden="1"/>
    <cellStyle name="Hyperlink" xfId="2009" builtinId="8" hidden="1"/>
    <cellStyle name="Hyperlink" xfId="2011" builtinId="8" hidden="1"/>
    <cellStyle name="Hyperlink" xfId="2013" builtinId="8" hidden="1"/>
    <cellStyle name="Hyperlink" xfId="2015" builtinId="8" hidden="1"/>
    <cellStyle name="Hyperlink" xfId="2017" builtinId="8" hidden="1"/>
    <cellStyle name="Hyperlink" xfId="2019"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hyperlink" Target="http://effective-altruism.com/ea/rl/quantifying_the_impact_of_economic_growth_on_mea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L30"/>
  <sheetViews>
    <sheetView workbookViewId="0">
      <selection activeCell="C5" sqref="C5"/>
    </sheetView>
  </sheetViews>
  <sheetFormatPr baseColWidth="10" defaultRowHeight="15" x14ac:dyDescent="0"/>
  <cols>
    <col min="1" max="1" width="28.83203125" customWidth="1"/>
    <col min="2" max="5" width="12.1640625" bestFit="1" customWidth="1"/>
    <col min="6" max="6" width="12.83203125" bestFit="1" customWidth="1"/>
    <col min="7" max="7" width="12.1640625" bestFit="1" customWidth="1"/>
    <col min="8" max="11" width="11.83203125" bestFit="1" customWidth="1"/>
    <col min="13" max="13" width="11.83203125" bestFit="1" customWidth="1"/>
  </cols>
  <sheetData>
    <row r="1" spans="1:12" ht="30" customHeight="1">
      <c r="A1" s="6" t="s">
        <v>139</v>
      </c>
      <c r="G1" s="6" t="s">
        <v>141</v>
      </c>
    </row>
    <row r="2" spans="1:12" ht="30" customHeight="1">
      <c r="A2" s="44"/>
      <c r="B2" s="58" t="s">
        <v>111</v>
      </c>
      <c r="C2" s="58" t="s">
        <v>112</v>
      </c>
      <c r="D2" s="58" t="s">
        <v>140</v>
      </c>
      <c r="G2" s="44"/>
      <c r="H2" s="44" t="s">
        <v>119</v>
      </c>
      <c r="I2" s="44" t="s">
        <v>30</v>
      </c>
      <c r="J2" s="58" t="s">
        <v>111</v>
      </c>
      <c r="K2" s="58" t="s">
        <v>112</v>
      </c>
    </row>
    <row r="3" spans="1:12" ht="30" customHeight="1">
      <c r="A3" s="96" t="s">
        <v>113</v>
      </c>
      <c r="B3" s="97" t="e">
        <f>GiveDirectly!B30</f>
        <v>#VALUE!</v>
      </c>
      <c r="C3" s="97">
        <f>GiveDirectly!B31</f>
        <v>10000000.947554691</v>
      </c>
      <c r="D3" s="97">
        <f>C3/$C$3</f>
        <v>1</v>
      </c>
      <c r="G3" s="139" t="s">
        <v>113</v>
      </c>
      <c r="H3" s="80">
        <f>GiveDirectly!G3</f>
        <v>1</v>
      </c>
      <c r="I3" s="79">
        <f>GiveDirectly!H3</f>
        <v>4.0000000000000008E-2</v>
      </c>
      <c r="J3" s="97">
        <f>GiveDirectly!G4</f>
        <v>0.85832741114212496</v>
      </c>
      <c r="K3" s="97">
        <f>GiveDirectly!G5</f>
        <v>0.94755469095363942</v>
      </c>
    </row>
    <row r="4" spans="1:12" ht="30" customHeight="1">
      <c r="A4" s="96" t="s">
        <v>171</v>
      </c>
      <c r="B4" s="97" t="e">
        <f>THL!B34</f>
        <v>#VALUE!</v>
      </c>
      <c r="C4" s="97" t="e">
        <f>THL!B35</f>
        <v>#VALUE!</v>
      </c>
      <c r="D4" s="97" t="e">
        <f>C4/C3</f>
        <v>#VALUE!</v>
      </c>
      <c r="G4" s="80" t="s">
        <v>118</v>
      </c>
      <c r="H4" s="138">
        <f>D17</f>
        <v>11.224972160321824</v>
      </c>
      <c r="I4" s="138">
        <f>E17</f>
        <v>7.4864535847752101E-2</v>
      </c>
      <c r="J4" s="97">
        <f>ParetoPosterior(median,alpha,H4:I4)</f>
        <v>7.6651731591110082</v>
      </c>
      <c r="K4" s="97">
        <f>LognormPosterior(mu_global_poverty,sigma_global_poverty,H4:I4)</f>
        <v>7.68136697438384</v>
      </c>
    </row>
    <row r="5" spans="1:12" ht="30" customHeight="1">
      <c r="A5" s="58" t="s">
        <v>297</v>
      </c>
      <c r="B5" s="140" t="e">
        <f>'Cage-Free'!B23</f>
        <v>#VALUE!</v>
      </c>
      <c r="C5" s="140" t="e">
        <f>'Cage-Free'!B24</f>
        <v>#VALUE!</v>
      </c>
      <c r="D5" s="140" t="e">
        <f>C5/C3</f>
        <v>#VALUE!</v>
      </c>
      <c r="G5" s="80" t="s">
        <v>171</v>
      </c>
      <c r="H5" s="138">
        <f>THL!I5</f>
        <v>5429.9171264394072</v>
      </c>
      <c r="I5" s="79">
        <f>THL!J5</f>
        <v>0.49504262895320128</v>
      </c>
      <c r="J5" s="97">
        <f>THL!I6</f>
        <v>396.49368154968971</v>
      </c>
      <c r="K5" s="97" t="str">
        <f>THL!I7</f>
        <v>disabled</v>
      </c>
    </row>
    <row r="6" spans="1:12" ht="30" customHeight="1">
      <c r="A6" s="96" t="s">
        <v>114</v>
      </c>
      <c r="B6" s="97" t="e">
        <f>'AI Safety'!B11</f>
        <v>#VALUE!</v>
      </c>
      <c r="C6" s="97" t="str">
        <f>'AI Safety'!B12</f>
        <v>disabled</v>
      </c>
      <c r="D6" s="97" t="e">
        <f>C6/$C$3</f>
        <v>#VALUE!</v>
      </c>
      <c r="G6" s="80" t="s">
        <v>250</v>
      </c>
      <c r="H6" s="138">
        <f>'Cage-Free'!I5</f>
        <v>88741.196746494257</v>
      </c>
      <c r="I6" s="138">
        <f>'Cage-Free'!J5</f>
        <v>0.31528753718843733</v>
      </c>
      <c r="J6" s="97">
        <f>'Cage-Free'!I6</f>
        <v>16679.269175199799</v>
      </c>
      <c r="K6" s="97">
        <f>'Cage-Free'!I7</f>
        <v>2531.88913733256</v>
      </c>
    </row>
    <row r="7" spans="1:12" ht="30" customHeight="1">
      <c r="A7" s="96" t="s">
        <v>138</v>
      </c>
      <c r="B7" s="97" t="e">
        <f>'AI Targeted Values Spreading'!B23</f>
        <v>#VALUE!</v>
      </c>
      <c r="C7" s="97" t="str">
        <f>'AI Targeted Values Spreading'!B24</f>
        <v>disabled</v>
      </c>
      <c r="D7" s="97" t="e">
        <f>C7/$C$3</f>
        <v>#VALUE!</v>
      </c>
    </row>
    <row r="8" spans="1:12" ht="30" customHeight="1">
      <c r="G8" s="3"/>
      <c r="H8" s="9"/>
      <c r="I8" s="3"/>
      <c r="K8" s="3"/>
      <c r="L8" s="3"/>
    </row>
    <row r="9" spans="1:12" ht="30" customHeight="1"/>
    <row r="10" spans="1:12" ht="30" customHeight="1">
      <c r="A10" s="6" t="s">
        <v>249</v>
      </c>
    </row>
    <row r="11" spans="1:12" ht="30" customHeight="1">
      <c r="A11" s="44" t="s">
        <v>246</v>
      </c>
      <c r="B11" s="44" t="s">
        <v>0</v>
      </c>
      <c r="C11" s="44" t="s">
        <v>1</v>
      </c>
      <c r="D11" s="44" t="s">
        <v>156</v>
      </c>
      <c r="E11" s="44" t="s">
        <v>158</v>
      </c>
      <c r="F11" s="58" t="s">
        <v>111</v>
      </c>
      <c r="G11" s="58" t="s">
        <v>112</v>
      </c>
      <c r="H11" s="44" t="s">
        <v>27</v>
      </c>
    </row>
    <row r="12" spans="1:12" ht="30" customHeight="1">
      <c r="A12" s="44" t="s">
        <v>113</v>
      </c>
      <c r="B12" s="44"/>
      <c r="C12" s="44"/>
      <c r="D12" s="44"/>
      <c r="E12" s="44"/>
      <c r="F12" s="140" t="e">
        <f>B3</f>
        <v>#VALUE!</v>
      </c>
      <c r="G12" s="140">
        <f>C3</f>
        <v>10000000.947554691</v>
      </c>
    </row>
    <row r="13" spans="1:12" ht="30" customHeight="1">
      <c r="A13" s="44" t="s">
        <v>171</v>
      </c>
      <c r="B13" s="44"/>
      <c r="C13" s="44"/>
      <c r="D13" s="44"/>
      <c r="E13" s="44"/>
      <c r="F13" s="140" t="e">
        <f>B4</f>
        <v>#VALUE!</v>
      </c>
      <c r="G13" s="140" t="e">
        <f>C4</f>
        <v>#VALUE!</v>
      </c>
    </row>
    <row r="14" spans="1:12" ht="30" customHeight="1">
      <c r="A14" s="44" t="s">
        <v>280</v>
      </c>
      <c r="B14" s="44"/>
      <c r="C14" s="44"/>
      <c r="D14" s="44"/>
      <c r="E14" s="44"/>
      <c r="F14" s="140">
        <f>J6</f>
        <v>16679.269175199799</v>
      </c>
      <c r="G14" s="140">
        <f>K6</f>
        <v>2531.88913733256</v>
      </c>
    </row>
    <row r="15" spans="1:12" ht="30" customHeight="1">
      <c r="A15" s="44" t="s">
        <v>114</v>
      </c>
      <c r="B15" s="44"/>
      <c r="C15" s="44"/>
      <c r="D15" s="44"/>
      <c r="E15" s="44"/>
      <c r="F15" s="140" t="e">
        <f>B6</f>
        <v>#VALUE!</v>
      </c>
      <c r="G15" s="140" t="str">
        <f>C6</f>
        <v>disabled</v>
      </c>
    </row>
    <row r="16" spans="1:12" ht="30" customHeight="1">
      <c r="A16" s="44" t="s">
        <v>138</v>
      </c>
      <c r="B16" s="44"/>
      <c r="C16" s="44"/>
      <c r="D16" s="44"/>
      <c r="E16" s="44"/>
      <c r="F16" s="140" t="e">
        <f>B7</f>
        <v>#VALUE!</v>
      </c>
      <c r="G16" s="140" t="str">
        <f>C7</f>
        <v>disabled</v>
      </c>
    </row>
    <row r="17" spans="1:8" ht="30" customHeight="1">
      <c r="A17" s="62" t="s">
        <v>274</v>
      </c>
      <c r="B17" s="92">
        <v>9</v>
      </c>
      <c r="C17" s="92">
        <v>14</v>
      </c>
      <c r="D17" s="138">
        <f t="shared" ref="D17:D22" si="0">GEOMEAN(B17,C17)</f>
        <v>11.224972160321824</v>
      </c>
      <c r="E17" s="80">
        <f t="shared" ref="E17:E22" si="1">LogVariance(B17,C17)</f>
        <v>7.4864535847752101E-2</v>
      </c>
      <c r="F17" s="140">
        <f t="shared" ref="F17:F22" si="2">ParetoPosterior(median,alpha,$D17:$E17)</f>
        <v>7.6651731591110082</v>
      </c>
      <c r="G17" s="140">
        <f>LognormPosterior(mu_global_poverty,sigma_global_poverty,$D17:$E17)</f>
        <v>7.68136697438384</v>
      </c>
    </row>
    <row r="18" spans="1:8" ht="30" customHeight="1">
      <c r="A18" s="62" t="s">
        <v>275</v>
      </c>
      <c r="B18" s="92">
        <v>6</v>
      </c>
      <c r="C18" s="92">
        <v>30</v>
      </c>
      <c r="D18" s="138">
        <f t="shared" si="0"/>
        <v>13.416407864998737</v>
      </c>
      <c r="E18" s="80">
        <f t="shared" si="1"/>
        <v>0.27270459618181209</v>
      </c>
      <c r="F18" s="140">
        <f t="shared" si="2"/>
        <v>3.7274882658620698</v>
      </c>
      <c r="G18" s="140">
        <f>LognormPosterior(mu_global_poverty,sigma_global_poverty,$D18:$E18)</f>
        <v>4.4094745822667356</v>
      </c>
    </row>
    <row r="19" spans="1:8" ht="30" customHeight="1">
      <c r="A19" s="62" t="s">
        <v>276</v>
      </c>
      <c r="B19" s="92">
        <v>0.5</v>
      </c>
      <c r="C19" s="92">
        <v>15</v>
      </c>
      <c r="D19" s="138">
        <f t="shared" si="0"/>
        <v>2.7386127875258306</v>
      </c>
      <c r="E19" s="80">
        <f t="shared" si="1"/>
        <v>0.57630191965469357</v>
      </c>
      <c r="F19" s="140">
        <f t="shared" si="2"/>
        <v>0.60816760992752539</v>
      </c>
      <c r="G19" s="140">
        <f>LognormPosterior(mu_policy,sigma_policy,$D19:$E19)</f>
        <v>1.0908863363038546</v>
      </c>
      <c r="H19" s="127" t="s">
        <v>247</v>
      </c>
    </row>
    <row r="20" spans="1:8" ht="30" customHeight="1">
      <c r="A20" s="62" t="s">
        <v>277</v>
      </c>
      <c r="B20" s="92">
        <v>2</v>
      </c>
      <c r="C20" s="92">
        <v>25</v>
      </c>
      <c r="D20" s="138">
        <f t="shared" si="0"/>
        <v>7.0710678118654755</v>
      </c>
      <c r="E20" s="80">
        <f t="shared" si="1"/>
        <v>0.42796171550924683</v>
      </c>
      <c r="F20" s="140">
        <f t="shared" si="2"/>
        <v>1.3899606988089097</v>
      </c>
      <c r="G20" s="140">
        <f>LognormPosterior(mu_policy,sigma_policy,$D20:$E20)</f>
        <v>2.1388077929344163</v>
      </c>
    </row>
    <row r="21" spans="1:8" ht="30" customHeight="1">
      <c r="A21" s="62" t="s">
        <v>278</v>
      </c>
      <c r="B21" s="92">
        <v>0.1</v>
      </c>
      <c r="C21" s="92">
        <v>10</v>
      </c>
      <c r="D21" s="138">
        <f t="shared" si="0"/>
        <v>1</v>
      </c>
      <c r="E21" s="80">
        <f t="shared" si="1"/>
        <v>0.78030414607237897</v>
      </c>
      <c r="F21" s="140">
        <f t="shared" si="2"/>
        <v>0.32990094699021733</v>
      </c>
      <c r="G21" s="140">
        <f>LognormPosterior(mu_policy,sigma_policy,$D21:$E21)</f>
        <v>0.62405286763824308</v>
      </c>
    </row>
    <row r="22" spans="1:8" ht="30" customHeight="1">
      <c r="A22" s="62" t="s">
        <v>279</v>
      </c>
      <c r="B22" s="92">
        <v>1</v>
      </c>
      <c r="C22" s="92">
        <v>100</v>
      </c>
      <c r="D22" s="138">
        <f t="shared" si="0"/>
        <v>10</v>
      </c>
      <c r="E22" s="80">
        <f t="shared" si="1"/>
        <v>0.78030414607237897</v>
      </c>
      <c r="F22" s="140">
        <f t="shared" si="2"/>
        <v>0.91744602369328643</v>
      </c>
      <c r="G22" s="140">
        <f>LognormPosterior(mu_policy,sigma_policy,$D22:$E22)</f>
        <v>1.6372722236599835</v>
      </c>
    </row>
    <row r="23" spans="1:8" ht="30" customHeight="1">
      <c r="A23" s="62" t="s">
        <v>251</v>
      </c>
      <c r="B23" s="44"/>
      <c r="C23" s="44"/>
      <c r="D23" s="141" t="e">
        <f>'AI Safety'!H26/10</f>
        <v>#VALUE!</v>
      </c>
      <c r="E23" s="141" t="e">
        <f>'AI Safety'!I26</f>
        <v>#VALUE!</v>
      </c>
      <c r="F23" s="140" t="e">
        <f>ParetoPosterior(1,alpha,$D23:$E23)</f>
        <v>#VALUE!</v>
      </c>
      <c r="G23" s="140" t="str">
        <f>LognormPosterior(mu_far_future,sigma_far_future,$D23:$E23)</f>
        <v>disabled</v>
      </c>
    </row>
    <row r="24" spans="1:8" ht="30" customHeight="1">
      <c r="A24" s="62" t="s">
        <v>252</v>
      </c>
      <c r="B24" s="44"/>
      <c r="C24" s="44"/>
      <c r="D24" s="141" t="e">
        <f>D23</f>
        <v>#VALUE!</v>
      </c>
      <c r="E24" s="141" t="e">
        <f>E23</f>
        <v>#VALUE!</v>
      </c>
      <c r="F24" s="140" t="e">
        <f>ParetoPosterior(median,alpha,$D24:$E24)</f>
        <v>#VALUE!</v>
      </c>
      <c r="G24" s="140" t="str">
        <f>LognormPosterior(mu_far_future,sigma_far_future,$D24:$E24)</f>
        <v>disabled</v>
      </c>
    </row>
    <row r="25" spans="1:8" ht="30" customHeight="1">
      <c r="A25" s="45" t="s">
        <v>273</v>
      </c>
      <c r="B25" s="3"/>
      <c r="C25" s="3"/>
      <c r="D25" s="3"/>
    </row>
    <row r="26" spans="1:8" ht="30" customHeight="1"/>
    <row r="27" spans="1:8" ht="30" customHeight="1"/>
    <row r="28" spans="1:8" ht="30" customHeight="1"/>
    <row r="29" spans="1:8" ht="30" customHeight="1"/>
    <row r="30" spans="1:8" ht="30" customHeight="1"/>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P48"/>
  <sheetViews>
    <sheetView tabSelected="1" workbookViewId="0">
      <selection activeCell="K14" sqref="K14"/>
    </sheetView>
  </sheetViews>
  <sheetFormatPr baseColWidth="10" defaultRowHeight="15" x14ac:dyDescent="0"/>
  <cols>
    <col min="1" max="1" width="21.6640625" customWidth="1"/>
    <col min="2" max="2" width="12.1640625" bestFit="1" customWidth="1"/>
    <col min="3" max="3" width="21.6640625" customWidth="1"/>
    <col min="4" max="4" width="10.83203125" customWidth="1"/>
    <col min="5" max="5" width="21.6640625" customWidth="1"/>
    <col min="7" max="8" width="10.83203125" customWidth="1"/>
    <col min="10" max="10" width="21.6640625" customWidth="1"/>
    <col min="13" max="14" width="10.83203125" customWidth="1"/>
  </cols>
  <sheetData>
    <row r="1" spans="1:13" ht="20">
      <c r="A1" s="6" t="s">
        <v>146</v>
      </c>
      <c r="C1" s="6" t="s">
        <v>79</v>
      </c>
      <c r="J1" s="6" t="s">
        <v>4</v>
      </c>
      <c r="M1" s="1"/>
    </row>
    <row r="2" spans="1:13" ht="30" customHeight="1">
      <c r="A2" s="24">
        <v>0</v>
      </c>
      <c r="B2" t="s">
        <v>147</v>
      </c>
      <c r="D2" t="s">
        <v>248</v>
      </c>
      <c r="E2" s="5" t="s">
        <v>143</v>
      </c>
      <c r="F2" s="5" t="s">
        <v>144</v>
      </c>
      <c r="G2" s="5" t="s">
        <v>145</v>
      </c>
      <c r="H2" s="3"/>
    </row>
    <row r="3" spans="1:13" s="44" customFormat="1" ht="30" customHeight="1">
      <c r="A3" s="39" t="s">
        <v>298</v>
      </c>
      <c r="C3" s="71" t="s">
        <v>80</v>
      </c>
      <c r="D3" s="72">
        <v>0.1</v>
      </c>
      <c r="E3" s="72">
        <v>0.1</v>
      </c>
      <c r="F3" s="72">
        <v>1</v>
      </c>
      <c r="G3" s="109">
        <v>10</v>
      </c>
      <c r="H3" s="71" t="s">
        <v>80</v>
      </c>
      <c r="I3" s="73" t="s">
        <v>189</v>
      </c>
      <c r="J3" s="74"/>
      <c r="K3" s="71" t="s">
        <v>3</v>
      </c>
      <c r="L3" s="75">
        <v>0.1</v>
      </c>
    </row>
    <row r="4" spans="1:13" s="44" customFormat="1" ht="30" customHeight="1">
      <c r="C4" s="71" t="s">
        <v>81</v>
      </c>
      <c r="D4" s="72">
        <f>sigma_global_poverty</f>
        <v>0.75</v>
      </c>
      <c r="E4" s="72">
        <v>0.75</v>
      </c>
      <c r="F4" s="72">
        <f>sigma_global_poverty</f>
        <v>0.75</v>
      </c>
      <c r="G4" s="72">
        <f>sigma_global_poverty</f>
        <v>0.75</v>
      </c>
      <c r="H4" s="71" t="s">
        <v>81</v>
      </c>
      <c r="I4" s="73" t="s">
        <v>190</v>
      </c>
      <c r="J4" s="74"/>
      <c r="K4" s="71" t="s">
        <v>2</v>
      </c>
      <c r="L4" s="72">
        <v>1.5</v>
      </c>
    </row>
    <row r="5" spans="1:13" ht="30" customHeight="1">
      <c r="C5" s="103" t="s">
        <v>191</v>
      </c>
      <c r="G5" s="103" t="s">
        <v>253</v>
      </c>
    </row>
    <row r="6" spans="1:13" ht="30" customHeight="1">
      <c r="D6" s="119"/>
      <c r="E6" s="34"/>
    </row>
    <row r="7" spans="1:13" ht="30" customHeight="1">
      <c r="A7" s="76" t="s">
        <v>13</v>
      </c>
      <c r="B7" s="34"/>
      <c r="C7" s="34"/>
      <c r="D7" s="119" t="s">
        <v>271</v>
      </c>
      <c r="E7" s="34"/>
      <c r="F7" s="34"/>
      <c r="J7" s="6" t="s">
        <v>88</v>
      </c>
      <c r="L7" s="48" t="s">
        <v>65</v>
      </c>
    </row>
    <row r="8" spans="1:13" s="44" customFormat="1" ht="30" customHeight="1">
      <c r="A8" s="77" t="s">
        <v>5</v>
      </c>
      <c r="B8" s="78">
        <v>0.2</v>
      </c>
      <c r="C8" s="77" t="s">
        <v>12</v>
      </c>
      <c r="D8" s="78">
        <v>0.7</v>
      </c>
      <c r="E8" s="79" t="s">
        <v>244</v>
      </c>
      <c r="F8" s="79"/>
      <c r="J8" s="58" t="s">
        <v>90</v>
      </c>
      <c r="L8" s="66" t="s">
        <v>26</v>
      </c>
      <c r="M8" s="108">
        <v>20000000000</v>
      </c>
    </row>
    <row r="9" spans="1:13" s="44" customFormat="1" ht="30" customHeight="1">
      <c r="A9" s="77" t="s">
        <v>218</v>
      </c>
      <c r="B9" s="78">
        <v>0.4</v>
      </c>
      <c r="C9" s="77" t="s">
        <v>6</v>
      </c>
      <c r="D9" s="78">
        <v>0.8</v>
      </c>
      <c r="E9" s="77" t="s">
        <v>61</v>
      </c>
      <c r="F9" s="78">
        <v>0.3</v>
      </c>
      <c r="J9" s="59" t="s">
        <v>89</v>
      </c>
      <c r="L9" s="66" t="s">
        <v>95</v>
      </c>
      <c r="M9" s="92">
        <v>0.05</v>
      </c>
    </row>
    <row r="10" spans="1:13" s="44" customFormat="1" ht="30" customHeight="1">
      <c r="A10" s="80"/>
      <c r="B10" s="80"/>
      <c r="C10" s="80"/>
      <c r="D10" s="126" t="s">
        <v>232</v>
      </c>
      <c r="E10" s="77" t="s">
        <v>8</v>
      </c>
      <c r="F10" s="81">
        <v>0.4</v>
      </c>
      <c r="J10" s="60" t="s">
        <v>52</v>
      </c>
    </row>
    <row r="11" spans="1:13" s="44" customFormat="1" ht="30" customHeight="1">
      <c r="A11" s="79"/>
      <c r="B11" s="79"/>
      <c r="C11" s="79"/>
      <c r="D11" s="79"/>
      <c r="E11" s="77" t="s">
        <v>7</v>
      </c>
      <c r="F11" s="81">
        <v>0.3</v>
      </c>
      <c r="J11" s="61" t="s">
        <v>185</v>
      </c>
    </row>
    <row r="12" spans="1:13" s="44" customFormat="1" ht="30" customHeight="1">
      <c r="A12" s="77" t="s">
        <v>219</v>
      </c>
      <c r="B12" s="78">
        <v>0.4</v>
      </c>
      <c r="C12" s="77" t="s">
        <v>9</v>
      </c>
      <c r="D12" s="78">
        <v>0.05</v>
      </c>
      <c r="E12" s="80" t="s">
        <v>241</v>
      </c>
      <c r="F12" s="79"/>
      <c r="J12" s="44" t="s">
        <v>186</v>
      </c>
    </row>
    <row r="13" spans="1:13" s="44" customFormat="1" ht="30" customHeight="1">
      <c r="A13" s="79"/>
      <c r="B13" s="79"/>
      <c r="C13" s="77" t="s">
        <v>196</v>
      </c>
      <c r="D13" s="78">
        <v>0.3</v>
      </c>
      <c r="E13" s="79" t="s">
        <v>240</v>
      </c>
      <c r="F13" s="79"/>
      <c r="J13" s="62" t="s">
        <v>270</v>
      </c>
    </row>
    <row r="14" spans="1:13" s="44" customFormat="1" ht="30" customHeight="1">
      <c r="A14" s="79"/>
      <c r="B14" s="79"/>
      <c r="C14" s="77" t="s">
        <v>10</v>
      </c>
      <c r="D14" s="78">
        <v>0.64</v>
      </c>
      <c r="E14" s="79" t="s">
        <v>242</v>
      </c>
      <c r="F14" s="79"/>
      <c r="J14" s="144" t="s">
        <v>270</v>
      </c>
    </row>
    <row r="15" spans="1:13" s="44" customFormat="1" ht="30" customHeight="1">
      <c r="A15" s="79"/>
      <c r="B15" s="79"/>
      <c r="C15" s="77" t="s">
        <v>11</v>
      </c>
      <c r="D15" s="78">
        <v>1E-3</v>
      </c>
      <c r="E15" s="79" t="s">
        <v>243</v>
      </c>
      <c r="F15" s="79"/>
      <c r="J15" s="145" t="s">
        <v>270</v>
      </c>
    </row>
    <row r="16" spans="1:13" ht="30" customHeight="1">
      <c r="D16" s="103" t="s">
        <v>231</v>
      </c>
    </row>
    <row r="17" spans="1:13" ht="30" customHeight="1"/>
    <row r="18" spans="1:13" ht="30" customHeight="1">
      <c r="A18" s="6" t="s">
        <v>37</v>
      </c>
      <c r="D18" s="39" t="s">
        <v>239</v>
      </c>
    </row>
    <row r="19" spans="1:13" ht="30" customHeight="1">
      <c r="A19" s="6"/>
      <c r="B19" s="39" t="s">
        <v>208</v>
      </c>
      <c r="D19" s="39" t="s">
        <v>203</v>
      </c>
    </row>
    <row r="20" spans="1:13" ht="30" customHeight="1">
      <c r="B20" s="44" t="s">
        <v>0</v>
      </c>
      <c r="C20" s="44" t="s">
        <v>1</v>
      </c>
      <c r="D20" s="45" t="s">
        <v>0</v>
      </c>
      <c r="E20" s="44" t="s">
        <v>1</v>
      </c>
      <c r="F20" s="44" t="s">
        <v>60</v>
      </c>
      <c r="G20" s="104" t="s">
        <v>204</v>
      </c>
      <c r="H20" s="44" t="s">
        <v>206</v>
      </c>
      <c r="I20" s="44" t="s">
        <v>205</v>
      </c>
      <c r="J20" s="44" t="s">
        <v>207</v>
      </c>
      <c r="K20" s="44" t="s">
        <v>156</v>
      </c>
      <c r="L20" s="44" t="s">
        <v>158</v>
      </c>
      <c r="M20" s="44" t="s">
        <v>27</v>
      </c>
    </row>
    <row r="21" spans="1:13" ht="30" customHeight="1">
      <c r="A21" s="62" t="s">
        <v>221</v>
      </c>
      <c r="B21" s="106">
        <v>1</v>
      </c>
      <c r="C21" s="45">
        <f>B21</f>
        <v>1</v>
      </c>
      <c r="D21" s="106">
        <v>1</v>
      </c>
      <c r="E21" s="45">
        <v>1</v>
      </c>
      <c r="F21" s="92">
        <v>1</v>
      </c>
      <c r="G21" s="44">
        <f t="shared" ref="G21" si="0">GEOMEAN(B21,C21)</f>
        <v>1</v>
      </c>
      <c r="H21" s="44">
        <f t="shared" ref="H21" si="1">LogVariance(B21,C21)</f>
        <v>0</v>
      </c>
      <c r="I21" s="44">
        <f t="shared" ref="I21" si="2">GEOMEAN(D21,E21)</f>
        <v>1</v>
      </c>
      <c r="J21" s="44">
        <f t="shared" ref="J21" si="3">LogVariance(D21,E21)</f>
        <v>0</v>
      </c>
      <c r="K21" s="105">
        <f>G21*I21</f>
        <v>1</v>
      </c>
      <c r="L21" s="45">
        <f>H21+J21</f>
        <v>0</v>
      </c>
      <c r="M21" s="39" t="s">
        <v>238</v>
      </c>
    </row>
    <row r="22" spans="1:13" s="44" customFormat="1" ht="30" customHeight="1">
      <c r="A22" s="64" t="s">
        <v>220</v>
      </c>
      <c r="B22" s="65">
        <v>0.6</v>
      </c>
      <c r="C22" s="92">
        <f t="shared" ref="C22:C29" si="4">B22</f>
        <v>0.6</v>
      </c>
      <c r="D22" s="106">
        <v>1</v>
      </c>
      <c r="E22" s="45">
        <v>1</v>
      </c>
      <c r="F22" s="92">
        <v>1</v>
      </c>
      <c r="G22" s="44">
        <f t="shared" ref="G22:G30" si="5">GEOMEAN(B22,C22)</f>
        <v>0.6</v>
      </c>
      <c r="H22" s="44">
        <f t="shared" ref="H22:H30" si="6">LogVariance(B22,C22)</f>
        <v>0</v>
      </c>
      <c r="I22" s="44">
        <f t="shared" ref="I22:I30" si="7">GEOMEAN(D22,E22)</f>
        <v>1</v>
      </c>
      <c r="J22" s="44">
        <f t="shared" ref="J22:J30" si="8">LogVariance(D22,E22)</f>
        <v>0</v>
      </c>
      <c r="K22" s="105">
        <f>G22*I22</f>
        <v>0.6</v>
      </c>
      <c r="L22" s="45">
        <f>H22+J22</f>
        <v>0</v>
      </c>
      <c r="M22" s="39" t="s">
        <v>222</v>
      </c>
    </row>
    <row r="23" spans="1:13" s="44" customFormat="1" ht="30" customHeight="1">
      <c r="A23" s="64" t="s">
        <v>38</v>
      </c>
      <c r="B23" s="65">
        <v>6</v>
      </c>
      <c r="C23" s="92">
        <f t="shared" si="4"/>
        <v>6</v>
      </c>
      <c r="D23" s="65">
        <v>0.3</v>
      </c>
      <c r="E23" s="92">
        <f>D23</f>
        <v>0.3</v>
      </c>
      <c r="F23" s="92">
        <v>-1</v>
      </c>
      <c r="G23" s="44">
        <f t="shared" si="5"/>
        <v>6</v>
      </c>
      <c r="H23" s="44">
        <f t="shared" si="6"/>
        <v>0</v>
      </c>
      <c r="I23" s="44">
        <f t="shared" si="7"/>
        <v>0.3</v>
      </c>
      <c r="J23" s="44">
        <f t="shared" si="8"/>
        <v>0</v>
      </c>
      <c r="K23" s="105">
        <f t="shared" ref="K23:K30" si="9">G23*I23</f>
        <v>1.7999999999999998</v>
      </c>
      <c r="L23" s="45">
        <f t="shared" ref="L23:L30" si="10">H23+J23</f>
        <v>0</v>
      </c>
      <c r="M23" s="39" t="s">
        <v>149</v>
      </c>
    </row>
    <row r="24" spans="1:13" s="44" customFormat="1" ht="30" customHeight="1">
      <c r="A24" s="66" t="s">
        <v>116</v>
      </c>
      <c r="B24" s="65">
        <v>1</v>
      </c>
      <c r="C24" s="92">
        <f t="shared" si="4"/>
        <v>1</v>
      </c>
      <c r="D24" s="65">
        <f>D23</f>
        <v>0.3</v>
      </c>
      <c r="E24" s="92">
        <f t="shared" ref="E24:E26" si="11">D24</f>
        <v>0.3</v>
      </c>
      <c r="F24" s="92">
        <v>1</v>
      </c>
      <c r="G24" s="44">
        <f t="shared" si="5"/>
        <v>1</v>
      </c>
      <c r="H24" s="44">
        <f t="shared" si="6"/>
        <v>0</v>
      </c>
      <c r="I24" s="44">
        <f t="shared" si="7"/>
        <v>0.3</v>
      </c>
      <c r="J24" s="44">
        <f t="shared" si="8"/>
        <v>0</v>
      </c>
      <c r="K24" s="105">
        <f t="shared" si="9"/>
        <v>0.3</v>
      </c>
      <c r="L24" s="45">
        <f t="shared" si="10"/>
        <v>0</v>
      </c>
      <c r="M24" s="39"/>
    </row>
    <row r="25" spans="1:13" s="44" customFormat="1" ht="30" customHeight="1">
      <c r="A25" s="64" t="s">
        <v>39</v>
      </c>
      <c r="B25" s="65">
        <v>2</v>
      </c>
      <c r="C25" s="92">
        <f t="shared" si="4"/>
        <v>2</v>
      </c>
      <c r="D25" s="65">
        <v>0.2</v>
      </c>
      <c r="E25" s="92">
        <f t="shared" si="11"/>
        <v>0.2</v>
      </c>
      <c r="F25" s="92">
        <v>-1</v>
      </c>
      <c r="G25" s="44">
        <f t="shared" si="5"/>
        <v>2</v>
      </c>
      <c r="H25" s="44">
        <f t="shared" si="6"/>
        <v>0</v>
      </c>
      <c r="I25" s="44">
        <f t="shared" si="7"/>
        <v>0.2</v>
      </c>
      <c r="J25" s="44">
        <f t="shared" si="8"/>
        <v>0</v>
      </c>
      <c r="K25" s="105">
        <f t="shared" si="9"/>
        <v>0.4</v>
      </c>
      <c r="L25" s="45">
        <f t="shared" si="10"/>
        <v>0</v>
      </c>
      <c r="M25" s="39"/>
    </row>
    <row r="26" spans="1:13" s="44" customFormat="1" ht="30" customHeight="1">
      <c r="A26" s="64" t="s">
        <v>40</v>
      </c>
      <c r="B26" s="65">
        <v>4</v>
      </c>
      <c r="C26" s="92">
        <f t="shared" si="4"/>
        <v>4</v>
      </c>
      <c r="D26" s="65">
        <v>0.01</v>
      </c>
      <c r="E26" s="92">
        <f t="shared" si="11"/>
        <v>0.01</v>
      </c>
      <c r="F26" s="92">
        <v>-1</v>
      </c>
      <c r="G26" s="44">
        <f t="shared" si="5"/>
        <v>4</v>
      </c>
      <c r="H26" s="44">
        <f t="shared" si="6"/>
        <v>0</v>
      </c>
      <c r="I26" s="44">
        <f t="shared" si="7"/>
        <v>0.01</v>
      </c>
      <c r="J26" s="44">
        <f t="shared" si="8"/>
        <v>0</v>
      </c>
      <c r="K26" s="105">
        <f t="shared" si="9"/>
        <v>0.04</v>
      </c>
      <c r="L26" s="45">
        <f t="shared" si="10"/>
        <v>0</v>
      </c>
      <c r="M26" s="39" t="s">
        <v>142</v>
      </c>
    </row>
    <row r="27" spans="1:13" s="44" customFormat="1" ht="30" customHeight="1">
      <c r="A27" s="64" t="s">
        <v>42</v>
      </c>
      <c r="B27" s="154">
        <v>10000000</v>
      </c>
      <c r="C27" s="92">
        <f t="shared" si="4"/>
        <v>10000000</v>
      </c>
      <c r="D27" s="106">
        <f>D22</f>
        <v>1</v>
      </c>
      <c r="E27" s="45">
        <v>1</v>
      </c>
      <c r="F27" s="45">
        <v>1</v>
      </c>
      <c r="G27" s="44">
        <f t="shared" si="5"/>
        <v>10000000</v>
      </c>
      <c r="H27" s="44">
        <f t="shared" si="6"/>
        <v>0</v>
      </c>
      <c r="I27" s="44">
        <f t="shared" si="7"/>
        <v>1</v>
      </c>
      <c r="J27" s="44">
        <f t="shared" si="8"/>
        <v>0</v>
      </c>
      <c r="K27" s="105">
        <f t="shared" si="9"/>
        <v>10000000</v>
      </c>
      <c r="L27" s="45">
        <f t="shared" si="10"/>
        <v>0</v>
      </c>
      <c r="M27" s="39" t="s">
        <v>45</v>
      </c>
    </row>
    <row r="28" spans="1:13" s="44" customFormat="1" ht="30" customHeight="1">
      <c r="A28" s="64" t="s">
        <v>193</v>
      </c>
      <c r="B28" s="65">
        <v>3</v>
      </c>
      <c r="C28" s="92">
        <f t="shared" si="4"/>
        <v>3</v>
      </c>
      <c r="D28" s="106">
        <v>1</v>
      </c>
      <c r="E28" s="45">
        <v>1</v>
      </c>
      <c r="F28" s="92">
        <v>1</v>
      </c>
      <c r="G28" s="44">
        <f t="shared" si="5"/>
        <v>3</v>
      </c>
      <c r="H28" s="44">
        <f t="shared" si="6"/>
        <v>0</v>
      </c>
      <c r="I28" s="44">
        <f t="shared" si="7"/>
        <v>1</v>
      </c>
      <c r="J28" s="44">
        <f t="shared" si="8"/>
        <v>0</v>
      </c>
      <c r="K28" s="105">
        <f t="shared" si="9"/>
        <v>3</v>
      </c>
      <c r="L28" s="45">
        <f t="shared" si="10"/>
        <v>0</v>
      </c>
    </row>
    <row r="29" spans="1:13" s="44" customFormat="1" ht="30" customHeight="1">
      <c r="A29" s="64" t="s">
        <v>43</v>
      </c>
      <c r="B29" s="65">
        <v>0.1</v>
      </c>
      <c r="C29" s="92">
        <f t="shared" si="4"/>
        <v>0.1</v>
      </c>
      <c r="D29" s="106">
        <v>1</v>
      </c>
      <c r="E29" s="45">
        <v>1</v>
      </c>
      <c r="F29" s="92">
        <v>-1</v>
      </c>
      <c r="G29" s="44">
        <f t="shared" si="5"/>
        <v>0.1</v>
      </c>
      <c r="H29" s="44">
        <f t="shared" si="6"/>
        <v>0</v>
      </c>
      <c r="I29" s="44">
        <f t="shared" si="7"/>
        <v>1</v>
      </c>
      <c r="J29" s="44">
        <f t="shared" si="8"/>
        <v>0</v>
      </c>
      <c r="K29" s="105">
        <f t="shared" si="9"/>
        <v>0.1</v>
      </c>
      <c r="L29" s="45">
        <f t="shared" si="10"/>
        <v>0</v>
      </c>
    </row>
    <row r="30" spans="1:13" s="44" customFormat="1" ht="30" customHeight="1">
      <c r="A30" s="64" t="s">
        <v>44</v>
      </c>
      <c r="B30" s="65">
        <f>B27</f>
        <v>10000000</v>
      </c>
      <c r="C30" s="92">
        <f>C27</f>
        <v>10000000</v>
      </c>
      <c r="D30" s="106">
        <v>1</v>
      </c>
      <c r="E30" s="45">
        <v>1</v>
      </c>
      <c r="F30" s="45">
        <v>-1</v>
      </c>
      <c r="G30" s="44">
        <f t="shared" si="5"/>
        <v>10000000</v>
      </c>
      <c r="H30" s="44">
        <f t="shared" si="6"/>
        <v>0</v>
      </c>
      <c r="I30" s="44">
        <f t="shared" si="7"/>
        <v>1</v>
      </c>
      <c r="J30" s="44">
        <f t="shared" si="8"/>
        <v>0</v>
      </c>
      <c r="K30" s="105">
        <f t="shared" si="9"/>
        <v>10000000</v>
      </c>
      <c r="L30" s="45">
        <f t="shared" si="10"/>
        <v>0</v>
      </c>
    </row>
    <row r="31" spans="1:13" s="44" customFormat="1" ht="30" customHeight="1"/>
    <row r="32" spans="1:13" s="44" customFormat="1" ht="30" customHeight="1"/>
    <row r="33" spans="1:16" s="44" customFormat="1" ht="30" customHeight="1">
      <c r="A33" s="40" t="s">
        <v>29</v>
      </c>
      <c r="J33" s="48" t="s">
        <v>31</v>
      </c>
    </row>
    <row r="34" spans="1:16" s="44" customFormat="1" ht="30" customHeight="1">
      <c r="A34" s="53" t="s">
        <v>36</v>
      </c>
      <c r="E34" s="53" t="s">
        <v>28</v>
      </c>
    </row>
    <row r="35" spans="1:16" s="44" customFormat="1" ht="30" customHeight="1">
      <c r="B35" s="44" t="s">
        <v>0</v>
      </c>
      <c r="C35" s="44" t="s">
        <v>1</v>
      </c>
      <c r="D35" s="44" t="s">
        <v>27</v>
      </c>
      <c r="F35" s="44" t="s">
        <v>0</v>
      </c>
      <c r="G35" s="44" t="s">
        <v>1</v>
      </c>
      <c r="H35" s="44" t="s">
        <v>27</v>
      </c>
      <c r="K35" s="54" t="s">
        <v>156</v>
      </c>
      <c r="L35" s="54" t="s">
        <v>157</v>
      </c>
      <c r="O35" s="54" t="s">
        <v>156</v>
      </c>
      <c r="P35" s="54" t="s">
        <v>157</v>
      </c>
    </row>
    <row r="36" spans="1:16" s="44" customFormat="1" ht="30" customHeight="1">
      <c r="A36" s="67" t="s">
        <v>14</v>
      </c>
      <c r="B36" s="68">
        <v>100000000000</v>
      </c>
      <c r="C36" s="68">
        <v>100000000000000</v>
      </c>
      <c r="D36" s="39" t="s">
        <v>33</v>
      </c>
      <c r="E36" s="67" t="s">
        <v>14</v>
      </c>
      <c r="F36" s="68">
        <v>10000000000</v>
      </c>
      <c r="G36" s="68">
        <v>100000000000000</v>
      </c>
      <c r="H36" s="39" t="s">
        <v>33</v>
      </c>
      <c r="J36" s="55" t="str">
        <f>A36</f>
        <v>accessible stars</v>
      </c>
      <c r="K36" s="44">
        <f>SQRT(B36*C36)</f>
        <v>3162277660168.3794</v>
      </c>
      <c r="L36" s="49">
        <f>LogVariance(B36,C36)</f>
        <v>1.1704562191085683</v>
      </c>
      <c r="N36" s="55" t="str">
        <f>E36</f>
        <v>accessible stars</v>
      </c>
      <c r="O36" s="44">
        <f>SQRT(F36*G36)</f>
        <v>1000000000000</v>
      </c>
      <c r="P36" s="49">
        <f>LogVariance(F36,G36)</f>
        <v>1.5606082921447579</v>
      </c>
    </row>
    <row r="37" spans="1:16" s="44" customFormat="1" ht="30" customHeight="1">
      <c r="A37" s="67" t="s">
        <v>16</v>
      </c>
      <c r="B37" s="68">
        <v>100000000000</v>
      </c>
      <c r="C37" s="68">
        <v>1000000000000</v>
      </c>
      <c r="D37" s="39" t="s">
        <v>32</v>
      </c>
      <c r="E37" s="69" t="s">
        <v>16</v>
      </c>
      <c r="F37" s="70">
        <v>100000000000</v>
      </c>
      <c r="G37" s="70">
        <v>1000000000000</v>
      </c>
      <c r="H37" s="41" t="s">
        <v>32</v>
      </c>
      <c r="J37" s="55" t="str">
        <f t="shared" ref="J37:J38" si="12">A37</f>
        <v>years of future</v>
      </c>
      <c r="K37" s="44">
        <f t="shared" ref="K37:K39" si="13">SQRT(B37*C37)</f>
        <v>316227766016.83789</v>
      </c>
      <c r="L37" s="49">
        <f t="shared" ref="L37:L39" si="14">LogVariance(B37,C37)</f>
        <v>0.39015207303618948</v>
      </c>
      <c r="M37" s="49"/>
      <c r="N37" s="55" t="str">
        <f t="shared" ref="N37:N41" si="15">E37</f>
        <v>years of future</v>
      </c>
      <c r="O37" s="44">
        <f t="shared" ref="O37:O41" si="16">SQRT(F37*G37)</f>
        <v>316227766016.83789</v>
      </c>
      <c r="P37" s="49">
        <f t="shared" ref="P37:P42" si="17">LogVariance(F37,G37)</f>
        <v>0.39015207303618948</v>
      </c>
    </row>
    <row r="38" spans="1:16" s="44" customFormat="1" ht="30" customHeight="1">
      <c r="A38" s="67" t="s">
        <v>15</v>
      </c>
      <c r="B38" s="68">
        <v>1E+20</v>
      </c>
      <c r="C38" s="68">
        <v>1.0000000000000001E+25</v>
      </c>
      <c r="D38" s="39" t="s">
        <v>33</v>
      </c>
      <c r="E38" s="67" t="s">
        <v>17</v>
      </c>
      <c r="F38" s="68">
        <v>10000000000</v>
      </c>
      <c r="G38" s="68">
        <v>1000000000000</v>
      </c>
      <c r="H38" s="39"/>
      <c r="J38" s="55" t="str">
        <f t="shared" si="12"/>
        <v>usable wattage</v>
      </c>
      <c r="K38" s="44">
        <f t="shared" si="13"/>
        <v>3.1622776601683796E+22</v>
      </c>
      <c r="L38" s="49">
        <f t="shared" si="14"/>
        <v>1.9507603651809475</v>
      </c>
      <c r="N38" s="55" t="str">
        <f t="shared" si="15"/>
        <v>humans per star</v>
      </c>
      <c r="O38" s="44">
        <f t="shared" si="16"/>
        <v>100000000000</v>
      </c>
      <c r="P38" s="49">
        <f t="shared" si="17"/>
        <v>0.78030414607237897</v>
      </c>
    </row>
    <row r="39" spans="1:16" s="44" customFormat="1" ht="30" customHeight="1">
      <c r="A39" s="67" t="s">
        <v>41</v>
      </c>
      <c r="B39" s="68">
        <v>0.1</v>
      </c>
      <c r="C39" s="68">
        <v>0.1</v>
      </c>
      <c r="D39" s="39" t="s">
        <v>33</v>
      </c>
      <c r="E39" s="67" t="s">
        <v>18</v>
      </c>
      <c r="F39" s="68">
        <v>10000000000</v>
      </c>
      <c r="G39" s="68">
        <v>1000000000000</v>
      </c>
      <c r="H39" s="39"/>
      <c r="J39" s="55" t="str">
        <f>A39</f>
        <v>brains per watt</v>
      </c>
      <c r="K39" s="44">
        <f t="shared" si="13"/>
        <v>0.1</v>
      </c>
      <c r="L39" s="49">
        <f t="shared" si="14"/>
        <v>0</v>
      </c>
      <c r="N39" s="55" t="str">
        <f t="shared" si="15"/>
        <v>factory farmed animals per star</v>
      </c>
      <c r="O39" s="44">
        <f t="shared" si="16"/>
        <v>100000000000</v>
      </c>
      <c r="P39" s="49">
        <f t="shared" si="17"/>
        <v>0.78030414607237897</v>
      </c>
    </row>
    <row r="40" spans="1:16" s="44" customFormat="1" ht="30" customHeight="1">
      <c r="A40" s="55"/>
      <c r="B40" s="56"/>
      <c r="C40" s="56"/>
      <c r="E40" s="67" t="s">
        <v>19</v>
      </c>
      <c r="F40" s="68">
        <v>10000000000000</v>
      </c>
      <c r="G40" s="68">
        <v>1E+16</v>
      </c>
      <c r="H40" s="39" t="s">
        <v>34</v>
      </c>
      <c r="J40" s="55"/>
      <c r="L40" s="49"/>
      <c r="N40" s="55" t="str">
        <f t="shared" si="15"/>
        <v>wild vertebrates per star</v>
      </c>
      <c r="O40" s="44">
        <f t="shared" si="16"/>
        <v>316227766016837.94</v>
      </c>
      <c r="P40" s="49">
        <f t="shared" si="17"/>
        <v>1.1704562191085683</v>
      </c>
    </row>
    <row r="41" spans="1:16" s="44" customFormat="1" ht="30" customHeight="1">
      <c r="A41" s="55"/>
      <c r="B41" s="56"/>
      <c r="C41" s="56"/>
      <c r="E41" s="67" t="s">
        <v>54</v>
      </c>
      <c r="F41" s="68">
        <v>1E+17</v>
      </c>
      <c r="G41" s="68">
        <v>1E+21</v>
      </c>
      <c r="H41" s="39" t="s">
        <v>35</v>
      </c>
      <c r="J41" s="55"/>
      <c r="L41" s="49"/>
      <c r="N41" s="55" t="str">
        <f t="shared" si="15"/>
        <v>insects per star</v>
      </c>
      <c r="O41" s="44">
        <f t="shared" si="16"/>
        <v>1E+19</v>
      </c>
      <c r="P41" s="49">
        <f t="shared" si="17"/>
        <v>1.5606082921447579</v>
      </c>
    </row>
    <row r="42" spans="1:16" s="44" customFormat="1" ht="30" customHeight="1">
      <c r="E42" s="67" t="s">
        <v>58</v>
      </c>
      <c r="F42" s="68">
        <v>1E-3</v>
      </c>
      <c r="G42" s="68">
        <v>1</v>
      </c>
      <c r="H42" s="39"/>
      <c r="N42" s="55" t="str">
        <f>E42</f>
        <v>simulations per insect</v>
      </c>
      <c r="O42" s="44">
        <f>SQRT(F42*G42)</f>
        <v>3.1622776601683791E-2</v>
      </c>
      <c r="P42" s="49">
        <f t="shared" si="17"/>
        <v>1.1704562191085683</v>
      </c>
    </row>
    <row r="45" spans="1:16" ht="20">
      <c r="A45" s="6" t="s">
        <v>20</v>
      </c>
    </row>
    <row r="46" spans="1:16">
      <c r="A46">
        <v>1</v>
      </c>
      <c r="B46" t="s">
        <v>25</v>
      </c>
      <c r="C46" t="s">
        <v>21</v>
      </c>
    </row>
    <row r="47" spans="1:16">
      <c r="A47">
        <v>2</v>
      </c>
      <c r="B47" t="s">
        <v>122</v>
      </c>
      <c r="C47" t="s">
        <v>22</v>
      </c>
    </row>
    <row r="48" spans="1:16">
      <c r="A48">
        <v>3</v>
      </c>
      <c r="B48" t="s">
        <v>23</v>
      </c>
      <c r="C48" t="s">
        <v>24</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W63"/>
  <sheetViews>
    <sheetView tabSelected="1" workbookViewId="0">
      <selection activeCell="K14" sqref="K14"/>
    </sheetView>
  </sheetViews>
  <sheetFormatPr baseColWidth="10" defaultRowHeight="15" customHeight="1" x14ac:dyDescent="0"/>
  <cols>
    <col min="1" max="1" width="21.6640625" style="5" customWidth="1"/>
    <col min="2" max="2" width="12.1640625" bestFit="1" customWidth="1"/>
    <col min="5" max="5" width="10.83203125" customWidth="1"/>
    <col min="6" max="6" width="21.6640625" customWidth="1"/>
    <col min="7" max="7" width="12.1640625" bestFit="1" customWidth="1"/>
    <col min="11" max="11" width="21.6640625" customWidth="1"/>
    <col min="12" max="12" width="12.83203125" bestFit="1" customWidth="1"/>
    <col min="13" max="14" width="12.1640625" bestFit="1" customWidth="1"/>
    <col min="17" max="17" width="12.83203125" bestFit="1" customWidth="1"/>
    <col min="18" max="18" width="12.1640625" bestFit="1" customWidth="1"/>
  </cols>
  <sheetData>
    <row r="1" spans="1:18" s="12" customFormat="1" ht="30" customHeight="1">
      <c r="A1" s="11" t="s">
        <v>51</v>
      </c>
      <c r="F1" s="11" t="s">
        <v>46</v>
      </c>
      <c r="K1" s="11" t="s">
        <v>59</v>
      </c>
      <c r="L1" s="12" t="s">
        <v>224</v>
      </c>
    </row>
    <row r="2" spans="1:18" ht="45">
      <c r="A2" s="5">
        <v>0</v>
      </c>
      <c r="B2" s="110" t="s">
        <v>156</v>
      </c>
      <c r="C2" s="110" t="s">
        <v>157</v>
      </c>
      <c r="D2" s="5" t="s">
        <v>27</v>
      </c>
      <c r="E2" s="5"/>
      <c r="F2" s="5"/>
      <c r="G2" s="110" t="s">
        <v>156</v>
      </c>
      <c r="H2" s="110" t="s">
        <v>157</v>
      </c>
      <c r="I2" s="5" t="s">
        <v>27</v>
      </c>
      <c r="L2" s="3" t="s">
        <v>160</v>
      </c>
      <c r="M2" s="3" t="s">
        <v>158</v>
      </c>
      <c r="O2" t="s">
        <v>161</v>
      </c>
      <c r="Q2" s="3"/>
      <c r="R2" s="3"/>
    </row>
    <row r="3" spans="1:18">
      <c r="A3" s="5" t="s">
        <v>14</v>
      </c>
      <c r="B3" s="8">
        <f>VLOOKUP($A3,Globals!$J$36:$L$40,2,FALSE)</f>
        <v>3162277660168.3794</v>
      </c>
      <c r="C3" s="8">
        <f>VLOOKUP($A3,Globals!$J$36:$L$40,3,FALSE)</f>
        <v>1.1704562191085683</v>
      </c>
      <c r="D3" s="5"/>
      <c r="E3" s="5"/>
      <c r="F3" s="5" t="s">
        <v>14</v>
      </c>
      <c r="G3" s="5">
        <f>VLOOKUP($F3,Globals!$N$36:$P$42,2,FALSE)</f>
        <v>1000000000000</v>
      </c>
      <c r="H3" s="5">
        <f>VLOOKUP($F3,Globals!$N$36:$P$42,3,FALSE)</f>
        <v>1.5606082921447579</v>
      </c>
      <c r="I3" s="5"/>
      <c r="K3" s="15" t="s">
        <v>183</v>
      </c>
      <c r="L3" s="14">
        <f>G10*O3</f>
        <v>1.2649110640673517E+34</v>
      </c>
      <c r="M3" s="14">
        <f>H10</f>
        <v>2.7310645112533267</v>
      </c>
      <c r="N3" t="s">
        <v>70</v>
      </c>
      <c r="O3">
        <f>p_biological</f>
        <v>0.4</v>
      </c>
      <c r="Q3" s="3"/>
      <c r="R3" s="3"/>
    </row>
    <row r="4" spans="1:18">
      <c r="A4" s="5" t="s">
        <v>16</v>
      </c>
      <c r="B4" s="8">
        <f>VLOOKUP($A4,Globals!$J$36:$L$40,2,FALSE)</f>
        <v>316227766016.83789</v>
      </c>
      <c r="C4" s="8">
        <f>VLOOKUP($A4,Globals!$J$36:$L$40,3,FALSE)</f>
        <v>0.39015207303618948</v>
      </c>
      <c r="D4" s="5"/>
      <c r="E4" s="5"/>
      <c r="F4" s="5" t="s">
        <v>16</v>
      </c>
      <c r="G4" s="5">
        <f>VLOOKUP($F4,Globals!$N$36:$P$42,2,FALSE)</f>
        <v>316227766016.83789</v>
      </c>
      <c r="H4" s="5">
        <f>VLOOKUP($F4,Globals!$N$36:$P$42,3,FALSE)</f>
        <v>0.39015207303618948</v>
      </c>
      <c r="I4" s="5"/>
      <c r="K4" s="15" t="s">
        <v>177</v>
      </c>
      <c r="L4" s="14">
        <f>B11*O4</f>
        <v>6.3245553203367608E+50</v>
      </c>
      <c r="M4" s="14">
        <f>C11</f>
        <v>3.5113686573257055</v>
      </c>
      <c r="N4" t="s">
        <v>74</v>
      </c>
      <c r="O4">
        <f>p_computronium*p_hedonium</f>
        <v>2.0000000000000004E-2</v>
      </c>
      <c r="Q4" s="3"/>
      <c r="R4" s="3"/>
    </row>
    <row r="5" spans="1:18">
      <c r="A5" s="5" t="s">
        <v>15</v>
      </c>
      <c r="B5" s="8">
        <f>VLOOKUP($A5,Globals!$J$36:$L$40,2,FALSE)</f>
        <v>3.1622776601683796E+22</v>
      </c>
      <c r="C5" s="8">
        <f>VLOOKUP($A5,Globals!$J$36:$L$40,3,FALSE)</f>
        <v>1.9507603651809475</v>
      </c>
      <c r="D5" s="5"/>
      <c r="E5" s="5"/>
      <c r="F5" s="5"/>
      <c r="G5" s="5"/>
      <c r="H5" s="5"/>
      <c r="I5" s="5"/>
      <c r="K5" s="15" t="s">
        <v>194</v>
      </c>
      <c r="L5" s="14">
        <f>B16*O5</f>
        <v>1.1384199576606165E+45</v>
      </c>
      <c r="M5" s="14">
        <f>C16</f>
        <v>3.5113686573257055</v>
      </c>
      <c r="N5" t="s">
        <v>195</v>
      </c>
      <c r="O5">
        <f>p_computronium*p_ems</f>
        <v>0.12</v>
      </c>
      <c r="Q5" s="3"/>
      <c r="R5" s="3"/>
    </row>
    <row r="6" spans="1:18">
      <c r="A6" s="5" t="s">
        <v>41</v>
      </c>
      <c r="B6" s="8">
        <f>VLOOKUP($A6,Globals!$J$36:$L$40,2,FALSE)</f>
        <v>0.1</v>
      </c>
      <c r="C6" s="8">
        <f>VLOOKUP($A6,Globals!$J$36:$L$40,3,FALSE)</f>
        <v>0</v>
      </c>
      <c r="D6" s="5"/>
      <c r="E6" s="5"/>
      <c r="F6" s="5"/>
      <c r="G6" s="5"/>
      <c r="H6" s="5"/>
      <c r="I6" s="5"/>
      <c r="K6" s="30" t="s">
        <v>152</v>
      </c>
      <c r="L6" s="31" t="str">
        <f>WriteArray(SumLognormDists(L3:M5))</f>
        <v>disabled</v>
      </c>
      <c r="M6" s="31" t="s">
        <v>148</v>
      </c>
      <c r="Q6" s="3"/>
      <c r="R6" s="3"/>
    </row>
    <row r="7" spans="1:18">
      <c r="B7" s="5"/>
      <c r="C7" s="5"/>
      <c r="D7" s="5"/>
      <c r="E7" s="5"/>
      <c r="F7" s="10" t="s">
        <v>50</v>
      </c>
      <c r="G7" s="5"/>
      <c r="H7" s="5"/>
      <c r="I7" s="5"/>
      <c r="K7" s="3" t="s">
        <v>155</v>
      </c>
      <c r="L7" s="3" t="e">
        <f>STupidExcelMean(L6)</f>
        <v>#VALUE!</v>
      </c>
      <c r="M7" s="3" t="e">
        <f>STupidExcelVariance(L6,L7)</f>
        <v>#VALUE!</v>
      </c>
      <c r="N7" t="s">
        <v>150</v>
      </c>
      <c r="Q7" s="3"/>
      <c r="R7" s="3"/>
    </row>
    <row r="8" spans="1:18">
      <c r="B8" s="5"/>
      <c r="C8" s="5"/>
      <c r="D8" s="5"/>
      <c r="E8" s="5"/>
      <c r="F8" s="5" t="s">
        <v>17</v>
      </c>
      <c r="G8" s="5">
        <f>VLOOKUP($F8,Globals!$N$36:$P$42,2,FALSE)</f>
        <v>100000000000</v>
      </c>
      <c r="H8" s="5">
        <f>VLOOKUP($F8,Globals!$N$36:$P$42,3,FALSE)</f>
        <v>0.78030414607237897</v>
      </c>
      <c r="I8" s="5"/>
      <c r="Q8" s="3"/>
      <c r="R8" s="3"/>
    </row>
    <row r="9" spans="1:18" ht="30">
      <c r="A9" s="10" t="s">
        <v>47</v>
      </c>
      <c r="B9" s="5"/>
      <c r="C9" s="5"/>
      <c r="D9" s="5"/>
      <c r="E9" s="5"/>
      <c r="F9" s="5" t="s">
        <v>221</v>
      </c>
      <c r="G9" s="5">
        <f>VLOOKUP(F9,Globals!$A$21:$L$30,11,FALSE)</f>
        <v>1</v>
      </c>
      <c r="H9" s="5">
        <f>VLOOKUP(F9,Globals!$A$21:$L$30,12,FALSE)</f>
        <v>0</v>
      </c>
      <c r="I9" s="12" t="s">
        <v>223</v>
      </c>
      <c r="K9" s="15" t="s">
        <v>182</v>
      </c>
      <c r="L9" s="14">
        <f>G16*O9</f>
        <v>5.4644157967709579E+33</v>
      </c>
      <c r="M9" s="14">
        <f>H16</f>
        <v>2.7310645112533267</v>
      </c>
      <c r="N9" t="s">
        <v>62</v>
      </c>
      <c r="O9">
        <f>p_biological*p_not_care_about_animals*p_factory_farming</f>
        <v>9.6000000000000016E-2</v>
      </c>
      <c r="Q9" s="3"/>
      <c r="R9" s="3"/>
    </row>
    <row r="10" spans="1:18">
      <c r="A10" s="5" t="s">
        <v>42</v>
      </c>
      <c r="B10" s="5">
        <f>VLOOKUP(A10,Globals!$A$21:$L$30,11,FALSE)</f>
        <v>10000000</v>
      </c>
      <c r="C10" s="5">
        <f>VLOOKUP(A10,Globals!$A$21:$L$30,12,FALSE)</f>
        <v>0</v>
      </c>
      <c r="D10" s="5"/>
      <c r="E10" s="5"/>
      <c r="F10" s="17" t="s">
        <v>52</v>
      </c>
      <c r="G10" s="111">
        <f>PRODUCT(G$3:G$4)*PRODUCT(G8:G9)</f>
        <v>3.1622776601683788E+34</v>
      </c>
      <c r="H10" s="111">
        <f>SUM(H$3:H$4)+SUM(H8:H9)</f>
        <v>2.7310645112533267</v>
      </c>
      <c r="I10" s="5"/>
      <c r="K10" s="15" t="s">
        <v>179</v>
      </c>
      <c r="L10" s="14">
        <f>G22*O10</f>
        <v>5.1200000000000003E+36</v>
      </c>
      <c r="M10" s="14">
        <f>H22</f>
        <v>3.1212165842895159</v>
      </c>
      <c r="N10" t="s">
        <v>71</v>
      </c>
      <c r="O10">
        <f>p_biological*p_not_care_about_animals*p_spread_was</f>
        <v>0.12800000000000003</v>
      </c>
      <c r="Q10" s="3"/>
      <c r="R10" s="3"/>
    </row>
    <row r="11" spans="1:18">
      <c r="A11" s="16" t="s">
        <v>52</v>
      </c>
      <c r="B11" s="111">
        <f>PRODUCT($B$3:$B$6)*B10</f>
        <v>3.1622776601683798E+52</v>
      </c>
      <c r="C11" s="111">
        <f>SUM(C$3:C$6)+C10</f>
        <v>3.5113686573257055</v>
      </c>
      <c r="D11" s="5"/>
      <c r="E11" s="5"/>
      <c r="F11" s="5"/>
      <c r="G11" s="5"/>
      <c r="H11" s="5"/>
      <c r="I11" s="5"/>
      <c r="K11" s="15" t="s">
        <v>180</v>
      </c>
      <c r="L11" s="14">
        <f>G28*O11</f>
        <v>1.6190861620062103E+40</v>
      </c>
      <c r="M11" s="14">
        <f>H28</f>
        <v>3.5113686573257055</v>
      </c>
      <c r="N11" t="s">
        <v>72</v>
      </c>
      <c r="O11">
        <f>p_biological*p_not_care_about_animals*p_spread_was</f>
        <v>0.12800000000000003</v>
      </c>
      <c r="Q11" s="3"/>
      <c r="R11" s="3"/>
    </row>
    <row r="12" spans="1:18">
      <c r="B12" s="8"/>
      <c r="C12" s="5"/>
      <c r="D12" s="5"/>
      <c r="E12" s="5"/>
      <c r="F12" s="5"/>
      <c r="G12" s="5"/>
      <c r="H12" s="5"/>
      <c r="I12" s="5"/>
      <c r="K12" s="15" t="s">
        <v>181</v>
      </c>
      <c r="L12" s="14">
        <f>G35*O12</f>
        <v>3.8399999999999992E+38</v>
      </c>
      <c r="M12" s="14">
        <f>H35</f>
        <v>4.6818248764342734</v>
      </c>
      <c r="N12" t="s">
        <v>73</v>
      </c>
      <c r="O12">
        <f>p_biological*p_not_care_about_animals*p_suffering_simulations</f>
        <v>9.6000000000000016E-2</v>
      </c>
      <c r="Q12" s="3"/>
      <c r="R12" s="3"/>
    </row>
    <row r="13" spans="1:18" ht="30">
      <c r="B13" s="5"/>
      <c r="C13" s="5"/>
      <c r="D13" s="5"/>
      <c r="E13" s="5"/>
      <c r="F13" s="10" t="s">
        <v>53</v>
      </c>
      <c r="G13" s="5"/>
      <c r="H13" s="5"/>
      <c r="I13" s="5"/>
      <c r="K13" s="15" t="s">
        <v>184</v>
      </c>
      <c r="L13" s="14">
        <f>B21*O13</f>
        <v>8.0954308100310524E+43</v>
      </c>
      <c r="M13" s="14">
        <f>C21</f>
        <v>3.5113686573257055</v>
      </c>
      <c r="N13" t="s">
        <v>75</v>
      </c>
      <c r="O13">
        <f>p_computronium*p_paperclip</f>
        <v>0.25600000000000001</v>
      </c>
      <c r="Q13" s="3"/>
      <c r="R13" s="3"/>
    </row>
    <row r="14" spans="1:18" ht="30">
      <c r="A14" s="10" t="s">
        <v>192</v>
      </c>
      <c r="B14" s="5"/>
      <c r="C14" s="5"/>
      <c r="D14" s="5"/>
      <c r="E14" s="5"/>
      <c r="F14" s="5" t="s">
        <v>18</v>
      </c>
      <c r="G14" s="5">
        <f>VLOOKUP($F14,Globals!$N$36:$P$42,2,FALSE)</f>
        <v>100000000000</v>
      </c>
      <c r="H14" s="5">
        <f>VLOOKUP($F14,Globals!$N$36:$P$42,3,FALSE)</f>
        <v>0.78030414607237897</v>
      </c>
      <c r="I14" s="5"/>
      <c r="K14" s="15" t="s">
        <v>178</v>
      </c>
      <c r="L14" s="14">
        <f>B26*O14</f>
        <v>1.264911064067352E+49</v>
      </c>
      <c r="M14" s="14">
        <f>C26</f>
        <v>3.5113686573257055</v>
      </c>
      <c r="N14" t="s">
        <v>76</v>
      </c>
      <c r="O14">
        <f>p_computronium*p_dolorium</f>
        <v>4.0000000000000002E-4</v>
      </c>
    </row>
    <row r="15" spans="1:18" ht="30">
      <c r="A15" s="5" t="s">
        <v>193</v>
      </c>
      <c r="B15" s="5">
        <f>VLOOKUP(A15,Globals!$A$21:$L$30,11,FALSE)</f>
        <v>3</v>
      </c>
      <c r="C15" s="5">
        <f>VLOOKUP(A15,Globals!$A$21:$L$30,12,FALSE)</f>
        <v>0</v>
      </c>
      <c r="D15" s="5">
        <v>1E-3</v>
      </c>
      <c r="E15" s="5"/>
      <c r="F15" s="5" t="s">
        <v>38</v>
      </c>
      <c r="G15" s="5">
        <f>VLOOKUP(F15,Globals!$A$21:$L$30,11,FALSE)</f>
        <v>1.7999999999999998</v>
      </c>
      <c r="H15" s="5">
        <f>VLOOKUP(F15,Globals!$A$21:$L$30,12,FALSE)</f>
        <v>0</v>
      </c>
      <c r="I15" s="5"/>
      <c r="K15" s="30" t="s">
        <v>153</v>
      </c>
      <c r="L15" s="31" t="str">
        <f>WriteArray(SumLognormDists(L9:M14))</f>
        <v>disabled</v>
      </c>
      <c r="M15" s="31" t="s">
        <v>148</v>
      </c>
    </row>
    <row r="16" spans="1:18">
      <c r="A16" s="16" t="s">
        <v>52</v>
      </c>
      <c r="B16" s="111">
        <f>PRODUCT($B$3:$B$6)*B15</f>
        <v>9.4868329805051385E+45</v>
      </c>
      <c r="C16" s="111">
        <f>SUM(C$3:C$6)+C15</f>
        <v>3.5113686573257055</v>
      </c>
      <c r="D16" s="5"/>
      <c r="E16" s="5"/>
      <c r="F16" s="17" t="s">
        <v>52</v>
      </c>
      <c r="G16" s="111">
        <f>PRODUCT(G$3:G$4)*PRODUCT(G14:G15)</f>
        <v>5.6920997883030807E+34</v>
      </c>
      <c r="H16" s="111">
        <f>SUM(H$3:H$4)+SUM(H14:H15)</f>
        <v>2.7310645112533267</v>
      </c>
      <c r="I16" s="5"/>
      <c r="K16" s="3" t="s">
        <v>154</v>
      </c>
      <c r="L16" s="3" t="e">
        <f>STupidExcelMean(L15)</f>
        <v>#VALUE!</v>
      </c>
      <c r="M16" s="3" t="e">
        <f>STupidExcelVariance(L15,L16)</f>
        <v>#VALUE!</v>
      </c>
      <c r="N16" s="7" t="s">
        <v>150</v>
      </c>
    </row>
    <row r="17" spans="1:23">
      <c r="B17" s="5"/>
      <c r="C17" s="5"/>
      <c r="D17" s="5"/>
      <c r="E17" s="5"/>
      <c r="F17" s="5"/>
      <c r="G17" s="5"/>
      <c r="H17" s="5"/>
      <c r="I17" s="5"/>
    </row>
    <row r="18" spans="1:23">
      <c r="B18" s="5"/>
      <c r="C18" s="5"/>
      <c r="D18" s="5"/>
      <c r="E18" s="5"/>
      <c r="F18" s="5"/>
      <c r="G18" s="5"/>
      <c r="H18" s="5"/>
      <c r="I18" s="5"/>
      <c r="K18" s="3" t="s">
        <v>151</v>
      </c>
      <c r="L18" s="3" t="e">
        <f>L7-L16</f>
        <v>#VALUE!</v>
      </c>
      <c r="M18" t="e">
        <f>DifferenceVariance(L7:M7,L16:M16)</f>
        <v>#VALUE!</v>
      </c>
    </row>
    <row r="19" spans="1:23" ht="30">
      <c r="A19" s="10" t="s">
        <v>48</v>
      </c>
      <c r="B19" s="5"/>
      <c r="C19" s="5"/>
      <c r="D19" s="5"/>
      <c r="E19" s="5"/>
      <c r="F19" s="10" t="s">
        <v>55</v>
      </c>
      <c r="G19" s="5"/>
      <c r="H19" s="5"/>
      <c r="I19" s="5"/>
      <c r="K19" s="27" t="s">
        <v>106</v>
      </c>
      <c r="L19" s="19" t="e">
        <f>EXP(MuFromParams(L18,M18))</f>
        <v>#VALUE!</v>
      </c>
      <c r="M19" s="19" t="e">
        <f>(SigmaFromParams(L18,M18) / LN(10))^2</f>
        <v>#VALUE!</v>
      </c>
      <c r="S19" s="3"/>
      <c r="T19" s="3"/>
      <c r="U19" s="3"/>
      <c r="V19" s="3"/>
      <c r="W19" s="3"/>
    </row>
    <row r="20" spans="1:23">
      <c r="A20" s="5" t="s">
        <v>43</v>
      </c>
      <c r="B20" s="5">
        <f>VLOOKUP(A20,Globals!$A$21:$L$30,11,FALSE)</f>
        <v>0.1</v>
      </c>
      <c r="C20" s="5">
        <f>VLOOKUP(A20,Globals!$A$21:$L$30,12,FALSE)</f>
        <v>0</v>
      </c>
      <c r="D20" s="5"/>
      <c r="E20" s="5"/>
      <c r="F20" s="5" t="s">
        <v>19</v>
      </c>
      <c r="G20" s="5">
        <f>VLOOKUP($F20,Globals!$N$36:$P$42,2,FALSE)</f>
        <v>316227766016837.94</v>
      </c>
      <c r="H20" s="5">
        <f>VLOOKUP($F20,Globals!$N$36:$P$42,3,FALSE)</f>
        <v>1.1704562191085683</v>
      </c>
      <c r="I20" s="5"/>
      <c r="S20" s="22"/>
      <c r="T20" s="3"/>
      <c r="U20" s="3"/>
      <c r="V20" s="3"/>
      <c r="W20" s="3"/>
    </row>
    <row r="21" spans="1:23" ht="30">
      <c r="A21" s="16" t="s">
        <v>52</v>
      </c>
      <c r="B21" s="111">
        <f>PRODUCT($B$3:$B$6)*B20</f>
        <v>3.1622776601683798E+44</v>
      </c>
      <c r="C21" s="111">
        <f>SUM(C$3:C$6)+C20</f>
        <v>3.5113686573257055</v>
      </c>
      <c r="D21" s="5"/>
      <c r="E21" s="5"/>
      <c r="F21" s="5" t="s">
        <v>39</v>
      </c>
      <c r="G21" s="5">
        <f>VLOOKUP(F21,Globals!$A$21:$L$30,11,FALSE)</f>
        <v>0.4</v>
      </c>
      <c r="H21" s="5">
        <f>VLOOKUP(F21,Globals!$A$21:$L$30,12,FALSE)</f>
        <v>0</v>
      </c>
      <c r="I21" s="5"/>
      <c r="L21" s="3"/>
      <c r="M21" s="3"/>
      <c r="N21" s="28"/>
      <c r="S21" s="8"/>
      <c r="T21" s="3"/>
      <c r="U21" s="3"/>
      <c r="V21" s="3"/>
      <c r="W21" s="3"/>
    </row>
    <row r="22" spans="1:23">
      <c r="B22" s="5"/>
      <c r="C22" s="5"/>
      <c r="D22" s="5"/>
      <c r="E22" s="5"/>
      <c r="F22" s="17" t="s">
        <v>52</v>
      </c>
      <c r="G22" s="111">
        <f>PRODUCT(G$3:G$4)*PRODUCT(G20:G21)</f>
        <v>3.9999999999999993E+37</v>
      </c>
      <c r="H22" s="111">
        <f>SUM(H$3:H$4)+SUM(H20:H21)</f>
        <v>3.1212165842895159</v>
      </c>
      <c r="I22" s="5"/>
      <c r="L22" s="2"/>
      <c r="M22" s="2"/>
      <c r="S22" s="8"/>
      <c r="T22" s="3"/>
      <c r="U22" s="3"/>
      <c r="V22" s="3"/>
      <c r="W22" s="3"/>
    </row>
    <row r="23" spans="1:23">
      <c r="B23" s="5"/>
      <c r="C23" s="5"/>
      <c r="D23" s="5"/>
      <c r="E23" s="5"/>
      <c r="F23" s="5"/>
      <c r="G23" s="5"/>
      <c r="H23" s="5"/>
      <c r="I23" s="5"/>
      <c r="K23" s="3"/>
      <c r="L23" s="3"/>
      <c r="M23" s="3"/>
      <c r="S23" s="8"/>
      <c r="T23" s="3"/>
      <c r="U23" s="3"/>
      <c r="V23" s="3"/>
      <c r="W23" s="3"/>
    </row>
    <row r="24" spans="1:23">
      <c r="A24" s="10" t="s">
        <v>49</v>
      </c>
      <c r="B24" s="5"/>
      <c r="C24" s="5"/>
      <c r="D24" s="5"/>
      <c r="E24" s="5"/>
      <c r="F24" s="5"/>
      <c r="G24" s="5"/>
      <c r="H24" s="5"/>
      <c r="I24" s="5"/>
      <c r="L24" s="3"/>
      <c r="M24" s="3"/>
      <c r="S24" s="8"/>
      <c r="T24" s="3"/>
      <c r="U24" s="3"/>
      <c r="V24" s="3"/>
      <c r="W24" s="3"/>
    </row>
    <row r="25" spans="1:23">
      <c r="A25" s="5" t="s">
        <v>44</v>
      </c>
      <c r="B25" s="5">
        <f>VLOOKUP(A25,Globals!$A$21:$L$30,11,FALSE)</f>
        <v>10000000</v>
      </c>
      <c r="C25" s="5">
        <f>VLOOKUP(A25,Globals!$A$21:$L$30,12,FALSE)</f>
        <v>0</v>
      </c>
      <c r="D25" s="5"/>
      <c r="E25" s="5"/>
      <c r="F25" s="10" t="s">
        <v>56</v>
      </c>
      <c r="G25" s="5"/>
      <c r="H25" s="5"/>
      <c r="I25" s="5"/>
      <c r="M25" s="28"/>
      <c r="S25" s="8"/>
      <c r="T25" s="3"/>
      <c r="U25" s="3"/>
      <c r="V25" s="3"/>
      <c r="W25" s="3"/>
    </row>
    <row r="26" spans="1:23">
      <c r="A26" s="16" t="s">
        <v>52</v>
      </c>
      <c r="B26" s="111">
        <f>PRODUCT($B$3:$B$6)*B25</f>
        <v>3.1622776601683798E+52</v>
      </c>
      <c r="C26" s="111">
        <f>SUM(C$3:C$6)+C25</f>
        <v>3.5113686573257055</v>
      </c>
      <c r="D26" s="5"/>
      <c r="E26" s="5"/>
      <c r="F26" s="5" t="s">
        <v>54</v>
      </c>
      <c r="G26" s="5">
        <f>VLOOKUP($F26,Globals!$N$36:$P$42,2,FALSE)</f>
        <v>1E+19</v>
      </c>
      <c r="H26" s="5">
        <f>VLOOKUP($F26,Globals!$N$36:$P$42,3,FALSE)</f>
        <v>1.5606082921447579</v>
      </c>
      <c r="I26" s="5"/>
      <c r="M26" s="28"/>
      <c r="S26" s="23"/>
      <c r="T26" s="3"/>
      <c r="U26" s="3"/>
      <c r="V26" s="3"/>
      <c r="W26" s="3"/>
    </row>
    <row r="27" spans="1:23">
      <c r="A27" s="8"/>
      <c r="B27" s="156">
        <v>10000000</v>
      </c>
      <c r="C27" s="8"/>
      <c r="D27" s="5"/>
      <c r="E27" s="5"/>
      <c r="F27" s="5" t="s">
        <v>40</v>
      </c>
      <c r="G27" s="5">
        <f>VLOOKUP(F27,Globals!$A$21:$L$30,11,FALSE)</f>
        <v>0.04</v>
      </c>
      <c r="H27" s="5">
        <f>VLOOKUP(F27,Globals!$A$21:$L$30,12,FALSE)</f>
        <v>0</v>
      </c>
      <c r="I27" s="5"/>
      <c r="M27" s="28"/>
      <c r="S27" s="3"/>
      <c r="T27" s="3"/>
      <c r="U27" s="3"/>
      <c r="V27" s="3"/>
      <c r="W27" s="3"/>
    </row>
    <row r="28" spans="1:23">
      <c r="B28" s="5">
        <v>3</v>
      </c>
      <c r="C28" s="5"/>
      <c r="D28" s="5"/>
      <c r="E28" s="5"/>
      <c r="F28" s="17" t="s">
        <v>52</v>
      </c>
      <c r="G28" s="111">
        <f>PRODUCT(G$3:G$4)*PRODUCT(G26:G27)</f>
        <v>1.2649110640673514E+41</v>
      </c>
      <c r="H28" s="111">
        <f>SUM(H$3:H$4)+SUM(H26:H27)</f>
        <v>3.5113686573257055</v>
      </c>
      <c r="I28" s="5"/>
      <c r="S28" s="3"/>
      <c r="T28" s="3"/>
      <c r="U28" s="3"/>
      <c r="V28" s="3"/>
      <c r="W28" s="3"/>
    </row>
    <row r="29" spans="1:23">
      <c r="B29" s="5"/>
      <c r="C29" s="5"/>
      <c r="D29" s="5"/>
      <c r="E29" s="5"/>
      <c r="F29" s="5"/>
      <c r="G29" s="5"/>
      <c r="H29" s="5"/>
      <c r="I29" s="5"/>
      <c r="S29" s="13"/>
      <c r="T29" s="3"/>
      <c r="U29" s="3"/>
      <c r="V29" s="3"/>
      <c r="W29" s="3"/>
    </row>
    <row r="30" spans="1:23">
      <c r="B30" s="5"/>
      <c r="C30" s="5"/>
      <c r="D30" s="5"/>
      <c r="E30" s="5"/>
      <c r="F30" s="5"/>
      <c r="G30" s="5"/>
      <c r="H30" s="5"/>
      <c r="I30" s="5"/>
      <c r="S30" s="3"/>
      <c r="T30" s="3"/>
      <c r="U30" s="3"/>
      <c r="V30" s="3"/>
      <c r="W30" s="3"/>
    </row>
    <row r="31" spans="1:23">
      <c r="A31" s="8"/>
      <c r="B31" s="8"/>
      <c r="C31" s="8"/>
      <c r="D31" s="5"/>
      <c r="E31" s="5"/>
      <c r="F31" s="10" t="s">
        <v>57</v>
      </c>
      <c r="G31" s="5"/>
      <c r="H31" s="5"/>
      <c r="I31" s="5"/>
      <c r="S31" s="3"/>
      <c r="T31" s="3"/>
      <c r="U31" s="3"/>
      <c r="V31" s="3"/>
      <c r="W31" s="3"/>
    </row>
    <row r="32" spans="1:23">
      <c r="A32" s="8"/>
      <c r="B32" s="8"/>
      <c r="C32" s="8"/>
      <c r="D32" s="5"/>
      <c r="E32" s="5"/>
      <c r="F32" s="5" t="s">
        <v>54</v>
      </c>
      <c r="G32" s="5">
        <f>VLOOKUP($F32,Globals!$N$36:$P$42,2,FALSE)</f>
        <v>1E+19</v>
      </c>
      <c r="H32" s="5">
        <f>VLOOKUP($F32,Globals!$N$36:$P$42,3,FALSE)</f>
        <v>1.5606082921447579</v>
      </c>
      <c r="I32" s="5"/>
      <c r="S32" s="3"/>
      <c r="T32" s="3"/>
      <c r="U32" s="3"/>
      <c r="V32" s="3"/>
      <c r="W32" s="3"/>
    </row>
    <row r="33" spans="1:23">
      <c r="A33" s="8"/>
      <c r="B33" s="8"/>
      <c r="C33" s="8"/>
      <c r="D33" s="5"/>
      <c r="E33" s="5"/>
      <c r="F33" s="5" t="s">
        <v>58</v>
      </c>
      <c r="G33" s="5">
        <f>VLOOKUP($F33,Globals!$N$36:$P$42,2,FALSE)</f>
        <v>3.1622776601683791E-2</v>
      </c>
      <c r="H33" s="5">
        <f>VLOOKUP($F33,Globals!$N$36:$P$42,3,FALSE)</f>
        <v>1.1704562191085683</v>
      </c>
      <c r="I33" s="5"/>
      <c r="S33" s="3"/>
      <c r="T33" s="3"/>
      <c r="U33" s="3"/>
      <c r="V33" s="3"/>
      <c r="W33" s="3"/>
    </row>
    <row r="34" spans="1:23">
      <c r="A34" s="8"/>
      <c r="B34" s="8"/>
      <c r="C34" s="8"/>
      <c r="D34" s="5"/>
      <c r="E34" s="5"/>
      <c r="F34" s="5" t="s">
        <v>40</v>
      </c>
      <c r="G34" s="5">
        <f>VLOOKUP(F34,Globals!$A$21:$L$30,11,FALSE)</f>
        <v>0.04</v>
      </c>
      <c r="H34" s="5">
        <f>VLOOKUP(F34,Globals!$A$21:$L$30,12,FALSE)</f>
        <v>0</v>
      </c>
      <c r="I34" s="5"/>
      <c r="S34" s="8"/>
      <c r="T34" s="3"/>
      <c r="U34" s="3"/>
      <c r="V34" s="3"/>
      <c r="W34" s="3"/>
    </row>
    <row r="35" spans="1:23">
      <c r="A35" s="8"/>
      <c r="B35" s="8"/>
      <c r="C35" s="8"/>
      <c r="D35" s="5"/>
      <c r="E35" s="5"/>
      <c r="F35" s="16" t="s">
        <v>52</v>
      </c>
      <c r="G35" s="111">
        <f>PRODUCT(G$3:G$4)*PRODUCT(G32:G34)</f>
        <v>3.9999999999999985E+39</v>
      </c>
      <c r="H35" s="111">
        <f>SUM(H$3:H$4)+SUM(H32:H34)</f>
        <v>4.6818248764342734</v>
      </c>
      <c r="I35" s="5"/>
      <c r="S35" s="8"/>
      <c r="T35" s="3"/>
      <c r="U35" s="3"/>
      <c r="V35" s="3"/>
      <c r="W35" s="3"/>
    </row>
    <row r="36" spans="1:23">
      <c r="A36" s="8"/>
      <c r="B36" s="8"/>
      <c r="C36" s="8"/>
      <c r="D36" s="5"/>
      <c r="E36" s="5"/>
      <c r="F36" s="5"/>
      <c r="G36" s="5"/>
      <c r="H36" s="5"/>
      <c r="I36" s="5"/>
      <c r="S36" s="3"/>
      <c r="T36" s="3"/>
      <c r="U36" s="3"/>
      <c r="V36" s="3"/>
      <c r="W36" s="3"/>
    </row>
    <row r="37" spans="1:23" ht="15" customHeight="1">
      <c r="A37" s="8"/>
      <c r="B37" s="3"/>
      <c r="C37" s="3"/>
      <c r="S37" s="3"/>
      <c r="T37" s="3"/>
      <c r="U37" s="3"/>
      <c r="V37" s="3"/>
      <c r="W37" s="3"/>
    </row>
    <row r="38" spans="1:23" ht="15" customHeight="1">
      <c r="S38" s="13"/>
      <c r="T38" s="3"/>
      <c r="U38" s="3"/>
      <c r="V38" s="3"/>
      <c r="W38" s="3"/>
    </row>
    <row r="39" spans="1:23" ht="15" customHeight="1">
      <c r="S39" s="3"/>
      <c r="T39" s="3"/>
      <c r="U39" s="3"/>
      <c r="V39" s="3"/>
      <c r="W39" s="3"/>
    </row>
    <row r="40" spans="1:23" ht="15" customHeight="1">
      <c r="S40" s="3"/>
      <c r="T40" s="3"/>
      <c r="U40" s="3"/>
      <c r="V40" s="3"/>
      <c r="W40" s="3"/>
    </row>
    <row r="41" spans="1:23" ht="15" customHeight="1">
      <c r="S41" s="3"/>
      <c r="T41" s="3"/>
      <c r="U41" s="3"/>
      <c r="V41" s="3"/>
      <c r="W41" s="3"/>
    </row>
    <row r="42" spans="1:23" ht="15" customHeight="1">
      <c r="S42" s="3"/>
      <c r="T42" s="3"/>
      <c r="U42" s="3"/>
      <c r="V42" s="3"/>
      <c r="W42" s="3"/>
    </row>
    <row r="43" spans="1:23" ht="15" customHeight="1">
      <c r="S43" s="8"/>
      <c r="T43" s="3"/>
      <c r="U43" s="3"/>
      <c r="V43" s="3"/>
      <c r="W43" s="3"/>
    </row>
    <row r="44" spans="1:23" ht="15" customHeight="1">
      <c r="S44" s="8"/>
      <c r="T44" s="3"/>
      <c r="U44" s="3"/>
      <c r="V44" s="3"/>
      <c r="W44" s="3"/>
    </row>
    <row r="45" spans="1:23" ht="15" customHeight="1">
      <c r="S45" s="3"/>
      <c r="T45" s="3"/>
      <c r="U45" s="3"/>
      <c r="V45" s="3"/>
      <c r="W45" s="3"/>
    </row>
    <row r="46" spans="1:23" ht="15" customHeight="1">
      <c r="S46" s="3"/>
      <c r="T46" s="3"/>
      <c r="U46" s="3"/>
      <c r="V46" s="3"/>
      <c r="W46" s="3"/>
    </row>
    <row r="47" spans="1:23" ht="15" customHeight="1">
      <c r="S47" s="13"/>
      <c r="T47" s="3"/>
      <c r="U47" s="3"/>
      <c r="V47" s="3"/>
      <c r="W47" s="3"/>
    </row>
    <row r="48" spans="1:23" ht="15" customHeight="1">
      <c r="S48" s="3"/>
      <c r="T48" s="3"/>
      <c r="U48" s="3"/>
      <c r="V48" s="3"/>
      <c r="W48" s="3"/>
    </row>
    <row r="49" spans="19:23" ht="15" customHeight="1">
      <c r="S49" s="3"/>
      <c r="T49" s="3"/>
      <c r="U49" s="3"/>
      <c r="V49" s="3"/>
      <c r="W49" s="3"/>
    </row>
    <row r="50" spans="19:23" ht="15" customHeight="1">
      <c r="S50" s="3"/>
      <c r="T50" s="3"/>
      <c r="U50" s="3"/>
      <c r="V50" s="3"/>
      <c r="W50" s="3"/>
    </row>
    <row r="51" spans="19:23" ht="15" customHeight="1">
      <c r="S51" s="3"/>
      <c r="T51" s="3"/>
      <c r="U51" s="3"/>
      <c r="V51" s="3"/>
      <c r="W51" s="3"/>
    </row>
    <row r="52" spans="19:23" ht="15" customHeight="1">
      <c r="S52" s="8"/>
      <c r="T52" s="3"/>
      <c r="U52" s="3"/>
      <c r="V52" s="3"/>
      <c r="W52" s="3"/>
    </row>
    <row r="53" spans="19:23" ht="15" customHeight="1">
      <c r="S53" s="8"/>
      <c r="T53" s="3"/>
      <c r="U53" s="3"/>
      <c r="V53" s="3"/>
      <c r="W53" s="3"/>
    </row>
    <row r="54" spans="19:23" ht="15" customHeight="1">
      <c r="S54" s="3"/>
      <c r="T54" s="3"/>
      <c r="U54" s="3"/>
      <c r="V54" s="3"/>
      <c r="W54" s="3"/>
    </row>
    <row r="55" spans="19:23" ht="15" customHeight="1">
      <c r="S55" s="3"/>
      <c r="T55" s="3"/>
      <c r="U55" s="3"/>
      <c r="V55" s="3"/>
      <c r="W55" s="3"/>
    </row>
    <row r="56" spans="19:23" ht="15" customHeight="1">
      <c r="S56" s="13"/>
      <c r="T56" s="3"/>
      <c r="U56" s="3"/>
      <c r="V56" s="3"/>
      <c r="W56" s="3"/>
    </row>
    <row r="57" spans="19:23" ht="15" customHeight="1">
      <c r="S57" s="3"/>
      <c r="T57" s="3"/>
      <c r="U57" s="3"/>
      <c r="V57" s="3"/>
      <c r="W57" s="3"/>
    </row>
    <row r="58" spans="19:23" ht="15" customHeight="1">
      <c r="S58" s="3"/>
      <c r="T58" s="3"/>
      <c r="U58" s="3"/>
      <c r="V58" s="3"/>
      <c r="W58" s="3"/>
    </row>
    <row r="59" spans="19:23" ht="15" customHeight="1">
      <c r="S59" s="3"/>
      <c r="T59" s="3"/>
      <c r="U59" s="3"/>
      <c r="V59" s="3"/>
      <c r="W59" s="3"/>
    </row>
    <row r="60" spans="19:23" ht="15" customHeight="1">
      <c r="S60" s="3"/>
      <c r="T60" s="3"/>
      <c r="U60" s="3"/>
      <c r="V60" s="3"/>
      <c r="W60" s="3"/>
    </row>
    <row r="61" spans="19:23" ht="15" customHeight="1">
      <c r="S61" s="3"/>
      <c r="T61" s="3"/>
      <c r="U61" s="3"/>
      <c r="V61" s="3"/>
      <c r="W61" s="3"/>
    </row>
    <row r="62" spans="19:23" ht="15" customHeight="1">
      <c r="S62" s="3"/>
      <c r="T62" s="3"/>
      <c r="U62" s="3"/>
      <c r="V62" s="3"/>
      <c r="W62" s="3"/>
    </row>
    <row r="63" spans="19:23" ht="15" customHeight="1">
      <c r="S63" s="8"/>
      <c r="T63" s="3"/>
      <c r="U63" s="3"/>
      <c r="V63" s="3"/>
      <c r="W63"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P42"/>
  <sheetViews>
    <sheetView tabSelected="1" workbookViewId="0">
      <selection activeCell="K14" sqref="K14"/>
    </sheetView>
  </sheetViews>
  <sheetFormatPr baseColWidth="10" defaultRowHeight="15" x14ac:dyDescent="0"/>
  <cols>
    <col min="1" max="1" width="21.6640625" customWidth="1"/>
    <col min="2" max="2" width="12.83203125" bestFit="1" customWidth="1"/>
    <col min="3" max="3" width="12.1640625" bestFit="1" customWidth="1"/>
    <col min="4" max="4" width="10.83203125" style="103"/>
    <col min="5" max="5" width="10.83203125" customWidth="1"/>
    <col min="6" max="6" width="21.6640625" customWidth="1"/>
    <col min="7" max="7" width="12.83203125" bestFit="1" customWidth="1"/>
    <col min="11" max="11" width="12.83203125" bestFit="1" customWidth="1"/>
    <col min="12" max="13" width="12.1640625" bestFit="1" customWidth="1"/>
  </cols>
  <sheetData>
    <row r="1" spans="1:16" ht="20">
      <c r="A1" s="93" t="s">
        <v>120</v>
      </c>
      <c r="B1" s="82"/>
      <c r="C1" s="82"/>
      <c r="D1" s="119"/>
      <c r="F1" s="1" t="s">
        <v>63</v>
      </c>
    </row>
    <row r="2" spans="1:16">
      <c r="A2" s="74">
        <v>0</v>
      </c>
      <c r="B2" s="74" t="s">
        <v>0</v>
      </c>
      <c r="C2" s="74" t="s">
        <v>1</v>
      </c>
      <c r="D2" s="119" t="s">
        <v>27</v>
      </c>
      <c r="G2" s="7" t="s">
        <v>156</v>
      </c>
      <c r="H2" s="7" t="s">
        <v>157</v>
      </c>
      <c r="I2" t="s">
        <v>159</v>
      </c>
    </row>
    <row r="3" spans="1:16" ht="30">
      <c r="A3" s="42" t="s">
        <v>96</v>
      </c>
      <c r="B3" s="50">
        <v>50000000000</v>
      </c>
      <c r="C3" s="50">
        <v>2000000000000</v>
      </c>
      <c r="D3" s="119" t="s">
        <v>230</v>
      </c>
      <c r="F3" s="15" t="s">
        <v>52</v>
      </c>
      <c r="G3" s="14">
        <v>1</v>
      </c>
      <c r="H3" s="14">
        <f>I3^2</f>
        <v>4.0000000000000008E-2</v>
      </c>
      <c r="I3">
        <v>0.2</v>
      </c>
    </row>
    <row r="4" spans="1:16">
      <c r="A4" s="46" t="s">
        <v>91</v>
      </c>
      <c r="B4" s="47">
        <v>0.1</v>
      </c>
      <c r="C4" s="47">
        <v>0.5</v>
      </c>
      <c r="D4" s="119" t="s">
        <v>188</v>
      </c>
      <c r="F4" s="18" t="s">
        <v>78</v>
      </c>
      <c r="G4" s="19">
        <f>ParetoPosterior(median,alpha,G3:H3)</f>
        <v>0.85832741114212496</v>
      </c>
      <c r="H4" s="3"/>
    </row>
    <row r="5" spans="1:16" ht="45">
      <c r="A5" s="46" t="s">
        <v>254</v>
      </c>
      <c r="B5" s="47">
        <v>5.0000000000000001E-3</v>
      </c>
      <c r="C5" s="47">
        <v>0.2</v>
      </c>
      <c r="D5" s="119"/>
      <c r="F5" s="18" t="s">
        <v>85</v>
      </c>
      <c r="G5" s="19">
        <f>LognormPosterior(mu_global_poverty,sigma_global_poverty,G3:H3)</f>
        <v>0.94755469095363942</v>
      </c>
      <c r="H5" s="3"/>
    </row>
    <row r="6" spans="1:16" ht="45">
      <c r="A6" s="46" t="s">
        <v>255</v>
      </c>
      <c r="B6" s="47">
        <f>B5*1.01</f>
        <v>5.0499999999999998E-3</v>
      </c>
      <c r="C6" s="47">
        <f>C5*1.01</f>
        <v>0.20200000000000001</v>
      </c>
      <c r="D6" s="119"/>
    </row>
    <row r="7" spans="1:16" ht="30">
      <c r="A7" s="116" t="s">
        <v>87</v>
      </c>
      <c r="B7" s="107">
        <f>1000/C3*interest_rate</f>
        <v>2.5000000000000004E-11</v>
      </c>
      <c r="C7" s="107">
        <f>1000/B3*interest_rate</f>
        <v>1.0000000000000001E-9</v>
      </c>
      <c r="D7" s="119"/>
      <c r="G7" s="7"/>
      <c r="H7" s="7"/>
    </row>
    <row r="8" spans="1:16" ht="45">
      <c r="A8" s="91" t="s">
        <v>256</v>
      </c>
      <c r="B8" s="65">
        <v>1.21</v>
      </c>
      <c r="C8" s="65">
        <v>192</v>
      </c>
      <c r="D8" s="120" t="s">
        <v>226</v>
      </c>
      <c r="F8" s="1" t="s">
        <v>86</v>
      </c>
      <c r="K8" s="1" t="s">
        <v>94</v>
      </c>
    </row>
    <row r="9" spans="1:16" ht="30">
      <c r="A9" s="118" t="s">
        <v>227</v>
      </c>
      <c r="B9" s="44">
        <f>B8/365</f>
        <v>3.3150684931506848E-3</v>
      </c>
      <c r="C9" s="44">
        <f>C8/365</f>
        <v>0.52602739726027392</v>
      </c>
      <c r="G9" t="s">
        <v>156</v>
      </c>
      <c r="H9" t="s">
        <v>158</v>
      </c>
      <c r="J9" s="13"/>
      <c r="L9" s="7" t="s">
        <v>156</v>
      </c>
      <c r="M9" s="7" t="s">
        <v>158</v>
      </c>
      <c r="N9" s="13"/>
      <c r="O9" s="3"/>
      <c r="P9" s="3"/>
    </row>
    <row r="10" spans="1:16">
      <c r="A10" s="118"/>
      <c r="F10" t="s">
        <v>91</v>
      </c>
      <c r="G10">
        <f>GEOMEAN($B$4,$C$4)</f>
        <v>0.22360679774997896</v>
      </c>
      <c r="H10">
        <f>LogVariance($B$4,$C$4)</f>
        <v>0.27270459618181209</v>
      </c>
      <c r="J10" s="3"/>
      <c r="K10" t="s">
        <v>91</v>
      </c>
      <c r="L10">
        <f>GEOMEAN($B$4,$C$4)</f>
        <v>0.22360679774997896</v>
      </c>
      <c r="M10">
        <f>LogVariance($B$4,$C$4)</f>
        <v>0.27270459618181209</v>
      </c>
      <c r="N10" s="3"/>
      <c r="O10" s="3"/>
      <c r="P10" s="3"/>
    </row>
    <row r="11" spans="1:16">
      <c r="A11" s="118"/>
      <c r="F11" s="3" t="s">
        <v>92</v>
      </c>
      <c r="G11">
        <f>GEOMEAN($B$5,$C$5)</f>
        <v>3.1622776601683791E-2</v>
      </c>
      <c r="H11">
        <f>LogVariance($B$5,$C$5)</f>
        <v>0.62504702674494428</v>
      </c>
      <c r="J11" s="3"/>
      <c r="K11" s="3" t="s">
        <v>93</v>
      </c>
      <c r="L11">
        <f>GEOMEAN($B$6,$C$6)</f>
        <v>3.1939004367700634E-2</v>
      </c>
      <c r="M11">
        <f>LogVariance($B$6,$C$6)</f>
        <v>0.62504702674494439</v>
      </c>
      <c r="N11" s="3"/>
      <c r="O11" s="3"/>
      <c r="P11" s="3"/>
    </row>
    <row r="12" spans="1:16">
      <c r="A12" s="118"/>
      <c r="F12" t="s">
        <v>87</v>
      </c>
      <c r="G12">
        <f>GEOMEAN($B$7,$C$7)</f>
        <v>1.5811388300841898E-10</v>
      </c>
      <c r="H12">
        <f>LogVariance($B$7,$C$7)</f>
        <v>0.62504702674494428</v>
      </c>
      <c r="J12" s="3"/>
      <c r="K12" t="s">
        <v>87</v>
      </c>
      <c r="L12">
        <f>GEOMEAN($B$7,$C$7)</f>
        <v>1.5811388300841898E-10</v>
      </c>
      <c r="M12">
        <f>LogVariance($B$7,$C$7)</f>
        <v>0.62504702674494428</v>
      </c>
      <c r="N12" s="3"/>
      <c r="O12" s="3"/>
      <c r="P12" s="3"/>
    </row>
    <row r="13" spans="1:16">
      <c r="A13" s="103"/>
      <c r="F13" t="s">
        <v>106</v>
      </c>
      <c r="G13" t="e">
        <f>VLOOKUP(F13,'EV of Far Future'!$K$18:$M$19,2,FALSE)</f>
        <v>#VALUE!</v>
      </c>
      <c r="H13" t="e">
        <f>VLOOKUP(F13,'EV of Far Future'!$K$18:$M$19,3,FALSE)</f>
        <v>#VALUE!</v>
      </c>
      <c r="J13" s="3"/>
      <c r="K13" t="s">
        <v>106</v>
      </c>
      <c r="L13" t="e">
        <f>VLOOKUP(K13,'EV of Far Future'!$K$18:$M$19,2,FALSE)</f>
        <v>#VALUE!</v>
      </c>
      <c r="M13" t="e">
        <f>VLOOKUP(K13,'EV of Far Future'!$K$18:$M$19,3,FALSE)</f>
        <v>#VALUE!</v>
      </c>
      <c r="N13" s="3"/>
      <c r="O13" s="3"/>
      <c r="P13" s="3"/>
    </row>
    <row r="14" spans="1:16">
      <c r="A14" s="103"/>
      <c r="F14" s="15" t="s">
        <v>52</v>
      </c>
      <c r="G14" s="14" t="e">
        <f>PRODUCT(G10:G13)</f>
        <v>#VALUE!</v>
      </c>
      <c r="H14" s="14" t="e">
        <f>SUM(H10:H13)</f>
        <v>#VALUE!</v>
      </c>
      <c r="J14" s="3"/>
      <c r="K14" s="15" t="s">
        <v>52</v>
      </c>
      <c r="L14" s="14" t="e">
        <f>PRODUCT(L10:L13)</f>
        <v>#VALUE!</v>
      </c>
      <c r="M14" s="14" t="e">
        <f>SUM(M10:M13)</f>
        <v>#VALUE!</v>
      </c>
      <c r="N14" s="3"/>
      <c r="O14" s="3"/>
      <c r="P14" s="3"/>
    </row>
    <row r="15" spans="1:16">
      <c r="D15" s="103">
        <v>1E-3</v>
      </c>
      <c r="F15" s="3" t="s">
        <v>155</v>
      </c>
      <c r="G15" t="e">
        <f>meanFromParams(G14:H14)</f>
        <v>#VALUE!</v>
      </c>
      <c r="H15" t="e">
        <f>VarianceFromParams(G14:H14)</f>
        <v>#VALUE!</v>
      </c>
      <c r="J15" s="3"/>
      <c r="K15" s="3"/>
      <c r="L15" s="3"/>
      <c r="M15" s="3"/>
      <c r="N15" s="3"/>
      <c r="O15" s="3"/>
      <c r="P15" s="3"/>
    </row>
    <row r="16" spans="1:16">
      <c r="J16" s="3"/>
      <c r="K16" s="117"/>
      <c r="L16" s="117"/>
      <c r="M16" s="117"/>
      <c r="N16" s="3"/>
      <c r="O16" s="3"/>
      <c r="P16" s="3"/>
    </row>
    <row r="17" spans="1:16">
      <c r="J17" s="3"/>
      <c r="K17" s="121" t="s">
        <v>225</v>
      </c>
      <c r="L17" s="117"/>
      <c r="M17" s="117"/>
      <c r="N17" s="3"/>
      <c r="O17" s="3"/>
      <c r="P17" s="3"/>
    </row>
    <row r="18" spans="1:16">
      <c r="J18" s="3"/>
      <c r="K18" s="12"/>
      <c r="L18" s="117" t="s">
        <v>156</v>
      </c>
      <c r="M18" s="117" t="s">
        <v>158</v>
      </c>
      <c r="O18" s="3"/>
      <c r="P18" s="3"/>
    </row>
    <row r="19" spans="1:16">
      <c r="J19" s="3"/>
      <c r="K19" s="103" t="s">
        <v>227</v>
      </c>
      <c r="L19" s="117">
        <f>GEOMEAN(B9,C9)</f>
        <v>4.1759033168783891E-2</v>
      </c>
      <c r="M19" s="117">
        <f>LogVariance(B9,C9)</f>
        <v>0.85853582389873684</v>
      </c>
      <c r="N19" s="3"/>
      <c r="O19" s="3"/>
      <c r="P19" s="3"/>
    </row>
    <row r="20" spans="1:16">
      <c r="J20" s="13"/>
      <c r="K20" s="117" t="s">
        <v>38</v>
      </c>
      <c r="L20">
        <f>VLOOKUP(K20,Globals!$A$22:$L$30,11,FALSE)</f>
        <v>1.7999999999999998</v>
      </c>
      <c r="M20">
        <f>VLOOKUP(K20,Globals!$A$22:$L$30,12,FALSE)</f>
        <v>0</v>
      </c>
      <c r="N20" s="13"/>
      <c r="O20" s="3"/>
      <c r="P20" s="3"/>
    </row>
    <row r="21" spans="1:16">
      <c r="J21" s="3"/>
      <c r="K21" s="123" t="s">
        <v>52</v>
      </c>
      <c r="L21" s="122">
        <f>PRODUCT(L19:L20)</f>
        <v>7.5166259703810995E-2</v>
      </c>
      <c r="M21" s="122">
        <f>SUM(M19:M20)</f>
        <v>0.85853582389873684</v>
      </c>
      <c r="N21" s="3"/>
      <c r="O21" s="3"/>
      <c r="P21" s="3"/>
    </row>
    <row r="22" spans="1:16" ht="20">
      <c r="A22" s="32" t="s">
        <v>59</v>
      </c>
      <c r="J22" s="3"/>
      <c r="K22" s="117"/>
      <c r="L22" s="117"/>
      <c r="M22" s="117"/>
      <c r="N22" s="3"/>
      <c r="O22" s="3"/>
      <c r="P22" s="3"/>
    </row>
    <row r="23" spans="1:16">
      <c r="A23" s="22" t="s">
        <v>164</v>
      </c>
      <c r="B23" s="3"/>
      <c r="C23" s="3"/>
      <c r="J23" s="3"/>
      <c r="N23" s="3"/>
      <c r="O23" s="3"/>
      <c r="P23" s="3"/>
    </row>
    <row r="24" spans="1:16" ht="30">
      <c r="A24" s="5" t="s">
        <v>162</v>
      </c>
      <c r="B24" t="e">
        <f>G15-L28</f>
        <v>#VALUE!</v>
      </c>
      <c r="C24" t="e">
        <f>DifferenceVariance(G15:H15,L28:M28)</f>
        <v>#VALUE!</v>
      </c>
      <c r="J24" s="3"/>
      <c r="K24" t="s">
        <v>228</v>
      </c>
      <c r="N24" s="3"/>
      <c r="O24" s="3"/>
      <c r="P24" s="3"/>
    </row>
    <row r="25" spans="1:16">
      <c r="A25" s="16" t="s">
        <v>163</v>
      </c>
      <c r="B25" s="14" t="e">
        <f>EXP(MuFromParams(ABS(B24),C24))</f>
        <v>#VALUE!</v>
      </c>
      <c r="C25" s="14" t="e">
        <f>(SigmaFromParams(B24,C24) / LN(10))^2</f>
        <v>#VALUE!</v>
      </c>
      <c r="K25" s="12" t="s">
        <v>229</v>
      </c>
      <c r="L25" s="12" t="e">
        <f>L14</f>
        <v>#VALUE!</v>
      </c>
      <c r="M25" s="12" t="e">
        <f>M14</f>
        <v>#VALUE!</v>
      </c>
    </row>
    <row r="26" spans="1:16">
      <c r="A26" s="36" t="s">
        <v>78</v>
      </c>
      <c r="B26" s="19" t="e">
        <f>ParetoPosterior(median,alpha,B25:C25)*SIGN(B24)</f>
        <v>#VALUE!</v>
      </c>
      <c r="K26" s="12" t="s">
        <v>144</v>
      </c>
      <c r="L26" s="12">
        <f>L21</f>
        <v>7.5166259703810995E-2</v>
      </c>
      <c r="M26" s="12">
        <f>M21</f>
        <v>0.85853582389873684</v>
      </c>
    </row>
    <row r="27" spans="1:16">
      <c r="A27" s="36" t="s">
        <v>85</v>
      </c>
      <c r="B27" s="155">
        <v>10000000</v>
      </c>
      <c r="K27" s="125" t="s">
        <v>167</v>
      </c>
      <c r="L27" s="124" t="str">
        <f>WriteArray(SumLognormDists(L25:M26))</f>
        <v>disabled</v>
      </c>
      <c r="M27" s="124" t="s">
        <v>148</v>
      </c>
    </row>
    <row r="28" spans="1:16">
      <c r="A28" s="5"/>
      <c r="B28">
        <v>3</v>
      </c>
      <c r="K28" s="7" t="s">
        <v>154</v>
      </c>
      <c r="L28" s="7" t="e">
        <f>STupidExcelMean(L27)</f>
        <v>#VALUE!</v>
      </c>
      <c r="M28" s="7" t="e">
        <f>STupidExcelVariance(L27,L28)</f>
        <v>#VALUE!</v>
      </c>
    </row>
    <row r="29" spans="1:16">
      <c r="A29" s="5"/>
    </row>
    <row r="30" spans="1:16">
      <c r="A30" s="33" t="s">
        <v>83</v>
      </c>
      <c r="B30" s="4" t="e">
        <f>B26+G4</f>
        <v>#VALUE!</v>
      </c>
    </row>
    <row r="31" spans="1:16">
      <c r="A31" s="33" t="s">
        <v>84</v>
      </c>
      <c r="B31" s="4">
        <f>B27+G5</f>
        <v>10000000.947554691</v>
      </c>
    </row>
    <row r="36" spans="1:2">
      <c r="A36" s="13"/>
      <c r="B36" s="3"/>
    </row>
    <row r="37" spans="1:2">
      <c r="A37" s="3"/>
      <c r="B37" s="3"/>
    </row>
    <row r="38" spans="1:2">
      <c r="A38" s="3"/>
      <c r="B38" s="3"/>
    </row>
    <row r="39" spans="1:2">
      <c r="A39" s="3"/>
      <c r="B39" s="3"/>
    </row>
    <row r="40" spans="1:2">
      <c r="A40" s="3"/>
      <c r="B40" s="3"/>
    </row>
    <row r="41" spans="1:2">
      <c r="A41" s="13"/>
      <c r="B41" s="3"/>
    </row>
    <row r="42" spans="1:2">
      <c r="A42" s="3"/>
      <c r="B42" s="3"/>
    </row>
  </sheetData>
  <hyperlinks>
    <hyperlink ref="D8" r:id="rId1"/>
  </hyperlink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O45"/>
  <sheetViews>
    <sheetView tabSelected="1" workbookViewId="0">
      <selection activeCell="K14" sqref="K14"/>
    </sheetView>
  </sheetViews>
  <sheetFormatPr baseColWidth="10" defaultRowHeight="15" x14ac:dyDescent="0"/>
  <cols>
    <col min="1" max="1" width="21.6640625" style="5" customWidth="1"/>
    <col min="2" max="4" width="10.83203125" customWidth="1"/>
    <col min="6" max="7" width="10.83203125" customWidth="1"/>
    <col min="8" max="8" width="12.1640625" bestFit="1" customWidth="1"/>
    <col min="9" max="9" width="12.83203125" bestFit="1" customWidth="1"/>
    <col min="14" max="14" width="12.83203125" bestFit="1" customWidth="1"/>
  </cols>
  <sheetData>
    <row r="1" spans="1:15" ht="20">
      <c r="A1" s="32" t="s">
        <v>120</v>
      </c>
      <c r="H1" s="1" t="s">
        <v>63</v>
      </c>
      <c r="M1" s="1" t="s">
        <v>77</v>
      </c>
    </row>
    <row r="2" spans="1:15">
      <c r="A2" s="57">
        <v>0</v>
      </c>
      <c r="B2" s="44" t="s">
        <v>0</v>
      </c>
      <c r="C2" s="44" t="s">
        <v>1</v>
      </c>
      <c r="D2" s="54" t="s">
        <v>156</v>
      </c>
      <c r="E2" s="54" t="s">
        <v>158</v>
      </c>
      <c r="F2" t="s">
        <v>27</v>
      </c>
      <c r="I2" s="7" t="s">
        <v>156</v>
      </c>
      <c r="J2" s="7" t="s">
        <v>157</v>
      </c>
      <c r="N2" s="7" t="s">
        <v>156</v>
      </c>
      <c r="O2" s="7" t="s">
        <v>158</v>
      </c>
    </row>
    <row r="3" spans="1:15" ht="30">
      <c r="A3" s="42" t="s">
        <v>117</v>
      </c>
      <c r="B3" s="43">
        <v>0.7</v>
      </c>
      <c r="C3" s="83">
        <v>13</v>
      </c>
      <c r="D3" s="74"/>
      <c r="E3" s="74"/>
      <c r="F3" s="142" t="s">
        <v>281</v>
      </c>
      <c r="G3" s="7"/>
      <c r="H3" t="s">
        <v>66</v>
      </c>
      <c r="I3">
        <f>D4</f>
        <v>3016.620625799671</v>
      </c>
      <c r="J3">
        <f>E4</f>
        <v>0.49504262895320128</v>
      </c>
      <c r="M3" s="3" t="s">
        <v>124</v>
      </c>
      <c r="N3" s="25">
        <f>VLOOKUP(M3,$A$18:$E$21,4,FALSE)</f>
        <v>4.4721359549995794E-2</v>
      </c>
      <c r="O3" s="25">
        <f>VLOOKUP(M3,$A$18:$E$21,5,FALSE)</f>
        <v>0.50759954989056688</v>
      </c>
    </row>
    <row r="4" spans="1:15" ht="30">
      <c r="A4" s="85" t="s">
        <v>66</v>
      </c>
      <c r="B4" s="86">
        <f>B3*1000</f>
        <v>700</v>
      </c>
      <c r="C4" s="86">
        <f>C3*1000</f>
        <v>13000</v>
      </c>
      <c r="D4" s="74">
        <f>GEOMEAN(B4,C4)</f>
        <v>3016.620625799671</v>
      </c>
      <c r="E4" s="74">
        <f>LogVariance(B4,C4)</f>
        <v>0.49504262895320128</v>
      </c>
      <c r="F4" s="142"/>
      <c r="G4" s="3"/>
      <c r="H4" t="s">
        <v>38</v>
      </c>
      <c r="I4">
        <f>VLOOKUP($H4,Globals!$A$22:$L$30,11,FALSE)</f>
        <v>1.7999999999999998</v>
      </c>
      <c r="J4">
        <f>VLOOKUP($H4,Globals!$A$22:$L$30,12,FALSE)</f>
        <v>0</v>
      </c>
      <c r="M4" s="3" t="s">
        <v>181</v>
      </c>
      <c r="N4">
        <f>VLOOKUP($M4,'EV of Far Future'!$K$3:$N$14,2,FALSE)</f>
        <v>3.8399999999999992E+38</v>
      </c>
      <c r="O4">
        <f>VLOOKUP($M4,'EV of Far Future'!$K$3:$N$14,3,FALSE)</f>
        <v>4.6818248764342734</v>
      </c>
    </row>
    <row r="5" spans="1:15">
      <c r="F5" s="103"/>
      <c r="H5" s="15" t="s">
        <v>52</v>
      </c>
      <c r="I5" s="14">
        <f>PRODUCT(I3:I4)</f>
        <v>5429.9171264394072</v>
      </c>
      <c r="J5" s="14">
        <f>SUM(J3:J4)</f>
        <v>0.49504262895320128</v>
      </c>
      <c r="M5" s="3" t="s">
        <v>285</v>
      </c>
      <c r="N5" s="2">
        <f>$D$7</f>
        <v>7.0710678118654755E-10</v>
      </c>
      <c r="O5">
        <f>$E$7</f>
        <v>0.11744747685437738</v>
      </c>
    </row>
    <row r="6" spans="1:15" ht="30">
      <c r="A6" s="46" t="s">
        <v>282</v>
      </c>
      <c r="B6" s="147">
        <v>1000000000</v>
      </c>
      <c r="C6" s="147">
        <v>2000000000</v>
      </c>
      <c r="D6" s="3"/>
      <c r="E6" s="3"/>
      <c r="F6" s="103"/>
      <c r="H6" s="18" t="s">
        <v>78</v>
      </c>
      <c r="I6" s="19">
        <f>ParetoPosterior(median,alpha,I5:J5)</f>
        <v>396.49368154968971</v>
      </c>
      <c r="M6" s="148" t="s">
        <v>286</v>
      </c>
      <c r="N6">
        <f>$D$16</f>
        <v>1.3769616143708125E-9</v>
      </c>
      <c r="O6">
        <f>$E$16</f>
        <v>5.0908678113629371</v>
      </c>
    </row>
    <row r="7" spans="1:15" ht="30">
      <c r="A7" s="149" t="s">
        <v>285</v>
      </c>
      <c r="B7" s="150">
        <v>5.0000000000000003E-10</v>
      </c>
      <c r="C7" s="150">
        <v>1.0000000000000001E-9</v>
      </c>
      <c r="D7" s="3">
        <f>GEOMEAN(B7,C7)</f>
        <v>7.0710678118654755E-10</v>
      </c>
      <c r="E7" s="3">
        <f>LogVariance(B7,C7)</f>
        <v>0.11744747685437738</v>
      </c>
      <c r="H7" s="18" t="s">
        <v>67</v>
      </c>
      <c r="I7" s="20" t="str">
        <f>LognormPosterior(mu_factory_farming,sigma_factory_farming,I5:J5)</f>
        <v>disabled</v>
      </c>
      <c r="M7" s="15" t="s">
        <v>52</v>
      </c>
      <c r="N7" s="14">
        <f>PRODUCT(N3:N6)</f>
        <v>1.6720646215811355E+19</v>
      </c>
      <c r="O7" s="14">
        <f>SUM(O3:O6)</f>
        <v>10.397739714542155</v>
      </c>
    </row>
    <row r="8" spans="1:15">
      <c r="A8" s="46" t="s">
        <v>287</v>
      </c>
      <c r="B8" s="84">
        <v>22</v>
      </c>
      <c r="C8" s="84">
        <v>323</v>
      </c>
      <c r="D8" s="3">
        <f>GEOMEAN(B8,C8)</f>
        <v>84.297093662830392</v>
      </c>
      <c r="E8" s="3">
        <f>LogVariance(B8,C8)</f>
        <v>0.45522157394153262</v>
      </c>
      <c r="F8" s="103" t="s">
        <v>288</v>
      </c>
      <c r="I8" s="21"/>
    </row>
    <row r="9" spans="1:15" ht="30">
      <c r="A9" s="46" t="s">
        <v>290</v>
      </c>
      <c r="B9" s="84">
        <v>5</v>
      </c>
      <c r="C9" s="84">
        <v>8</v>
      </c>
      <c r="D9" s="3">
        <f>GEOMEAN(B9,C9)</f>
        <v>6.324555320336759</v>
      </c>
      <c r="E9" s="3">
        <f>LogVariance(B9,C9)</f>
        <v>7.9637834381320105E-2</v>
      </c>
      <c r="F9" s="103" t="s">
        <v>289</v>
      </c>
      <c r="I9" s="2"/>
    </row>
    <row r="10" spans="1:15" ht="30">
      <c r="A10" s="87" t="s">
        <v>291</v>
      </c>
      <c r="B10" s="146"/>
      <c r="C10" s="146"/>
      <c r="D10" s="3">
        <f>D8*D9</f>
        <v>533.14163221418005</v>
      </c>
      <c r="E10" s="3">
        <f>E8+E9</f>
        <v>0.53485940832285273</v>
      </c>
      <c r="F10" s="103"/>
      <c r="H10" s="13" t="s">
        <v>64</v>
      </c>
      <c r="M10" s="1" t="s">
        <v>172</v>
      </c>
    </row>
    <row r="11" spans="1:15" ht="45">
      <c r="A11" s="46" t="s">
        <v>103</v>
      </c>
      <c r="B11" s="47">
        <v>5.0000000000000001E-3</v>
      </c>
      <c r="C11" s="47">
        <v>0.03</v>
      </c>
      <c r="D11" s="74">
        <f>GEOMEAN(B11,C11)</f>
        <v>1.2247448713915889E-2</v>
      </c>
      <c r="E11" s="74">
        <f>LogVariance(B11,C11)</f>
        <v>0.30359732347288149</v>
      </c>
      <c r="F11" s="103"/>
      <c r="I11" s="7" t="s">
        <v>156</v>
      </c>
      <c r="J11" s="7" t="s">
        <v>157</v>
      </c>
      <c r="M11" s="3" t="s">
        <v>174</v>
      </c>
      <c r="N11" s="25">
        <f>VLOOKUP(M11,$A$18:$E$21,4,FALSE)</f>
        <v>2.2360679774997897E-2</v>
      </c>
      <c r="O11" s="25">
        <f>VLOOKUP(M11,$A$18:$E$21,5,FALSE)</f>
        <v>0.27270459618181209</v>
      </c>
    </row>
    <row r="12" spans="1:15" ht="30">
      <c r="A12" s="85" t="s">
        <v>284</v>
      </c>
      <c r="B12" s="86"/>
      <c r="C12" s="86"/>
      <c r="D12" s="44">
        <f>D10*interest_rate</f>
        <v>26.657081610709003</v>
      </c>
      <c r="E12" s="44">
        <f>E10</f>
        <v>0.53485940832285273</v>
      </c>
      <c r="F12" s="103"/>
      <c r="H12" s="3" t="s">
        <v>68</v>
      </c>
      <c r="I12">
        <v>1</v>
      </c>
      <c r="J12">
        <v>0</v>
      </c>
      <c r="M12" s="3" t="s">
        <v>177</v>
      </c>
      <c r="N12">
        <f>VLOOKUP($M12,'EV of Far Future'!$K$3:$N$14,2,FALSE)</f>
        <v>6.3245553203367608E+50</v>
      </c>
      <c r="O12">
        <f>VLOOKUP($M12,'EV of Far Future'!$K$3:$N$14,3,FALSE)</f>
        <v>3.5113686573257055</v>
      </c>
    </row>
    <row r="13" spans="1:15" ht="30">
      <c r="A13" s="85" t="s">
        <v>283</v>
      </c>
      <c r="B13" s="86"/>
      <c r="C13" s="86"/>
      <c r="D13" s="44">
        <f>D10*D11</f>
        <v>6.5296247977965773</v>
      </c>
      <c r="E13" s="44">
        <f>E10+E11</f>
        <v>0.83845673179573421</v>
      </c>
      <c r="F13" s="103"/>
      <c r="H13" s="3" t="s">
        <v>182</v>
      </c>
      <c r="I13">
        <f>VLOOKUP($H13,'EV of Far Future'!$K$3:$N$14,2,FALSE)</f>
        <v>5.4644157967709579E+33</v>
      </c>
      <c r="J13">
        <f>VLOOKUP($H13,'EV of Far Future'!$K$3:$N$14,3,FALSE)</f>
        <v>2.7310645112533267</v>
      </c>
      <c r="M13" s="3" t="s">
        <v>285</v>
      </c>
      <c r="N13" s="2">
        <f>$D$7</f>
        <v>7.0710678118654755E-10</v>
      </c>
      <c r="O13">
        <f>$E$7</f>
        <v>0.11744747685437738</v>
      </c>
    </row>
    <row r="14" spans="1:15">
      <c r="A14" s="115" t="s">
        <v>167</v>
      </c>
      <c r="B14" s="44"/>
      <c r="C14" s="44"/>
      <c r="D14" s="114" t="str">
        <f>WriteArray(SumLognormDists(D12:E13))</f>
        <v>0,0,0,0,3.06801923715307E-261,5.6443364452014E-258,1.98627255916387E-255,8.06574951770373E-253,2.54761723790152E-250,7.67643852316551E-248,2.24349958487824E-245,6.37479281135915E-243,1.75885714105466E-240,4.71506324127615E-238,1.22818291020093E-235,3.10856462034519E-233,7.64501698491128E-231,1.82691716383917E-228,4.24210312498169E-226,9.57118408768777E-224,2.09832288025386E-221,4.4699357664798E-219,9.2523635452938E-217,1.86091552275066E-214,3.63683263952653E-212,6.90625782658705E-210,1.27433966415032E-207,2.28481312890702E-205,3.98051599405265E-203,6.73831636057296E-201,1.10837543492921E-198,1.77151973488533E-196,2.75124232789623E-194,4.15179194314896E-192,6.08788372921227E-190,8.67403743213017E-188,1.20088261147696E-185,1.61549006463453E-183,2.11170208191325E-181,2.68216678167805E-179,3.31027322338929E-177,3.9697850355983E-175,4.62589091305688E-173,5.23780340546667E-171,5.76273401369799E-169,6.16075157797731E-167,6.39977536183978E-165,6.45984126067726E-163,6.33585485246002E-161,6.03830474417456E-159,5.59179768282853E-157,5.03169918212348E-155,4.39951568880174E-153,3.73785321640751E-151,3.08579432846737E-149,2.47536511200169E-147,1.92947567326553E-145,1.46139393862134E-143,1.07553228600378E-141,7.69144544916367E-140,5.34467188316502E-138,3.60880085929667E-136,2.36773878282249E-134,1.50950264803951E-132,9.35111536862839E-131,5.62888819495142E-129,3.29239347290837E-127,1.87124640188173E-125,1.03342889287976E-123,5.54575702476838E-122,2.8918245481378E-120,1.46525818500926E-118,7.21419273223984E-117,3.45138138688312E-115,1.60446428932743E-113,7.24768511684316E-112,3.18127350778246E-110,1.35686115367944E-108,5.6234494931342E-107,2.26466237782643E-105,8.8621215041607E-104,3.36981299074733E-102,1.24511099344741E-100,4.47038379476258e-99,1.55961118311331e-97,5.28716638700852e-96,1.74166669170852e-94,5.57497438550031e-93,1.73403078876364e-91,5.24091568652456e-90,1.53919743611114e-88,4.39256942809096e-87,1.21809299347608e-85,3.28231405048477e-84,8.59444963102491e-83,2.18672739042038e-81,5.40642577397604e-80,1.29886875198775e-78,3.03221591119226e-77,6.87852340559236e-76,1.51625058649453e-74,3.24778925027098e-73,6.75999279048837e-72,1.36724583105619e-70,2.68713460581459e-69,5.13186403212156e-68,9.52366787363917e-67,1.71742273646381e-65,3.00950131009495e-64,5.12456178220923e-63,8.47938422587479e-62,1.36338279412518e-60,2.13018712074868e-59,3.23418383919091e-58,4.77154710915203e-57,6.84072086712228e-56,9.53000769894911e-55,1.29013145137516e-53,1.69716715404043e-52,2.16953093033373e-51,2.69499702386529e-50,3.25313890537096e-49,3.81592185605943e-48,4.34960254405755e-47,4.81785381124657e-46,5.18575897105513e-45,5.42408444744635e-44,5.51311081561394e-43,5.44532673525577e-42,5.22647533079176e-41,4.87475083915624e-40,4.41830137411491e-39,3.89151317364986e-38,3.33075595410755e-37,2.77031508277939e-36,2.23912581522607e-35,1.75869999063253e-34,1.34236290603755e-33,9.95666860080149e-33,7.17670558234215e-32,5.02694630362703e-31,3.42178329979157e-30,2.26345066528174e-29,1.45499334478043e-28,9.08915749646452e-28,5.51772614396129e-27,3.25515615661478e-26,1.86620783933997e-25,1.03974311888483e-24,5.62952013049746e-24,2.96208444261287e-23,1.51462716781386e-22,7.5265831408111e-22,3.63475731204533e-21,1.70584705377166e-20,7.78025120001162e-20,3.44856024309751e-19,1.48550652377042e-18,6.21878886974606e-18,2.53007618195158e-17,1.0003685681134e-16,3.84403503570173e-16,1.43554826517913e-15,5.21019315634517e-15,1.83779863087601e-14,6.3001765855555e-14,2.09904122364826e-13,6.79681641301249e-13,2.13899346002803e-12,6.54238187421833e-12,1.94485922539732e-11,5.61913940035209e-11,1.57791820657266e-10,4.30661558336695e-10,1.14242783773039e-09,2.94555298601027e-09,7.38167449661943e-09,1.79803358429933e-08,4.25697137844028e-08,9.79645995934283e-08,2.19133585151836e-07,4.76459805408731e-07,1.00699604081117e-06,2.0688094626537e-06,4.1315405302157e-06,8.02066582127749e-06,1.51364621039219e-05,2.77691888111815e-05,4.95264130147659e-05,8.58729131604796e-05,0.000144754733052324,0.000237235210643389,0.000378014871544351,0.000585648018558655,0.000882223174013991,0.00129226490208149,0.0018406651058338,0.00254958022480511,0.00343443786971216,0.00449945818506697,0.00573335938792521,0.00710610963546194,0.00856763032464702,0.0100491913334853,0.0114678547669119,0.0127337708473886,0.0137595184921022,0.0144701618762031,0.0148124079524307,0.0147612953485571,0.0143232364627072,0.0135348930122125,0.0124581379203668,0.011172059763995,0.00976343892299796,0.00831727300124054,0.00690874791943493,0.00559761759953781,0.00442539871398709,0.0034152472843233,0.0025739726909893,0.00189542183019224,0.00136443526265066,0.000960697330757891,0.000662009185096059,0.000446741907614749,0.000295425692923546,0.000191571878031454,0.000121900700933509,7.61680294533001e-05,4.67660123097878e-05,2.82339621722162e-05,1.67718069181265e-05,9.80897973594872e-06,5.65142289275539e-06,3.20936764843973e-06,1.79734149285314e-06,9.93112955435601e-07,5.4165076799191e-07,2.91729304702805e-07,1.55225486000173e-07,8.1629791409047e-08,4.2444154853762e-08,2.18299690998173e-08,1.11106185686909e-08,5.59830703429037e-09,2.79375562280687e-09,1.3813546746343e-09,6.76964246796495e-10,3.28934944509704e-10,1.58509130109719e-10,7.57681699323203e-11,3.59306444265345e-11,1.69049705040804e-11,7.89094968952336e-12,3.65405375446428e-12,1.6783851658365e-12,7.64538339699217e-13,3.45304831879897e-13,1.54595498575235e-13,6.85917852898095e-14,3.01521505321419e-14,1.31289018120023e-14,5.66110613108498e-15,2.41681612277945e-15,1.02134124804361e-15,4.27177175118364e-16,1.76802950107879e-16,7.24033654228553e-17,2.93337595474108e-17,1.17564468085433e-17,4.66069118810336e-18,1.8275234525891e-18,7.0874763140497e-19,2.71843102209023e-19,1.03116627322292e-19,3.86822231949338e-20,1.43501887230158e-20,5.26453912064908e-21,1.90991634045432e-21,6.85197093933515e-22,2.43086467651852e-22,8.52801275122506e-23,2.95852306883664e-23,1.0149411503162e-23,3.44306011211738e-24,1.15500936861528e-24,3.83144919335636e-25,1.25683116532847e-25,4.07687000571193e-26,1.30771365643178e-26,4.14795657174619e-27,1.30104225230131e-27,4.03537777978256e-28,1.2376919071616e-28,3.75384582020716e-29,1.12583778038678e-29,3.33895603208012e-30,9.7922178722322e-31,2.83979450983146e-31,8.14382136527779e-32,2.30943123910422e-32,6.47615605599196e-33,1.79582926954845e-33,4.92434255366008e-34,1.33526337464251e-34,3.58031375391857e-35,9.49315794083474e-36,2.48906246290712e-36,6.4535154414642e-37,1.65459756543576e-37,4.19492188042678e-38,1.05169750467825e-38,2.6073136514456e-39,6.3919178215518e-40,1.54954629589373e-40,3.71461149918143e-41,8.80557480061384e-42,2.06413211830882e-42,4.78467828524224e-43,1.09673943909227e-43,2.48593431730376e-44,5.57200256089609e-45,1.23500419914774e-45,2.70683030642726e-46,5.86663536057242e-47,1.25733970454782e-47,2.66472031973618e-48,5.5845232894395e-49,1.15732690208763e-49,2.3717093165855e-50,4.80620554260373e-51,9.63116203422023e-52,1.90849272230888e-52,3.73970888423879e-53,7.24637079749337e-54,1.38847728556825e-54,2.63082811772923e-55,4.92925901613803e-56,9.13284891768544e-57,1.67327135466972e-57,3.03153054501455e-58,5.43116491048148e-59,9.62187034183999e-60,1.68562700372345e-60,2.92010809983612e-61,5.0023243399387e-62,8.4738395071078e-63,1.4194630461787e-63,2.35127494655324e-64,3.85139632059979e-65,6.23833187432827e-66,9.99204102154576e-67,1.58261548481011e-67,2.47874631870314e-68,3.83905401777934e-69,5.87965485215037e-70,8.90461017921295e-71,1.33356276295109e-71,1.97491076743145e-72,2.89212436522555e-73,4.18814703356499e-74,5.99739074421863e-75,8.49255247927349e-76,1.18918549312832e-76,1.64663156049364e-77,2.25464793903299e-78,3.0527870291488e-79,4.08742453855022e-80,5.41175911287264e-81,7.08537165468464e-82,9.17323001096851e-83,1.17440367076927e-83,1.48678436707823e-84,1.86128998776802e-85,2.30417555859483e-86,2.82067181594704e-87,3.41448352699841e-88,4.08726648130368e-89,4.83811686792121e-90,5.66311296876291e-91,6.55495273537664e-92,7.5027309564549e-93,8.49189569234237e-94,9.50441515209876e-95,1.05191734005268e-95,1.15125969245369e-96,1.24594954001261e-97,1.33340806570386e-98,1.41111097858076e-99,1.47670835757863E-100,1.52814218262623E-101,1.56375339128681E-102,1.58237070540459E-103,1.58337459695534E-104,1.56673152080478E-105,1.53299577596187E-106,1.48327885128337E-107,1.41918862023141E-108,1.34274302428592E-109,1.25626470614607E-110,1.16226425607659E-111,1.06332022407683E-112,9.61963814015827E-114,8.60575278802079E-115,7.61297609415209E-116,6.65971332783038E-117,5.7609230360487E-118,4.92792489900048E-119,4.1684208273092E-120,3.48669936694217E-121,2.88398447261396E-122,2.35888518013234E-123,1.90790240382476E-124,1.52595236852549E-125,1.20687216040647E-126,9.43880535204359E-128,7.29975459472205E-129,5.5825800509399E-130,4.22179486857095E-131,3.15714672146476E-132,2.33468273644672E-133,1.70724735244766E-134,1.23452671657188E-135,8.82754636484344E-137,6.24187390088871E-138,4.364409007202E-139,3.01766735853478E-140,2.0632542873822E-141,1.39498525271071E-142,9.32656982077082E-144,6.16608836691817E-145,4.03118762455623E-146,2.60610403724118E-147,1.66604203678909E-148,1.05321159189721E-149,6.58386284194465E-151,4.06987797806888E-152,2.48781150187562E-153,1.50379633959867E-154,8.98868258493497E-156,5.31298432917599E-157,3.10539246227318E-158,1.79485728971954E-159,1.02583809123191E-160,5.79779944404995E-162,3.24028361382299E-163,1.79076389661065E-164,9.78653840411199E-166,5.28877813304395E-167,2.82629221035918E-168,1.49353100829403E-169,7.80453252976682E-171,4.03287736364582E-172,2.06071819375086E-173,1.0412563534315E-174,5.20274083038427E-176,2.57064549729671E-177,1.25599426459081E-178,6.0683216427581E-180,2.89924553317551E-181,1.36973600162462E-182,6.39917834244946E-184,2.95628994552793E-185,1.35053333380974E-186,6.10097237664214E-188,2.72538761847147E-189,1.20390707778841E-190,5.25887836554585E-192,2.27158375105513E-193,9.70286189922358E-195,4.09832519507176E-196,1.71178198294907E-197,7.07010648981293E-199,2.88761260261674E-200,1.16623849150311E-201,4.65769753831647E-203,1.83946133633494E-204,7.18365577856324E-206,2.77418764492523E-207,1.05940403254254E-208,4.00057926224466E-210,1.49389339193568E-211,5.51634985845513E-213,2.01427826931979E-214,7.27315096082313E-216,2.59693575237467E-217,9.16928091401556E-219,3.20143596938999E-220,1.10532458847495E-221,3.77372554371061E-223,1.27404938045621E-224,4.25341422974665E-226,1.40418576975739E-227,4.58402444113226E-229,1.47980588713688E-230,4.72387118275545E-232,1.4911688083639E-233,4.65469302228014E-235,1.43678156626453E-236,4.3855687091518E-238,1.323721311242E-239,3.95096034995977E-241,1.16612270398432E-242,3.403465086213E-244,9.82276644225688E-246,2.80337893123925E-247,7.91161711840878E-249,2.20792433959261E-250,6.09310387207566E-252,1.66275570178795E-253,4.48697633372521E-255,1.19733197666163E-256,3.15944538672465E-258,8.24408751433501E-260,2.12720724361642E-261,5.42765809419663E-263,1.36946403244961E-264,3.41683689412892E-266,8.43011180302544E-268,2.05673287625738E-269,4.96201319862203E-271,1.18378657175565E-272,2.79270056294392E-274,6.51494577051623E-276,1.50290907457339E-277,3.42838887834221E-279,7.73362158312233E-281,1.72508789150097E-282,3.80517824599734E-284,8.29992662094054E-286,1.79023057296029E-287,3.8183800785403E-289,8.05350273800198E-291,1.67967761714034E-292,3.46419657893907E-294,7.06503944887254E-296,1.42482695648977E-297,2.84148340533966E-299,5.60355442316076E-301,1.0927417433158E-302,2.10720574790059E-304,4.0182025046618E-306,7.57691066876184E-308,1.41282373761478E-309,2.60506922528295E-311,4.74991702320774E-313,8.56422852846466E-315,1.52695404794111E-316,2.69214394156312E-318,4.693129569846E-320,7.95445689804407E-322,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v>
      </c>
      <c r="E14" s="114" t="s">
        <v>148</v>
      </c>
      <c r="F14" s="103" t="s">
        <v>175</v>
      </c>
      <c r="H14" s="3" t="s">
        <v>285</v>
      </c>
      <c r="I14" s="2">
        <f>$D$7</f>
        <v>7.0710678118654755E-10</v>
      </c>
      <c r="J14">
        <f>$E$7</f>
        <v>0.11744747685437738</v>
      </c>
      <c r="M14" s="148" t="s">
        <v>286</v>
      </c>
      <c r="N14">
        <f>$D$16</f>
        <v>1.3769616143708125E-9</v>
      </c>
      <c r="O14">
        <f>$E$16</f>
        <v>5.0908678113629371</v>
      </c>
    </row>
    <row r="15" spans="1:15">
      <c r="A15" s="45" t="s">
        <v>151</v>
      </c>
      <c r="B15" s="44"/>
      <c r="C15" s="44"/>
      <c r="D15" s="45">
        <v>1E-3</v>
      </c>
      <c r="E15" s="45">
        <f>STupidExcelVariance(D14,D15)</f>
        <v>527419.6823514055</v>
      </c>
      <c r="F15" s="103"/>
      <c r="H15" s="148" t="s">
        <v>286</v>
      </c>
      <c r="I15">
        <f>$D$16</f>
        <v>1.3769616143708125E-9</v>
      </c>
      <c r="J15">
        <f>$E$16</f>
        <v>5.0908678113629371</v>
      </c>
      <c r="M15" s="15" t="s">
        <v>52</v>
      </c>
      <c r="N15" s="14">
        <f>PRODUCT(N11:N14)</f>
        <v>1.3769616143708131E+31</v>
      </c>
      <c r="O15" s="14">
        <f>SUM(O11:O14)</f>
        <v>8.9923885417248322</v>
      </c>
    </row>
    <row r="16" spans="1:15" ht="30">
      <c r="A16" s="85" t="s">
        <v>286</v>
      </c>
      <c r="B16" s="86"/>
      <c r="C16" s="86"/>
      <c r="D16" s="45">
        <f>EXP(MuFromParams(ABS(D15),E15))</f>
        <v>1.3769616143708125E-9</v>
      </c>
      <c r="E16" s="45">
        <f>(SigmaFromParams(D15,E15) / LN(10))^2</f>
        <v>5.0908678113629371</v>
      </c>
      <c r="F16" s="103"/>
      <c r="H16" s="15" t="s">
        <v>52</v>
      </c>
      <c r="I16" s="14">
        <f>PRODUCT(I12:I15)</f>
        <v>5320477046259626</v>
      </c>
      <c r="J16" s="14">
        <f>SUM(J12:J15)</f>
        <v>7.9393797994706414</v>
      </c>
    </row>
    <row r="17" spans="1:15">
      <c r="A17" s="113"/>
      <c r="B17" s="112"/>
      <c r="C17" s="112"/>
      <c r="F17" s="103"/>
    </row>
    <row r="18" spans="1:15" ht="45">
      <c r="A18" s="46" t="s">
        <v>173</v>
      </c>
      <c r="B18" s="47">
        <v>0.01</v>
      </c>
      <c r="C18" s="47">
        <v>0.2</v>
      </c>
      <c r="D18" s="74">
        <f>GEOMEAN(B18,C18)</f>
        <v>4.4721359549995794E-2</v>
      </c>
      <c r="E18" s="74">
        <f>LogVariance(B18,C18)</f>
        <v>0.50759954989056688</v>
      </c>
      <c r="M18" t="s">
        <v>165</v>
      </c>
    </row>
    <row r="19" spans="1:15" ht="30">
      <c r="A19" s="46" t="s">
        <v>132</v>
      </c>
      <c r="B19" s="47">
        <v>5.0000000000000001E-3</v>
      </c>
      <c r="C19" s="47">
        <v>0.1</v>
      </c>
      <c r="D19" s="74">
        <f>GEOMEAN(B19,C19)</f>
        <v>2.2360679774997897E-2</v>
      </c>
      <c r="E19" s="74">
        <f>LogVariance(B19,C19)</f>
        <v>0.50759954989056688</v>
      </c>
      <c r="M19" t="s">
        <v>166</v>
      </c>
      <c r="N19">
        <f>I16</f>
        <v>5320477046259626</v>
      </c>
      <c r="O19">
        <f>J16</f>
        <v>7.9393797994706414</v>
      </c>
    </row>
    <row r="20" spans="1:15" ht="30">
      <c r="A20" s="46" t="s">
        <v>124</v>
      </c>
      <c r="B20" s="47">
        <v>0.01</v>
      </c>
      <c r="C20" s="47">
        <v>0.2</v>
      </c>
      <c r="D20" s="74">
        <f>GEOMEAN(B20,C20)</f>
        <v>4.4721359549995794E-2</v>
      </c>
      <c r="E20" s="74">
        <f>LogVariance(B20,C20)</f>
        <v>0.50759954989056688</v>
      </c>
      <c r="H20" s="1" t="s">
        <v>69</v>
      </c>
      <c r="N20">
        <f>I26</f>
        <v>2.2294194954415146E+17</v>
      </c>
      <c r="O20">
        <f>J26</f>
        <v>8.8371314223973965</v>
      </c>
    </row>
    <row r="21" spans="1:15">
      <c r="A21" s="52" t="s">
        <v>174</v>
      </c>
      <c r="B21" s="51">
        <v>0.01</v>
      </c>
      <c r="C21" s="51">
        <v>0.05</v>
      </c>
      <c r="D21" s="74">
        <f>GEOMEAN(B21,C21)</f>
        <v>2.2360679774997897E-2</v>
      </c>
      <c r="E21" s="74">
        <f>LogVariance(B21,C21)</f>
        <v>0.27270459618181209</v>
      </c>
      <c r="I21" s="7" t="s">
        <v>156</v>
      </c>
      <c r="J21" s="7" t="s">
        <v>158</v>
      </c>
      <c r="N21">
        <f>I35</f>
        <v>3.5250217327892804E+20</v>
      </c>
      <c r="O21">
        <f>J35</f>
        <v>9.2272834954335874</v>
      </c>
    </row>
    <row r="22" spans="1:15">
      <c r="A22" s="35"/>
      <c r="B22" s="34"/>
      <c r="C22" s="34"/>
      <c r="D22" s="34"/>
      <c r="E22" s="34"/>
      <c r="H22" s="3" t="s">
        <v>173</v>
      </c>
      <c r="I22" s="25">
        <f>VLOOKUP(H22,$A$18:$E$21,4,FALSE)</f>
        <v>4.4721359549995794E-2</v>
      </c>
      <c r="J22" s="25">
        <f>VLOOKUP(H22,$A$18:$E$21,5,FALSE)</f>
        <v>0.50759954989056688</v>
      </c>
      <c r="M22" s="3"/>
      <c r="N22" s="3">
        <f>N7</f>
        <v>1.6720646215811355E+19</v>
      </c>
      <c r="O22" s="3">
        <f>O7</f>
        <v>10.397739714542155</v>
      </c>
    </row>
    <row r="23" spans="1:15">
      <c r="H23" s="3" t="s">
        <v>179</v>
      </c>
      <c r="I23">
        <f>VLOOKUP($H23,'EV of Far Future'!$K$3:$N$14,2,FALSE)</f>
        <v>5.1200000000000003E+36</v>
      </c>
      <c r="J23">
        <f>VLOOKUP($H23,'EV of Far Future'!$K$3:$N$14,3,FALSE)</f>
        <v>3.1212165842895159</v>
      </c>
      <c r="N23">
        <f>N15</f>
        <v>1.3769616143708131E+31</v>
      </c>
      <c r="O23">
        <f>O15</f>
        <v>8.9923885417248322</v>
      </c>
    </row>
    <row r="24" spans="1:15">
      <c r="H24" s="3" t="s">
        <v>285</v>
      </c>
      <c r="I24" s="2">
        <f>$D$7</f>
        <v>7.0710678118654755E-10</v>
      </c>
      <c r="J24">
        <f>$E$7</f>
        <v>0.11744747685437738</v>
      </c>
      <c r="M24" s="30" t="s">
        <v>167</v>
      </c>
      <c r="N24" s="31" t="str">
        <f>WriteArray(SumLognormDists(N19:O23))</f>
        <v>disabled</v>
      </c>
      <c r="O24" s="31" t="s">
        <v>148</v>
      </c>
    </row>
    <row r="25" spans="1:15">
      <c r="H25" s="148" t="s">
        <v>286</v>
      </c>
      <c r="I25">
        <f>$D$16</f>
        <v>1.3769616143708125E-9</v>
      </c>
      <c r="J25">
        <f>$E$16</f>
        <v>5.0908678113629371</v>
      </c>
      <c r="M25" s="3" t="s">
        <v>151</v>
      </c>
      <c r="N25" s="3" t="e">
        <f>STupidExcelMean(N24)</f>
        <v>#VALUE!</v>
      </c>
      <c r="O25" s="3" t="e">
        <f>STupidExcelVariance(N24,N25)</f>
        <v>#VALUE!</v>
      </c>
    </row>
    <row r="26" spans="1:15" ht="20">
      <c r="A26" s="32" t="s">
        <v>59</v>
      </c>
      <c r="H26" s="15" t="s">
        <v>52</v>
      </c>
      <c r="I26" s="14">
        <f>PRODUCT(I22:I25)</f>
        <v>2.2294194954415146E+17</v>
      </c>
      <c r="J26" s="14">
        <f>SUM(J22:J25)</f>
        <v>8.8371314223973965</v>
      </c>
      <c r="M26" s="3"/>
      <c r="N26" s="3"/>
      <c r="O26" s="3"/>
    </row>
    <row r="27" spans="1:15">
      <c r="A27" s="10" t="s">
        <v>168</v>
      </c>
      <c r="B27" s="2">
        <v>10000000</v>
      </c>
      <c r="C27" t="s">
        <v>158</v>
      </c>
      <c r="H27" s="3"/>
      <c r="I27" s="3"/>
      <c r="M27" s="3"/>
      <c r="N27" s="3"/>
      <c r="O27" s="3"/>
    </row>
    <row r="28" spans="1:15">
      <c r="A28" s="8" t="s">
        <v>151</v>
      </c>
      <c r="B28">
        <v>3</v>
      </c>
      <c r="C28" t="e">
        <f>O25</f>
        <v>#VALUE!</v>
      </c>
      <c r="H28" s="3"/>
      <c r="I28" s="21"/>
      <c r="M28" s="3"/>
      <c r="N28" s="3"/>
      <c r="O28" s="3"/>
    </row>
    <row r="29" spans="1:15">
      <c r="A29" s="16" t="s">
        <v>163</v>
      </c>
      <c r="B29" s="14" t="e">
        <f>EXP(MuFromParams(ABS(B28),C28))</f>
        <v>#VALUE!</v>
      </c>
      <c r="C29" s="14" t="e">
        <f>(SigmaFromParams(B28,C28) / LN(10))^2</f>
        <v>#VALUE!</v>
      </c>
      <c r="H29" s="1" t="s">
        <v>82</v>
      </c>
      <c r="M29" s="3"/>
      <c r="N29" s="3"/>
      <c r="O29" s="3"/>
    </row>
    <row r="30" spans="1:15">
      <c r="A30" s="36" t="s">
        <v>78</v>
      </c>
      <c r="B30" s="19" t="e">
        <f>ParetoPosterior(median,alpha,B29:C29)*SIGN(B28)</f>
        <v>#VALUE!</v>
      </c>
      <c r="I30" s="7" t="s">
        <v>156</v>
      </c>
      <c r="J30" s="7" t="s">
        <v>158</v>
      </c>
      <c r="M30" s="3"/>
      <c r="N30" s="21"/>
      <c r="O30" s="3"/>
    </row>
    <row r="31" spans="1:15">
      <c r="A31" s="36" t="s">
        <v>85</v>
      </c>
      <c r="B31" s="19" t="e">
        <f>LognormPosterior(mu_far_future,sigma_far_future,B29:C29)*SIGN(B28)</f>
        <v>#VALUE!</v>
      </c>
      <c r="H31" s="3" t="s">
        <v>132</v>
      </c>
      <c r="I31" s="25">
        <f>VLOOKUP(H31,$A$18:$E$21,4,FALSE)</f>
        <v>2.2360679774997897E-2</v>
      </c>
      <c r="J31" s="25">
        <f>VLOOKUP(H31,$A$18:$E$21,5,FALSE)</f>
        <v>0.50759954989056688</v>
      </c>
      <c r="M31" s="13"/>
      <c r="N31" s="3"/>
      <c r="O31" s="3"/>
    </row>
    <row r="32" spans="1:15">
      <c r="H32" s="3" t="s">
        <v>180</v>
      </c>
      <c r="I32">
        <f>VLOOKUP($H32,'EV of Far Future'!$K$3:$N$14,2,FALSE)</f>
        <v>1.6190861620062103E+40</v>
      </c>
      <c r="J32">
        <f>VLOOKUP($H32,'EV of Far Future'!$K$3:$N$14,3,FALSE)</f>
        <v>3.5113686573257055</v>
      </c>
      <c r="M32" s="3"/>
      <c r="N32" s="29"/>
      <c r="O32" s="29"/>
    </row>
    <row r="33" spans="1:15">
      <c r="A33" s="8"/>
      <c r="B33" s="3"/>
      <c r="C33" s="3"/>
      <c r="D33" s="3"/>
      <c r="H33" s="3" t="s">
        <v>285</v>
      </c>
      <c r="I33" s="2">
        <f>$D$7</f>
        <v>7.0710678118654755E-10</v>
      </c>
      <c r="J33">
        <f>$E$7</f>
        <v>0.11744747685437738</v>
      </c>
      <c r="M33" s="3"/>
      <c r="N33" s="25"/>
      <c r="O33" s="3"/>
    </row>
    <row r="34" spans="1:15">
      <c r="A34" s="33" t="s">
        <v>83</v>
      </c>
      <c r="B34" s="4" t="e">
        <f>B30+I6</f>
        <v>#VALUE!</v>
      </c>
      <c r="C34" s="3"/>
      <c r="D34" s="3"/>
      <c r="H34" s="148" t="s">
        <v>286</v>
      </c>
      <c r="I34">
        <f>$D$16</f>
        <v>1.3769616143708125E-9</v>
      </c>
      <c r="J34">
        <f>$E$16</f>
        <v>5.0908678113629371</v>
      </c>
      <c r="M34" s="3"/>
      <c r="N34" s="3"/>
      <c r="O34" s="3"/>
    </row>
    <row r="35" spans="1:15">
      <c r="A35" s="33" t="s">
        <v>84</v>
      </c>
      <c r="B35" s="4" t="e">
        <f>B31+I7</f>
        <v>#VALUE!</v>
      </c>
      <c r="D35" s="3"/>
      <c r="H35" s="15" t="s">
        <v>52</v>
      </c>
      <c r="I35" s="14">
        <f>PRODUCT(I31:I34)</f>
        <v>3.5250217327892804E+20</v>
      </c>
      <c r="J35" s="14">
        <f>SUM(J31:J34)</f>
        <v>9.2272834954335874</v>
      </c>
      <c r="M35" s="3"/>
      <c r="N35" s="3"/>
      <c r="O35" s="3"/>
    </row>
    <row r="36" spans="1:15">
      <c r="H36" s="3"/>
      <c r="I36" s="3"/>
      <c r="M36" s="3"/>
      <c r="N36" s="3"/>
      <c r="O36" s="3"/>
    </row>
    <row r="37" spans="1:15">
      <c r="B37" s="3"/>
      <c r="H37" s="3"/>
      <c r="I37" s="21"/>
      <c r="M37" s="3"/>
      <c r="N37" s="3"/>
      <c r="O37" s="3"/>
    </row>
    <row r="38" spans="1:15">
      <c r="B38" s="3"/>
      <c r="M38" s="3"/>
      <c r="N38" s="3"/>
      <c r="O38" s="3"/>
    </row>
    <row r="39" spans="1:15">
      <c r="M39" s="3"/>
      <c r="N39" s="3"/>
      <c r="O39" s="3"/>
    </row>
    <row r="40" spans="1:15">
      <c r="M40" s="3"/>
      <c r="N40" s="3"/>
      <c r="O40" s="3"/>
    </row>
    <row r="41" spans="1:15">
      <c r="M41" s="3"/>
      <c r="N41" s="3"/>
      <c r="O41" s="3"/>
    </row>
    <row r="42" spans="1:15">
      <c r="M42" s="3"/>
      <c r="N42" s="3"/>
      <c r="O42" s="3"/>
    </row>
    <row r="43" spans="1:15">
      <c r="M43" s="3"/>
      <c r="N43" s="3"/>
      <c r="O43" s="3"/>
    </row>
    <row r="44" spans="1:15">
      <c r="M44" s="3"/>
      <c r="N44" s="3"/>
      <c r="O44" s="3"/>
    </row>
    <row r="45" spans="1:15">
      <c r="N45" s="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P44"/>
  <sheetViews>
    <sheetView workbookViewId="0">
      <selection activeCell="A4" sqref="A4"/>
    </sheetView>
  </sheetViews>
  <sheetFormatPr baseColWidth="10" defaultRowHeight="15" x14ac:dyDescent="0"/>
  <cols>
    <col min="1" max="1" width="21.6640625" style="130" customWidth="1"/>
    <col min="4" max="4" width="12.1640625" bestFit="1" customWidth="1"/>
    <col min="8" max="8" width="21.6640625" customWidth="1"/>
    <col min="14" max="14" width="12.1640625" bestFit="1" customWidth="1"/>
  </cols>
  <sheetData>
    <row r="1" spans="1:16" ht="20">
      <c r="A1" s="128" t="s">
        <v>120</v>
      </c>
      <c r="H1" s="1" t="s">
        <v>63</v>
      </c>
      <c r="L1" s="3"/>
      <c r="M1" s="1" t="s">
        <v>77</v>
      </c>
      <c r="P1" s="3"/>
    </row>
    <row r="2" spans="1:16">
      <c r="B2" s="129" t="s">
        <v>0</v>
      </c>
      <c r="C2" s="129" t="s">
        <v>1</v>
      </c>
      <c r="D2" s="129" t="s">
        <v>156</v>
      </c>
      <c r="E2" s="129" t="s">
        <v>158</v>
      </c>
      <c r="F2" s="129" t="s">
        <v>27</v>
      </c>
      <c r="I2" s="129" t="s">
        <v>156</v>
      </c>
      <c r="J2" s="129" t="s">
        <v>158</v>
      </c>
      <c r="L2" s="3"/>
      <c r="N2" s="7" t="s">
        <v>156</v>
      </c>
      <c r="O2" s="7" t="s">
        <v>158</v>
      </c>
      <c r="P2" s="3"/>
    </row>
    <row r="3" spans="1:16">
      <c r="A3" s="42" t="s">
        <v>237</v>
      </c>
      <c r="B3" s="136">
        <v>2</v>
      </c>
      <c r="C3" s="136">
        <v>3</v>
      </c>
      <c r="D3" s="103"/>
      <c r="E3" s="103"/>
      <c r="F3" s="103" t="s">
        <v>257</v>
      </c>
      <c r="H3" s="127" t="s">
        <v>236</v>
      </c>
      <c r="I3">
        <f>D10</f>
        <v>295803.98915498087</v>
      </c>
      <c r="J3">
        <f>E10</f>
        <v>0.31528753718843733</v>
      </c>
      <c r="L3" s="3"/>
      <c r="M3" s="3" t="s">
        <v>124</v>
      </c>
      <c r="N3" s="25">
        <f>VLOOKUP(M3,THL!$A$18:$E$21,4,FALSE)</f>
        <v>4.4721359549995794E-2</v>
      </c>
      <c r="O3" s="25">
        <f>VLOOKUP(M3,THL!$A$18:$E$21,5,FALSE)</f>
        <v>0.50759954989056688</v>
      </c>
      <c r="P3" s="3"/>
    </row>
    <row r="4" spans="1:16">
      <c r="A4" s="87" t="s">
        <v>235</v>
      </c>
      <c r="B4" s="131">
        <f>1/C3</f>
        <v>0.33333333333333331</v>
      </c>
      <c r="C4" s="131">
        <f>1/B3</f>
        <v>0.5</v>
      </c>
      <c r="D4" s="103">
        <f>GEOMEAN(B4,C4)</f>
        <v>0.40824829046386302</v>
      </c>
      <c r="E4" s="103">
        <f>LogVariance(B4,C4)</f>
        <v>6.8702369764126706E-2</v>
      </c>
      <c r="F4" s="103"/>
      <c r="H4" s="127" t="s">
        <v>116</v>
      </c>
      <c r="I4">
        <f>Globals!K24</f>
        <v>0.3</v>
      </c>
      <c r="J4">
        <f>Globals!L24</f>
        <v>0</v>
      </c>
      <c r="L4" s="3"/>
      <c r="M4" s="3" t="s">
        <v>181</v>
      </c>
      <c r="N4">
        <f>VLOOKUP($M4,'EV of Far Future'!$K$3:$N$14,2,FALSE)</f>
        <v>3.8399999999999992E+38</v>
      </c>
      <c r="O4">
        <f>VLOOKUP($M4,'EV of Far Future'!$K$3:$N$14,3,FALSE)</f>
        <v>4.6818248764342734</v>
      </c>
      <c r="P4" s="3"/>
    </row>
    <row r="5" spans="1:16" ht="45">
      <c r="A5" s="46" t="s">
        <v>258</v>
      </c>
      <c r="B5" s="132">
        <v>5</v>
      </c>
      <c r="C5" s="132">
        <v>10</v>
      </c>
      <c r="D5" s="103">
        <f t="shared" ref="D5:D6" si="0">GEOMEAN(B5,C5)</f>
        <v>7.0710678118654755</v>
      </c>
      <c r="E5" s="103">
        <f t="shared" ref="E5:E6" si="1">LogVariance(B5,C5)</f>
        <v>0.11744747685437738</v>
      </c>
      <c r="F5" s="103" t="s">
        <v>233</v>
      </c>
      <c r="H5" s="134" t="s">
        <v>52</v>
      </c>
      <c r="I5" s="14">
        <f>I3*I4</f>
        <v>88741.196746494257</v>
      </c>
      <c r="J5" s="14">
        <f>J3+J4</f>
        <v>0.31528753718843733</v>
      </c>
      <c r="L5" s="3"/>
      <c r="M5" s="3" t="s">
        <v>285</v>
      </c>
      <c r="N5" s="2">
        <f>THL!$D$7</f>
        <v>7.0710678118654755E-10</v>
      </c>
      <c r="O5" s="2">
        <f>THL!$E$7</f>
        <v>0.11744747685437738</v>
      </c>
      <c r="P5" s="3"/>
    </row>
    <row r="6" spans="1:16" ht="30">
      <c r="A6" s="46" t="s">
        <v>259</v>
      </c>
      <c r="B6" s="137">
        <v>100</v>
      </c>
      <c r="C6" s="137">
        <v>150</v>
      </c>
      <c r="D6" s="103">
        <f t="shared" si="0"/>
        <v>122.47448713915891</v>
      </c>
      <c r="E6" s="103">
        <f t="shared" si="1"/>
        <v>6.8702369764126706E-2</v>
      </c>
      <c r="F6" s="103"/>
      <c r="H6" s="135" t="s">
        <v>78</v>
      </c>
      <c r="I6" s="19">
        <f>ParetoPosterior(median,alpha,I5:J5)</f>
        <v>16679.269175199799</v>
      </c>
      <c r="L6" s="3"/>
      <c r="M6" s="3" t="s">
        <v>295</v>
      </c>
      <c r="N6" s="2">
        <f>$D$11</f>
        <v>1.7320508075688773E-2</v>
      </c>
      <c r="O6">
        <f>$E$11</f>
        <v>0.59415429945387477</v>
      </c>
      <c r="P6" s="3"/>
    </row>
    <row r="7" spans="1:16" ht="45">
      <c r="A7" s="46" t="s">
        <v>260</v>
      </c>
      <c r="B7" s="132">
        <v>0.7</v>
      </c>
      <c r="C7" s="132">
        <v>1</v>
      </c>
      <c r="D7" s="103">
        <f t="shared" ref="D7:D8" si="2">GEOMEAN(B7,C7)</f>
        <v>0.83666002653407556</v>
      </c>
      <c r="E7" s="103">
        <f t="shared" ref="E7:E8" si="3">LogVariance(B7,C7)</f>
        <v>6.0435320805806568E-2</v>
      </c>
      <c r="F7" s="103"/>
      <c r="H7" s="135" t="s">
        <v>85</v>
      </c>
      <c r="I7" s="19">
        <f>LognormPosterior(mu_factory_farming,sigma_factory_farming,I5:J5)</f>
        <v>2531.88913733256</v>
      </c>
      <c r="L7" s="3"/>
      <c r="M7" s="148" t="s">
        <v>286</v>
      </c>
      <c r="N7">
        <f>THL!$D$16</f>
        <v>1.3769616143708125E-9</v>
      </c>
      <c r="O7">
        <f>THL!$E$16</f>
        <v>5.0908678113629371</v>
      </c>
      <c r="P7" s="3"/>
    </row>
    <row r="8" spans="1:16" ht="30">
      <c r="A8" s="52" t="s">
        <v>294</v>
      </c>
      <c r="B8" s="153">
        <v>1</v>
      </c>
      <c r="C8" s="153">
        <v>1</v>
      </c>
      <c r="D8" s="103">
        <f t="shared" si="2"/>
        <v>1</v>
      </c>
      <c r="E8" s="103">
        <f t="shared" si="3"/>
        <v>0</v>
      </c>
      <c r="F8" s="103" t="s">
        <v>296</v>
      </c>
      <c r="L8" s="3"/>
      <c r="M8" s="15" t="s">
        <v>52</v>
      </c>
      <c r="N8" s="14">
        <f>PRODUCT(N3:N7)</f>
        <v>2.8961008781169549E+17</v>
      </c>
      <c r="O8" s="14">
        <f>SUM(O3:O7)</f>
        <v>10.991894013996029</v>
      </c>
      <c r="P8" s="3"/>
    </row>
    <row r="9" spans="1:16">
      <c r="A9" s="90" t="s">
        <v>234</v>
      </c>
      <c r="B9" s="133"/>
      <c r="C9" s="133"/>
      <c r="D9" s="103">
        <f>PRODUCT(D4:D8)</f>
        <v>295.80398915498085</v>
      </c>
      <c r="E9" s="103">
        <f>SUM(E4:E8)</f>
        <v>0.31528753718843733</v>
      </c>
      <c r="F9" s="103"/>
      <c r="L9" s="3"/>
      <c r="M9" s="3"/>
      <c r="N9" s="3"/>
      <c r="O9" s="3"/>
      <c r="P9" s="3"/>
    </row>
    <row r="10" spans="1:16" ht="30">
      <c r="A10" s="130" t="s">
        <v>236</v>
      </c>
      <c r="D10" s="103">
        <f>D9*1000</f>
        <v>295803.98915498087</v>
      </c>
      <c r="E10" s="103">
        <f>E9</f>
        <v>0.31528753718843733</v>
      </c>
      <c r="H10" s="13" t="s">
        <v>64</v>
      </c>
      <c r="P10" s="3"/>
    </row>
    <row r="11" spans="1:16" ht="45">
      <c r="A11" s="152" t="s">
        <v>293</v>
      </c>
      <c r="B11" s="151">
        <v>3.0000000000000001E-3</v>
      </c>
      <c r="C11" s="151">
        <v>0.1</v>
      </c>
      <c r="D11" s="103">
        <f t="shared" ref="D11" si="4">GEOMEAN(B11,C11)</f>
        <v>1.7320508075688773E-2</v>
      </c>
      <c r="E11" s="103">
        <f t="shared" ref="E11" si="5">LogVariance(B11,C11)</f>
        <v>0.59415429945387477</v>
      </c>
      <c r="F11" s="103" t="s">
        <v>292</v>
      </c>
      <c r="I11" s="7" t="s">
        <v>156</v>
      </c>
      <c r="J11" s="7" t="s">
        <v>157</v>
      </c>
      <c r="M11" s="1" t="s">
        <v>172</v>
      </c>
      <c r="P11" s="3"/>
    </row>
    <row r="12" spans="1:16">
      <c r="H12" s="3" t="s">
        <v>68</v>
      </c>
      <c r="I12">
        <v>1</v>
      </c>
      <c r="J12">
        <v>0</v>
      </c>
      <c r="M12" s="3" t="s">
        <v>174</v>
      </c>
      <c r="N12" s="25">
        <f>VLOOKUP(M12,THL!$A$18:$E$21,4,FALSE)</f>
        <v>2.2360679774997897E-2</v>
      </c>
      <c r="O12" s="25">
        <f>VLOOKUP(M12,THL!$A$18:$E$21,5,FALSE)</f>
        <v>0.27270459618181209</v>
      </c>
      <c r="P12" s="3"/>
    </row>
    <row r="13" spans="1:16">
      <c r="H13" s="3" t="s">
        <v>182</v>
      </c>
      <c r="I13">
        <f>VLOOKUP($H13,'EV of Far Future'!$K$3:$N$14,2,FALSE)</f>
        <v>5.4644157967709579E+33</v>
      </c>
      <c r="J13">
        <f>VLOOKUP($H13,'EV of Far Future'!$K$3:$N$14,3,FALSE)</f>
        <v>2.7310645112533267</v>
      </c>
      <c r="M13" s="3" t="s">
        <v>177</v>
      </c>
      <c r="N13">
        <f>VLOOKUP($M13,'EV of Far Future'!$K$3:$N$14,2,FALSE)</f>
        <v>6.3245553203367608E+50</v>
      </c>
      <c r="O13">
        <f>VLOOKUP($M13,'EV of Far Future'!$K$3:$N$14,3,FALSE)</f>
        <v>3.5113686573257055</v>
      </c>
      <c r="P13" s="3"/>
    </row>
    <row r="14" spans="1:16">
      <c r="H14" s="3" t="s">
        <v>285</v>
      </c>
      <c r="I14" s="2">
        <f>THL!$D$7</f>
        <v>7.0710678118654755E-10</v>
      </c>
      <c r="J14" s="2">
        <f>THL!$E$7</f>
        <v>0.11744747685437738</v>
      </c>
      <c r="M14" s="3" t="s">
        <v>285</v>
      </c>
      <c r="N14" s="2">
        <f>THL!$D$7</f>
        <v>7.0710678118654755E-10</v>
      </c>
      <c r="O14" s="2">
        <f>THL!$E$7</f>
        <v>0.11744747685437738</v>
      </c>
      <c r="P14" s="3"/>
    </row>
    <row r="15" spans="1:16" ht="20">
      <c r="A15" s="32" t="s">
        <v>59</v>
      </c>
      <c r="H15" s="3" t="s">
        <v>295</v>
      </c>
      <c r="I15" s="2">
        <f>$D$11</f>
        <v>1.7320508075688773E-2</v>
      </c>
      <c r="J15">
        <f>$E$11</f>
        <v>0.59415429945387477</v>
      </c>
      <c r="M15" s="3" t="s">
        <v>295</v>
      </c>
      <c r="N15" s="2">
        <f>$D$11</f>
        <v>1.7320508075688773E-2</v>
      </c>
      <c r="O15">
        <f>$E$11</f>
        <v>0.59415429945387477</v>
      </c>
      <c r="P15" s="3"/>
    </row>
    <row r="16" spans="1:16">
      <c r="A16" s="10" t="s">
        <v>168</v>
      </c>
      <c r="B16" t="s">
        <v>156</v>
      </c>
      <c r="C16" t="s">
        <v>158</v>
      </c>
      <c r="H16" s="148" t="s">
        <v>286</v>
      </c>
      <c r="I16">
        <f>THL!$D$16</f>
        <v>1.3769616143708125E-9</v>
      </c>
      <c r="J16">
        <f>THL!$E$16</f>
        <v>5.0908678113629371</v>
      </c>
      <c r="M16" s="148" t="s">
        <v>286</v>
      </c>
      <c r="N16">
        <f>THL!$D$16</f>
        <v>1.3769616143708125E-9</v>
      </c>
      <c r="O16">
        <f>THL!$E$16</f>
        <v>5.0908678113629371</v>
      </c>
      <c r="P16" s="3"/>
    </row>
    <row r="17" spans="1:16">
      <c r="A17" s="8" t="s">
        <v>151</v>
      </c>
      <c r="B17" t="e">
        <f>N27</f>
        <v>#VALUE!</v>
      </c>
      <c r="C17" t="e">
        <f>O27</f>
        <v>#VALUE!</v>
      </c>
      <c r="H17" s="15" t="s">
        <v>52</v>
      </c>
      <c r="I17" s="14">
        <f>PRODUCT(I12:I16)</f>
        <v>92153365646256.609</v>
      </c>
      <c r="J17" s="14">
        <f>SUM(J12:J16)</f>
        <v>8.5335340989245161</v>
      </c>
      <c r="M17" s="15" t="s">
        <v>52</v>
      </c>
      <c r="N17" s="14">
        <f>PRODUCT(N12:N16)</f>
        <v>2.3849674761623117E+29</v>
      </c>
      <c r="O17" s="14">
        <f>SUM(O12:O16)</f>
        <v>9.5865428411787068</v>
      </c>
      <c r="P17" s="3"/>
    </row>
    <row r="18" spans="1:16">
      <c r="A18" s="16" t="s">
        <v>163</v>
      </c>
      <c r="B18" s="14" t="e">
        <f>EXP(MuFromParams(ABS(B17),C17))</f>
        <v>#VALUE!</v>
      </c>
      <c r="C18" s="14" t="e">
        <f>(SigmaFromParams(B17,C17) / LN(10))^2</f>
        <v>#VALUE!</v>
      </c>
      <c r="P18" s="3"/>
    </row>
    <row r="19" spans="1:16">
      <c r="A19" s="36" t="s">
        <v>78</v>
      </c>
      <c r="B19" s="19" t="e">
        <f>ParetoPosterior(median,alpha,B18:C18)*SIGN(B17)</f>
        <v>#VALUE!</v>
      </c>
      <c r="P19" s="3"/>
    </row>
    <row r="20" spans="1:16">
      <c r="A20" s="36" t="s">
        <v>85</v>
      </c>
      <c r="B20" s="19" t="e">
        <f>LognormPosterior(mu_far_future,sigma_far_future,B18:C18)*SIGN(B17)</f>
        <v>#VALUE!</v>
      </c>
      <c r="M20" t="s">
        <v>165</v>
      </c>
      <c r="P20" s="3"/>
    </row>
    <row r="21" spans="1:16">
      <c r="A21" s="5"/>
      <c r="H21" s="1" t="s">
        <v>69</v>
      </c>
      <c r="M21" t="s">
        <v>166</v>
      </c>
      <c r="N21">
        <f>I17</f>
        <v>92153365646256.609</v>
      </c>
      <c r="O21">
        <f>J17</f>
        <v>8.5335340989245161</v>
      </c>
      <c r="P21" s="3"/>
    </row>
    <row r="22" spans="1:16">
      <c r="A22" s="8"/>
      <c r="B22" s="3"/>
      <c r="C22" s="3"/>
      <c r="I22" s="7" t="s">
        <v>156</v>
      </c>
      <c r="J22" s="7" t="s">
        <v>158</v>
      </c>
      <c r="N22">
        <f>I28</f>
        <v>3861467837489274.5</v>
      </c>
      <c r="O22">
        <f>J28</f>
        <v>9.4312857218512711</v>
      </c>
      <c r="P22" s="3"/>
    </row>
    <row r="23" spans="1:16">
      <c r="A23" s="33" t="s">
        <v>83</v>
      </c>
      <c r="B23" s="4" t="e">
        <f>B19+I6</f>
        <v>#VALUE!</v>
      </c>
      <c r="C23" s="3"/>
      <c r="H23" s="3" t="s">
        <v>173</v>
      </c>
      <c r="I23" s="25">
        <f>VLOOKUP(H23,THL!$A$18:$E$21,4,FALSE)</f>
        <v>4.4721359549995794E-2</v>
      </c>
      <c r="J23" s="25">
        <f>VLOOKUP(H23,THL!$A$18:$E$21,5,FALSE)</f>
        <v>0.50759954989056688</v>
      </c>
      <c r="N23">
        <f>I38</f>
        <v>6.1055167389755156E+18</v>
      </c>
      <c r="O23">
        <f>J38</f>
        <v>9.821437794887462</v>
      </c>
      <c r="P23" s="3"/>
    </row>
    <row r="24" spans="1:16">
      <c r="A24" s="33" t="s">
        <v>84</v>
      </c>
      <c r="B24" s="4" t="e">
        <f>B20+I7</f>
        <v>#VALUE!</v>
      </c>
      <c r="H24" s="3" t="s">
        <v>179</v>
      </c>
      <c r="I24">
        <f>VLOOKUP($H24,'EV of Far Future'!$K$3:$N$14,2,FALSE)</f>
        <v>5.1200000000000003E+36</v>
      </c>
      <c r="J24">
        <f>VLOOKUP($H24,'EV of Far Future'!$K$3:$N$14,3,FALSE)</f>
        <v>3.1212165842895159</v>
      </c>
      <c r="M24" s="3"/>
      <c r="N24" s="3">
        <f>N8</f>
        <v>2.8961008781169549E+17</v>
      </c>
      <c r="O24" s="3">
        <f>O8</f>
        <v>10.991894013996029</v>
      </c>
      <c r="P24" s="3"/>
    </row>
    <row r="25" spans="1:16">
      <c r="H25" s="3" t="s">
        <v>285</v>
      </c>
      <c r="I25" s="2">
        <f>THL!$D$7</f>
        <v>7.0710678118654755E-10</v>
      </c>
      <c r="J25" s="2">
        <f>THL!$E$7</f>
        <v>0.11744747685437738</v>
      </c>
      <c r="N25">
        <f>N17</f>
        <v>2.3849674761623117E+29</v>
      </c>
      <c r="O25">
        <f>O17</f>
        <v>9.5865428411787068</v>
      </c>
      <c r="P25" s="3"/>
    </row>
    <row r="26" spans="1:16">
      <c r="H26" s="3" t="s">
        <v>295</v>
      </c>
      <c r="I26" s="2">
        <f>$D$11</f>
        <v>1.7320508075688773E-2</v>
      </c>
      <c r="J26">
        <f>$E$11</f>
        <v>0.59415429945387477</v>
      </c>
      <c r="M26" s="30" t="s">
        <v>167</v>
      </c>
      <c r="N26" s="31" t="str">
        <f>WriteArray(SumLognormDists(N21:O25))</f>
        <v>disabled</v>
      </c>
      <c r="O26" s="31" t="s">
        <v>148</v>
      </c>
      <c r="P26" s="3"/>
    </row>
    <row r="27" spans="1:16">
      <c r="H27" s="148" t="s">
        <v>286</v>
      </c>
      <c r="I27">
        <f>THL!$D$16</f>
        <v>1.3769616143708125E-9</v>
      </c>
      <c r="J27">
        <f>THL!$E$16</f>
        <v>5.0908678113629371</v>
      </c>
      <c r="M27" s="3" t="s">
        <v>151</v>
      </c>
      <c r="N27" s="3" t="e">
        <f>STupidExcelMean(N26)</f>
        <v>#VALUE!</v>
      </c>
      <c r="O27" s="3" t="e">
        <f>STupidExcelVariance(N26,N27)</f>
        <v>#VALUE!</v>
      </c>
    </row>
    <row r="28" spans="1:16">
      <c r="H28" s="15" t="s">
        <v>52</v>
      </c>
      <c r="I28" s="14">
        <f>PRODUCT(I23:I27)</f>
        <v>3861467837489274.5</v>
      </c>
      <c r="J28" s="14">
        <f>SUM(J23:J27)</f>
        <v>9.4312857218512711</v>
      </c>
      <c r="M28" s="3"/>
      <c r="N28" s="3"/>
      <c r="O28" s="3"/>
    </row>
    <row r="29" spans="1:16">
      <c r="H29" s="3"/>
      <c r="I29" s="21"/>
      <c r="M29" s="3"/>
      <c r="N29" s="3"/>
      <c r="O29" s="3"/>
    </row>
    <row r="30" spans="1:16">
      <c r="M30" s="3"/>
      <c r="N30" s="21"/>
      <c r="O30" s="3"/>
    </row>
    <row r="31" spans="1:16">
      <c r="H31" s="1" t="s">
        <v>82</v>
      </c>
      <c r="M31" s="13"/>
      <c r="N31" s="3"/>
      <c r="O31" s="3"/>
    </row>
    <row r="32" spans="1:16">
      <c r="I32" s="7" t="s">
        <v>156</v>
      </c>
      <c r="J32" s="7" t="s">
        <v>158</v>
      </c>
      <c r="M32" s="3"/>
      <c r="N32" s="29"/>
      <c r="O32" s="29"/>
    </row>
    <row r="33" spans="8:15">
      <c r="H33" s="3" t="s">
        <v>132</v>
      </c>
      <c r="I33" s="25">
        <f>VLOOKUP(H33,THL!$A$18:$E$21,4,FALSE)</f>
        <v>2.2360679774997897E-2</v>
      </c>
      <c r="J33" s="25">
        <f>VLOOKUP(H33,THL!$A$18:$E$21,5,FALSE)</f>
        <v>0.50759954989056688</v>
      </c>
      <c r="M33" s="3"/>
      <c r="N33" s="25"/>
      <c r="O33" s="3"/>
    </row>
    <row r="34" spans="8:15">
      <c r="H34" s="3" t="s">
        <v>180</v>
      </c>
      <c r="I34">
        <f>VLOOKUP($H34,'EV of Far Future'!$K$3:$N$14,2,FALSE)</f>
        <v>1.6190861620062103E+40</v>
      </c>
      <c r="J34">
        <f>VLOOKUP($H34,'EV of Far Future'!$K$3:$N$14,3,FALSE)</f>
        <v>3.5113686573257055</v>
      </c>
      <c r="M34" s="3"/>
      <c r="N34" s="3"/>
      <c r="O34" s="3"/>
    </row>
    <row r="35" spans="8:15">
      <c r="H35" s="3" t="s">
        <v>285</v>
      </c>
      <c r="I35" s="2">
        <f>THL!$D$7</f>
        <v>7.0710678118654755E-10</v>
      </c>
      <c r="J35" s="2">
        <f>THL!$E$7</f>
        <v>0.11744747685437738</v>
      </c>
      <c r="M35" s="3"/>
      <c r="N35" s="3"/>
      <c r="O35" s="3"/>
    </row>
    <row r="36" spans="8:15">
      <c r="H36" s="3" t="s">
        <v>295</v>
      </c>
      <c r="I36" s="2">
        <f>$D$11</f>
        <v>1.7320508075688773E-2</v>
      </c>
      <c r="J36">
        <f>$E$11</f>
        <v>0.59415429945387477</v>
      </c>
      <c r="K36" s="3"/>
      <c r="L36" s="3"/>
      <c r="M36" s="3"/>
      <c r="N36" s="3"/>
      <c r="O36" s="3"/>
    </row>
    <row r="37" spans="8:15">
      <c r="H37" s="148" t="s">
        <v>286</v>
      </c>
      <c r="I37">
        <f>THL!$D$16</f>
        <v>1.3769616143708125E-9</v>
      </c>
      <c r="J37">
        <f>THL!$E$16</f>
        <v>5.0908678113629371</v>
      </c>
      <c r="K37" s="3"/>
      <c r="L37" s="3"/>
      <c r="M37" s="3"/>
      <c r="N37" s="3"/>
      <c r="O37" s="3"/>
    </row>
    <row r="38" spans="8:15">
      <c r="H38" s="15" t="s">
        <v>52</v>
      </c>
      <c r="I38" s="14">
        <f>PRODUCT(I33:I37)</f>
        <v>6.1055167389755156E+18</v>
      </c>
      <c r="J38" s="14">
        <f>SUM(J33:J37)</f>
        <v>9.821437794887462</v>
      </c>
      <c r="M38" s="3"/>
      <c r="N38" s="3"/>
      <c r="O38" s="3"/>
    </row>
    <row r="39" spans="8:15">
      <c r="M39" s="3"/>
      <c r="N39" s="21"/>
      <c r="O39" s="3"/>
    </row>
    <row r="40" spans="8:15">
      <c r="M40" s="13"/>
      <c r="N40" s="3"/>
      <c r="O40" s="3"/>
    </row>
    <row r="41" spans="8:15">
      <c r="M41" s="3"/>
      <c r="N41" s="29"/>
      <c r="O41" s="29"/>
    </row>
    <row r="42" spans="8:15">
      <c r="M42" s="3"/>
      <c r="N42" s="25"/>
      <c r="O42" s="3"/>
    </row>
    <row r="43" spans="8:15">
      <c r="M43" s="3"/>
      <c r="N43" s="3"/>
      <c r="O43" s="3"/>
    </row>
    <row r="44" spans="8:15">
      <c r="M44" s="3"/>
      <c r="N44" s="3"/>
      <c r="O44"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O34"/>
  <sheetViews>
    <sheetView workbookViewId="0">
      <selection activeCell="H25" sqref="H25"/>
    </sheetView>
  </sheetViews>
  <sheetFormatPr baseColWidth="10" defaultRowHeight="15" x14ac:dyDescent="0"/>
  <cols>
    <col min="1" max="1" width="21.6640625" style="5" customWidth="1"/>
    <col min="2" max="2" width="12.83203125" bestFit="1" customWidth="1"/>
    <col min="3" max="3" width="12.1640625" bestFit="1" customWidth="1"/>
    <col min="4" max="4" width="12.83203125" bestFit="1" customWidth="1"/>
    <col min="7" max="7" width="21.6640625" style="5" customWidth="1"/>
    <col min="10" max="10" width="12.1640625" bestFit="1" customWidth="1"/>
    <col min="13" max="13" width="21.6640625" customWidth="1"/>
    <col min="14" max="15" width="12.1640625" bestFit="1" customWidth="1"/>
  </cols>
  <sheetData>
    <row r="1" spans="1:15" ht="20">
      <c r="A1" s="32" t="s">
        <v>107</v>
      </c>
      <c r="B1" t="s">
        <v>121</v>
      </c>
      <c r="G1" s="99" t="s">
        <v>104</v>
      </c>
      <c r="H1" t="s">
        <v>121</v>
      </c>
      <c r="I1" t="s">
        <v>272</v>
      </c>
      <c r="M1" s="1"/>
    </row>
    <row r="2" spans="1:15">
      <c r="A2" s="57"/>
      <c r="B2" s="44" t="s">
        <v>0</v>
      </c>
      <c r="C2" s="44" t="s">
        <v>1</v>
      </c>
      <c r="D2" s="44" t="s">
        <v>156</v>
      </c>
      <c r="E2" s="44" t="s">
        <v>158</v>
      </c>
      <c r="H2" s="44" t="s">
        <v>0</v>
      </c>
      <c r="I2" s="44" t="s">
        <v>1</v>
      </c>
      <c r="J2" s="44" t="s">
        <v>156</v>
      </c>
      <c r="K2" s="44" t="s">
        <v>158</v>
      </c>
    </row>
    <row r="3" spans="1:15">
      <c r="A3" s="91" t="s">
        <v>101</v>
      </c>
      <c r="B3" s="92">
        <v>70000</v>
      </c>
      <c r="C3" s="92">
        <v>150000</v>
      </c>
      <c r="D3" s="44"/>
      <c r="E3" s="44"/>
      <c r="F3" t="s">
        <v>210</v>
      </c>
      <c r="G3" s="42" t="s">
        <v>97</v>
      </c>
      <c r="H3" s="43">
        <v>0.03</v>
      </c>
      <c r="I3" s="43">
        <v>0.3</v>
      </c>
      <c r="J3" s="44">
        <f>GEOMEAN(H3,I3)</f>
        <v>9.4868329805051374E-2</v>
      </c>
      <c r="K3" s="44">
        <f>LogVariance(H3,I3)</f>
        <v>0.39015207303618948</v>
      </c>
      <c r="L3" s="103" t="s">
        <v>197</v>
      </c>
    </row>
    <row r="4" spans="1:15" ht="30">
      <c r="A4" s="57" t="s">
        <v>102</v>
      </c>
      <c r="B4" s="44">
        <f>1/C3</f>
        <v>6.6666666666666666E-6</v>
      </c>
      <c r="C4" s="44">
        <f>1/B3</f>
        <v>1.4285714285714285E-5</v>
      </c>
      <c r="D4" s="44">
        <f>GEOMEAN(B4,C4)</f>
        <v>9.7590007294853309E-6</v>
      </c>
      <c r="E4" s="44">
        <f>LogVariance(B4,C4)</f>
        <v>0.12913769056993327</v>
      </c>
      <c r="G4" s="46" t="s">
        <v>100</v>
      </c>
      <c r="H4" s="47">
        <v>200</v>
      </c>
      <c r="I4" s="47">
        <v>10000</v>
      </c>
      <c r="J4" s="44"/>
      <c r="K4" s="44"/>
      <c r="L4" s="103" t="s">
        <v>202</v>
      </c>
    </row>
    <row r="5" spans="1:15" ht="30">
      <c r="G5" s="87" t="s">
        <v>128</v>
      </c>
      <c r="H5" s="86">
        <f>1/I4</f>
        <v>1E-4</v>
      </c>
      <c r="I5" s="86">
        <f>1/H4</f>
        <v>5.0000000000000001E-3</v>
      </c>
      <c r="J5" s="44">
        <f>GEOMEAN(H5,I5)</f>
        <v>7.0710678118654762E-4</v>
      </c>
      <c r="K5" s="44">
        <f>LogVariance(H5,I5)</f>
        <v>0.66285666921800146</v>
      </c>
      <c r="L5" s="103"/>
    </row>
    <row r="6" spans="1:15" ht="30">
      <c r="G6" s="46" t="s">
        <v>98</v>
      </c>
      <c r="H6" s="47">
        <v>1</v>
      </c>
      <c r="I6" s="47">
        <v>3</v>
      </c>
      <c r="J6" s="44">
        <f>GEOMEAN(H6,I6)</f>
        <v>1.7320508075688774</v>
      </c>
      <c r="K6" s="44">
        <f>LogVariance(H6,I6)</f>
        <v>0.18614984661850412</v>
      </c>
      <c r="L6" s="103" t="s">
        <v>261</v>
      </c>
    </row>
    <row r="7" spans="1:15" ht="45">
      <c r="G7" s="46" t="s">
        <v>262</v>
      </c>
      <c r="H7" s="47">
        <v>0.1</v>
      </c>
      <c r="I7" s="47">
        <v>0.7</v>
      </c>
      <c r="J7" s="44">
        <f>GEOMEAN(H7,I7)</f>
        <v>0.26457513110645903</v>
      </c>
      <c r="K7" s="44">
        <f>LogVariance(H7,I7)</f>
        <v>0.32971675223038288</v>
      </c>
      <c r="L7" s="103"/>
      <c r="M7" s="25"/>
      <c r="N7" s="3"/>
      <c r="O7" s="3"/>
    </row>
    <row r="8" spans="1:15">
      <c r="G8" s="63" t="s">
        <v>108</v>
      </c>
      <c r="H8" s="88"/>
      <c r="I8" s="88"/>
      <c r="J8" s="44">
        <f>J3*J5*J6*J7*D4*1000</f>
        <v>2.9999999999999999E-7</v>
      </c>
      <c r="K8" s="44">
        <f>K3+K5+K6+K7+E4</f>
        <v>1.6980130316730113</v>
      </c>
      <c r="L8" s="103"/>
      <c r="M8" s="3"/>
      <c r="N8" s="3"/>
      <c r="O8" s="3"/>
    </row>
    <row r="9" spans="1:15" ht="20">
      <c r="A9" s="32" t="s">
        <v>59</v>
      </c>
      <c r="G9" s="57"/>
      <c r="H9" s="44"/>
      <c r="I9" s="44"/>
      <c r="J9" s="44"/>
      <c r="K9" s="44"/>
      <c r="L9" s="103"/>
      <c r="M9" s="3"/>
      <c r="N9" s="3" t="s">
        <v>142</v>
      </c>
      <c r="O9" s="3"/>
    </row>
    <row r="10" spans="1:15">
      <c r="A10" s="10" t="s">
        <v>115</v>
      </c>
      <c r="G10" s="57"/>
      <c r="H10" s="44"/>
      <c r="I10" s="44"/>
      <c r="J10" s="44"/>
      <c r="K10" s="44"/>
      <c r="L10" s="103"/>
      <c r="M10" s="3"/>
      <c r="O10" s="3"/>
    </row>
    <row r="11" spans="1:15">
      <c r="A11" s="37" t="s">
        <v>169</v>
      </c>
      <c r="B11" s="38" t="e">
        <f>ParetoPosterior(median,alpha,H26:I26)</f>
        <v>#VALUE!</v>
      </c>
      <c r="G11" s="98" t="s">
        <v>105</v>
      </c>
      <c r="H11" s="54" t="s">
        <v>121</v>
      </c>
      <c r="I11" s="44"/>
      <c r="J11" s="44"/>
      <c r="K11" s="44"/>
      <c r="L11" s="103"/>
      <c r="M11" s="3"/>
      <c r="N11" s="3"/>
      <c r="O11" s="3"/>
    </row>
    <row r="12" spans="1:15" ht="30">
      <c r="A12" s="37" t="s">
        <v>170</v>
      </c>
      <c r="B12" s="38" t="str">
        <f>LognormPosterior(mu_far_future,sigma_far_future,H26:I26)</f>
        <v>disabled</v>
      </c>
      <c r="G12" s="79"/>
      <c r="H12" s="74" t="s">
        <v>0</v>
      </c>
      <c r="I12" s="74" t="s">
        <v>1</v>
      </c>
      <c r="J12" s="44" t="s">
        <v>156</v>
      </c>
      <c r="K12" s="44" t="s">
        <v>158</v>
      </c>
      <c r="L12" s="103"/>
      <c r="M12" s="3"/>
      <c r="N12" s="26"/>
      <c r="O12" s="26"/>
    </row>
    <row r="13" spans="1:15">
      <c r="A13" s="35"/>
      <c r="B13" s="34"/>
      <c r="G13" s="42" t="s">
        <v>99</v>
      </c>
      <c r="H13" s="50">
        <v>1000000</v>
      </c>
      <c r="I13" s="50">
        <v>10000000000</v>
      </c>
      <c r="J13" s="44">
        <f>GEOMEAN(H13,I13)</f>
        <v>100000000</v>
      </c>
      <c r="K13" s="44">
        <f>LogVariance(H13,I13)</f>
        <v>1.5606082921447579</v>
      </c>
      <c r="L13" s="103" t="s">
        <v>268</v>
      </c>
      <c r="M13" s="3"/>
      <c r="N13" s="3"/>
      <c r="O13" s="3"/>
    </row>
    <row r="14" spans="1:15" ht="30">
      <c r="G14" s="46" t="s">
        <v>263</v>
      </c>
      <c r="H14" s="47">
        <v>2000</v>
      </c>
      <c r="I14" s="47">
        <v>2000</v>
      </c>
      <c r="J14" s="44">
        <f>GEOMEAN(H14,I14)</f>
        <v>2000</v>
      </c>
      <c r="K14" s="44">
        <f>LogVariance(H14,I14)</f>
        <v>0</v>
      </c>
      <c r="L14" s="103"/>
      <c r="M14" s="3"/>
      <c r="N14" s="3"/>
      <c r="O14" s="3"/>
    </row>
    <row r="15" spans="1:15">
      <c r="A15" s="22"/>
      <c r="B15" s="3"/>
      <c r="G15" s="85" t="s">
        <v>109</v>
      </c>
      <c r="H15" s="89">
        <f>1/I13</f>
        <v>1E-10</v>
      </c>
      <c r="I15" s="89">
        <f>1/H13</f>
        <v>9.9999999999999995E-7</v>
      </c>
      <c r="J15" s="44">
        <f>GEOMEAN(H15,I15)</f>
        <v>1E-8</v>
      </c>
      <c r="K15" s="44">
        <f>LogVariance(H15,I15)</f>
        <v>1.5606082921447579</v>
      </c>
      <c r="L15" s="103"/>
      <c r="M15" s="25"/>
      <c r="N15" s="3"/>
      <c r="O15" s="3"/>
    </row>
    <row r="16" spans="1:15">
      <c r="A16" s="8"/>
      <c r="B16" s="3"/>
      <c r="G16" s="90" t="s">
        <v>108</v>
      </c>
      <c r="H16" s="88"/>
      <c r="I16" s="88"/>
      <c r="J16" s="44">
        <f>J14*J15*D4*1000</f>
        <v>1.9518001458970664E-7</v>
      </c>
      <c r="K16" s="44">
        <f>K14+K15+E4</f>
        <v>1.6897459827146912</v>
      </c>
      <c r="L16" s="103"/>
      <c r="M16" s="3"/>
      <c r="O16" s="3"/>
    </row>
    <row r="17" spans="1:15">
      <c r="A17" s="8"/>
      <c r="B17" s="3"/>
      <c r="L17" s="103"/>
      <c r="M17" s="3"/>
      <c r="O17" s="3"/>
    </row>
    <row r="18" spans="1:15">
      <c r="A18" s="8"/>
      <c r="B18" s="3"/>
      <c r="L18" s="103"/>
      <c r="M18" s="3"/>
      <c r="N18" s="3"/>
      <c r="O18" s="3"/>
    </row>
    <row r="19" spans="1:15">
      <c r="A19" s="8"/>
      <c r="B19" s="3"/>
      <c r="G19" s="10" t="s">
        <v>110</v>
      </c>
      <c r="L19" s="103"/>
      <c r="M19" s="3"/>
      <c r="N19" s="3"/>
      <c r="O19" s="3"/>
    </row>
    <row r="20" spans="1:15">
      <c r="A20" s="22"/>
      <c r="B20" s="3"/>
      <c r="G20" s="5" t="s">
        <v>108</v>
      </c>
      <c r="J20">
        <f>GEOMEAN(J8,J16)</f>
        <v>2.4197934700488798E-7</v>
      </c>
      <c r="K20">
        <f>AVERAGE(K8,K16)</f>
        <v>1.6938795071938513</v>
      </c>
      <c r="L20" s="103" t="s">
        <v>269</v>
      </c>
      <c r="M20" s="3"/>
      <c r="N20" s="3"/>
      <c r="O20" s="3"/>
    </row>
    <row r="21" spans="1:15">
      <c r="A21" s="8"/>
      <c r="B21" s="3"/>
      <c r="L21" s="103"/>
    </row>
    <row r="22" spans="1:15">
      <c r="A22" s="8"/>
      <c r="B22" s="3"/>
      <c r="L22" s="103"/>
    </row>
    <row r="23" spans="1:15">
      <c r="H23" s="7" t="s">
        <v>156</v>
      </c>
      <c r="I23" s="7" t="s">
        <v>157</v>
      </c>
      <c r="L23" s="103"/>
    </row>
    <row r="24" spans="1:15">
      <c r="G24" s="5" t="s">
        <v>108</v>
      </c>
      <c r="H24">
        <f>J20</f>
        <v>2.4197934700488798E-7</v>
      </c>
      <c r="I24">
        <f>K20</f>
        <v>1.6938795071938513</v>
      </c>
      <c r="J24" s="3"/>
      <c r="K24" s="3"/>
      <c r="L24" s="143"/>
      <c r="M24" s="3"/>
    </row>
    <row r="25" spans="1:15">
      <c r="G25" s="8" t="s">
        <v>106</v>
      </c>
      <c r="H25" t="e">
        <f>'EV of Far Future'!L19</f>
        <v>#VALUE!</v>
      </c>
      <c r="I25" t="e">
        <f>'EV of Far Future'!M19</f>
        <v>#VALUE!</v>
      </c>
      <c r="J25" s="3"/>
      <c r="K25" s="3"/>
      <c r="L25" s="143"/>
      <c r="M25" s="3"/>
    </row>
    <row r="26" spans="1:15">
      <c r="G26" s="16" t="s">
        <v>52</v>
      </c>
      <c r="H26" s="14" t="e">
        <f>PRODUCT(H24:H25)</f>
        <v>#VALUE!</v>
      </c>
      <c r="I26" s="14" t="e">
        <f>SUM(I24:I25)</f>
        <v>#VALUE!</v>
      </c>
      <c r="J26" s="3"/>
      <c r="K26" s="3"/>
      <c r="L26" s="143"/>
      <c r="M26" s="3"/>
    </row>
    <row r="27" spans="1:15">
      <c r="G27" s="8"/>
      <c r="H27" s="3"/>
      <c r="I27" s="3"/>
      <c r="J27" s="3"/>
      <c r="K27" s="3"/>
      <c r="L27" s="143"/>
      <c r="M27" s="3"/>
    </row>
    <row r="28" spans="1:15">
      <c r="G28" s="8"/>
      <c r="H28" s="3"/>
      <c r="I28" s="3"/>
      <c r="J28" s="3"/>
      <c r="K28" s="3"/>
      <c r="L28" s="143"/>
      <c r="M28" s="3"/>
    </row>
    <row r="29" spans="1:15">
      <c r="G29" s="22" t="s">
        <v>245</v>
      </c>
      <c r="H29" s="44" t="s">
        <v>0</v>
      </c>
      <c r="I29" s="44" t="s">
        <v>1</v>
      </c>
      <c r="J29" s="44" t="s">
        <v>156</v>
      </c>
      <c r="K29" s="44" t="s">
        <v>158</v>
      </c>
      <c r="L29" s="143" t="s">
        <v>209</v>
      </c>
      <c r="M29" s="3"/>
    </row>
    <row r="30" spans="1:15" ht="30">
      <c r="G30" s="91" t="s">
        <v>211</v>
      </c>
      <c r="H30" s="3">
        <v>0.1</v>
      </c>
      <c r="I30" s="3">
        <v>0.1</v>
      </c>
      <c r="J30" s="3"/>
      <c r="K30" s="3"/>
      <c r="L30" s="143" t="s">
        <v>214</v>
      </c>
      <c r="M30" s="3"/>
    </row>
    <row r="31" spans="1:15">
      <c r="G31" s="91" t="s">
        <v>212</v>
      </c>
      <c r="H31" s="3">
        <v>2040</v>
      </c>
      <c r="I31" s="3">
        <v>2100</v>
      </c>
      <c r="J31" s="3"/>
      <c r="K31" s="3"/>
      <c r="L31" s="143"/>
      <c r="M31" s="3"/>
    </row>
    <row r="32" spans="1:15">
      <c r="G32" s="91" t="s">
        <v>213</v>
      </c>
      <c r="H32" s="3">
        <f ca="1">H31-YEAR(TODAY())</f>
        <v>24</v>
      </c>
      <c r="I32" s="3">
        <f ca="1">I31-YEAR(TODAY())</f>
        <v>84</v>
      </c>
      <c r="J32" s="3"/>
      <c r="K32" s="3"/>
      <c r="L32" s="143"/>
      <c r="M32" s="3"/>
    </row>
    <row r="33" spans="7:12" ht="30">
      <c r="G33" s="8" t="s">
        <v>215</v>
      </c>
      <c r="H33">
        <f ca="1">H4/LN(1+H30)*(1-1/((1+H30)^H32))</f>
        <v>1885.3692309674122</v>
      </c>
      <c r="I33">
        <f ca="1">I4/LN(1+I30)*(1-1/((1+I30)^I32))</f>
        <v>104885.60241393384</v>
      </c>
      <c r="J33" s="44">
        <f ca="1">GEOMEAN(H33,I33)</f>
        <v>14062.293111819003</v>
      </c>
      <c r="K33" s="44">
        <f ca="1">LogVariance(H33,I33)</f>
        <v>0.68094000612010941</v>
      </c>
      <c r="L33" s="103" t="s">
        <v>216</v>
      </c>
    </row>
    <row r="34" spans="7:12" ht="45">
      <c r="G34" s="5" t="s">
        <v>217</v>
      </c>
      <c r="L34" s="10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L24"/>
  <sheetViews>
    <sheetView workbookViewId="0">
      <selection activeCell="I18" sqref="I18"/>
    </sheetView>
  </sheetViews>
  <sheetFormatPr baseColWidth="10" defaultRowHeight="15" x14ac:dyDescent="0"/>
  <cols>
    <col min="1" max="1" width="21.6640625" customWidth="1"/>
    <col min="2" max="2" width="12.1640625" bestFit="1" customWidth="1"/>
    <col min="4" max="4" width="12.1640625" bestFit="1" customWidth="1"/>
    <col min="8" max="8" width="21.6640625" customWidth="1"/>
    <col min="9" max="9" width="12.83203125" bestFit="1" customWidth="1"/>
    <col min="10" max="10" width="12.1640625" bestFit="1" customWidth="1"/>
    <col min="12" max="12" width="12.1640625" bestFit="1" customWidth="1"/>
  </cols>
  <sheetData>
    <row r="1" spans="1:10" ht="20">
      <c r="A1" s="6" t="s">
        <v>120</v>
      </c>
      <c r="H1" s="1" t="s">
        <v>137</v>
      </c>
    </row>
    <row r="2" spans="1:10">
      <c r="B2" s="44" t="s">
        <v>0</v>
      </c>
      <c r="C2" s="44" t="s">
        <v>1</v>
      </c>
      <c r="D2" s="44" t="s">
        <v>156</v>
      </c>
      <c r="E2" s="44" t="s">
        <v>158</v>
      </c>
      <c r="F2" s="44" t="s">
        <v>27</v>
      </c>
      <c r="I2" t="s">
        <v>156</v>
      </c>
      <c r="J2" s="44" t="s">
        <v>158</v>
      </c>
    </row>
    <row r="3" spans="1:10">
      <c r="A3" s="94" t="s">
        <v>123</v>
      </c>
      <c r="B3" s="43">
        <v>0.1</v>
      </c>
      <c r="C3" s="43">
        <v>0.5</v>
      </c>
      <c r="D3" s="74">
        <f>GEOMEAN(B3,C3)</f>
        <v>0.22360679774997896</v>
      </c>
      <c r="E3" s="74">
        <f>LogVariance(B3,C3)</f>
        <v>0.27270459618181209</v>
      </c>
      <c r="F3" s="39"/>
      <c r="H3" t="s">
        <v>177</v>
      </c>
      <c r="I3">
        <f>VLOOKUP(H3,'EV of Far Future'!$K$3:$M$14,2,FALSE)</f>
        <v>6.3245553203367608E+50</v>
      </c>
      <c r="J3">
        <f>VLOOKUP(H3,'EV of Far Future'!$K$3:$M$14,3,FALSE)</f>
        <v>3.5113686573257055</v>
      </c>
    </row>
    <row r="4" spans="1:10" ht="30">
      <c r="A4" s="95" t="s">
        <v>127</v>
      </c>
      <c r="B4" s="47">
        <v>0.2</v>
      </c>
      <c r="C4" s="47">
        <v>0.8</v>
      </c>
      <c r="D4" s="74">
        <f>GEOMEAN(B4,C4)</f>
        <v>0.4</v>
      </c>
      <c r="E4" s="74">
        <f>LogVariance(B4,C4)</f>
        <v>0.23489495370875477</v>
      </c>
      <c r="F4" s="39"/>
      <c r="H4" t="s">
        <v>178</v>
      </c>
      <c r="I4">
        <f>VLOOKUP(H4,'EV of Far Future'!$K$3:$M$14,2,FALSE)</f>
        <v>1.264911064067352E+49</v>
      </c>
      <c r="J4">
        <f>VLOOKUP(H4,'EV of Far Future'!$K$3:$M$14,3,FALSE)</f>
        <v>3.5113686573257055</v>
      </c>
    </row>
    <row r="5" spans="1:10" ht="30" customHeight="1">
      <c r="A5" s="101" t="s">
        <v>198</v>
      </c>
      <c r="B5" s="102">
        <v>0.1</v>
      </c>
      <c r="C5" s="102">
        <v>0.6</v>
      </c>
      <c r="D5" s="74">
        <f>GEOMEAN(B5,C5)</f>
        <v>0.2449489742783178</v>
      </c>
      <c r="E5" s="74">
        <f>LogVariance(B5,C5)</f>
        <v>0.30359732347288149</v>
      </c>
      <c r="F5" s="39"/>
      <c r="H5" t="s">
        <v>182</v>
      </c>
      <c r="I5">
        <f>VLOOKUP(H5,'EV of Far Future'!$K$3:$M$14,2,FALSE)</f>
        <v>5.4644157967709579E+33</v>
      </c>
      <c r="J5">
        <f>VLOOKUP(H5,'EV of Far Future'!$K$3:$M$14,3,FALSE)</f>
        <v>2.7310645112533267</v>
      </c>
    </row>
    <row r="6" spans="1:10" ht="45">
      <c r="A6" s="46" t="s">
        <v>199</v>
      </c>
      <c r="B6" s="47">
        <v>5000</v>
      </c>
      <c r="C6" s="47">
        <v>100000</v>
      </c>
      <c r="D6" s="44"/>
      <c r="E6" s="44"/>
      <c r="F6" s="39" t="s">
        <v>201</v>
      </c>
      <c r="H6" t="s">
        <v>179</v>
      </c>
      <c r="I6">
        <f>VLOOKUP(H6,'EV of Far Future'!$K$3:$M$14,2,FALSE)</f>
        <v>5.1200000000000003E+36</v>
      </c>
      <c r="J6">
        <f>VLOOKUP(H6,'EV of Far Future'!$K$3:$M$14,3,FALSE)</f>
        <v>3.1212165842895159</v>
      </c>
    </row>
    <row r="7" spans="1:10" ht="30">
      <c r="A7" s="87" t="s">
        <v>200</v>
      </c>
      <c r="B7" s="86">
        <f>1/C6</f>
        <v>1.0000000000000001E-5</v>
      </c>
      <c r="C7" s="86">
        <f>1/B6</f>
        <v>2.0000000000000001E-4</v>
      </c>
      <c r="D7" s="74">
        <f>GEOMEAN(B7,C7)</f>
        <v>4.4721359549995795E-5</v>
      </c>
      <c r="E7" s="74">
        <f>LogVariance(B7,C7)</f>
        <v>0.50759954989056688</v>
      </c>
      <c r="F7" s="39"/>
      <c r="H7" t="s">
        <v>180</v>
      </c>
      <c r="I7">
        <f>VLOOKUP(H7,'EV of Far Future'!$K$3:$M$14,2,FALSE)</f>
        <v>1.6190861620062103E+40</v>
      </c>
      <c r="J7">
        <f>VLOOKUP(H7,'EV of Far Future'!$K$3:$M$14,3,FALSE)</f>
        <v>3.5113686573257055</v>
      </c>
    </row>
    <row r="8" spans="1:10" ht="30">
      <c r="A8" s="46" t="s">
        <v>125</v>
      </c>
      <c r="B8" s="47">
        <v>0.5</v>
      </c>
      <c r="C8" s="47">
        <v>5</v>
      </c>
      <c r="D8" s="74">
        <f>GEOMEAN(B8,C8)</f>
        <v>1.5811388300841898</v>
      </c>
      <c r="E8" s="74">
        <f>LogVariance(B8,C8)</f>
        <v>0.39015207303618948</v>
      </c>
      <c r="F8" s="39" t="s">
        <v>264</v>
      </c>
      <c r="H8" t="s">
        <v>181</v>
      </c>
      <c r="I8">
        <f>VLOOKUP(H8,'EV of Far Future'!$K$3:$M$14,2,FALSE)</f>
        <v>3.8399999999999992E+38</v>
      </c>
      <c r="J8">
        <f>VLOOKUP(H8,'EV of Far Future'!$K$3:$M$14,3,FALSE)</f>
        <v>4.6818248764342734</v>
      </c>
    </row>
    <row r="9" spans="1:10" ht="45">
      <c r="A9" s="46" t="s">
        <v>126</v>
      </c>
      <c r="B9" s="47">
        <v>1000</v>
      </c>
      <c r="C9" s="47">
        <v>100000</v>
      </c>
      <c r="D9" s="74"/>
      <c r="E9" s="74"/>
      <c r="F9" s="39"/>
    </row>
    <row r="10" spans="1:10">
      <c r="A10" s="85" t="s">
        <v>129</v>
      </c>
      <c r="B10" s="86">
        <f>1000/C9</f>
        <v>0.01</v>
      </c>
      <c r="C10" s="86">
        <f>1000/B9</f>
        <v>1</v>
      </c>
      <c r="D10" s="74">
        <f>GEOMEAN(B10,C10)</f>
        <v>0.1</v>
      </c>
      <c r="E10" s="74">
        <f>LogVariance(B10,C10)</f>
        <v>0.78030414607237897</v>
      </c>
      <c r="F10" s="39"/>
      <c r="H10" s="15" t="s">
        <v>176</v>
      </c>
      <c r="I10" s="14">
        <f t="shared" ref="I10:I15" si="0">D13*I3</f>
        <v>1.4142135623730955E+49</v>
      </c>
      <c r="J10" s="14">
        <f t="shared" ref="J10:J15" si="1">E13+J3</f>
        <v>3.7840732535075174</v>
      </c>
    </row>
    <row r="11" spans="1:10" ht="45">
      <c r="A11" s="85" t="s">
        <v>130</v>
      </c>
      <c r="B11" s="86"/>
      <c r="C11" s="86"/>
      <c r="D11" s="74">
        <f>PRODUCT(D3:D8)*D10</f>
        <v>1.5491933384829672E-7</v>
      </c>
      <c r="E11" s="74">
        <f>SUM(E3:E8)+E10</f>
        <v>2.489252642362584</v>
      </c>
      <c r="F11" s="39"/>
      <c r="H11" s="15" t="s">
        <v>133</v>
      </c>
      <c r="I11" s="14">
        <f t="shared" si="0"/>
        <v>4.0000000000000002E+47</v>
      </c>
      <c r="J11" s="14">
        <f t="shared" si="1"/>
        <v>3.9015207303618951</v>
      </c>
    </row>
    <row r="12" spans="1:10">
      <c r="A12" s="85"/>
      <c r="B12" s="86"/>
      <c r="C12" s="86"/>
      <c r="D12" s="74"/>
      <c r="E12" s="74"/>
      <c r="F12" s="39"/>
      <c r="H12" s="15" t="s">
        <v>187</v>
      </c>
      <c r="I12" s="14">
        <f t="shared" si="0"/>
        <v>5.4644157967709579E+33</v>
      </c>
      <c r="J12" s="14">
        <f t="shared" si="1"/>
        <v>2.7310645112533267</v>
      </c>
    </row>
    <row r="13" spans="1:10" ht="60">
      <c r="A13" s="46" t="s">
        <v>265</v>
      </c>
      <c r="B13" s="47">
        <v>0.01</v>
      </c>
      <c r="C13" s="47">
        <v>0.05</v>
      </c>
      <c r="D13" s="74">
        <f t="shared" ref="D13:D18" si="2">GEOMEAN(B13,C13)</f>
        <v>2.2360679774997897E-2</v>
      </c>
      <c r="E13" s="74">
        <f t="shared" ref="E13:E18" si="3">LogVariance(B13,C13)</f>
        <v>0.27270459618181209</v>
      </c>
      <c r="F13" s="39"/>
      <c r="H13" s="15" t="s">
        <v>134</v>
      </c>
      <c r="I13" s="14">
        <f t="shared" si="0"/>
        <v>1.0240000000000001E+36</v>
      </c>
      <c r="J13" s="14">
        <f t="shared" si="1"/>
        <v>3.3561115379982707</v>
      </c>
    </row>
    <row r="14" spans="1:10" ht="30">
      <c r="A14" s="46" t="s">
        <v>266</v>
      </c>
      <c r="B14" s="47">
        <v>0.01</v>
      </c>
      <c r="C14" s="47">
        <v>0.1</v>
      </c>
      <c r="D14" s="74">
        <f t="shared" si="2"/>
        <v>3.1622776601683791E-2</v>
      </c>
      <c r="E14" s="74">
        <f t="shared" si="3"/>
        <v>0.39015207303618948</v>
      </c>
      <c r="F14" s="39"/>
      <c r="H14" s="15" t="s">
        <v>135</v>
      </c>
      <c r="I14" s="14">
        <f t="shared" si="0"/>
        <v>1.6190861620062104E+39</v>
      </c>
      <c r="J14" s="14">
        <f t="shared" si="1"/>
        <v>3.7462636110344603</v>
      </c>
    </row>
    <row r="15" spans="1:10" ht="30">
      <c r="A15" s="46" t="s">
        <v>267</v>
      </c>
      <c r="B15" s="47">
        <v>1</v>
      </c>
      <c r="C15" s="47">
        <v>1</v>
      </c>
      <c r="D15" s="74">
        <f t="shared" si="2"/>
        <v>1</v>
      </c>
      <c r="E15" s="74">
        <f t="shared" si="3"/>
        <v>0</v>
      </c>
      <c r="F15" s="39"/>
      <c r="H15" s="15" t="s">
        <v>136</v>
      </c>
      <c r="I15" s="14">
        <f t="shared" si="0"/>
        <v>3.8399999999999994E+37</v>
      </c>
      <c r="J15" s="14">
        <f t="shared" si="1"/>
        <v>4.9167198301430277</v>
      </c>
    </row>
    <row r="16" spans="1:10" ht="30">
      <c r="A16" s="46" t="s">
        <v>131</v>
      </c>
      <c r="B16" s="47">
        <v>0.1</v>
      </c>
      <c r="C16" s="47">
        <v>0.4</v>
      </c>
      <c r="D16" s="74">
        <f t="shared" si="2"/>
        <v>0.2</v>
      </c>
      <c r="E16" s="74">
        <f t="shared" si="3"/>
        <v>0.23489495370875477</v>
      </c>
      <c r="F16" s="39"/>
      <c r="H16" s="30" t="s">
        <v>167</v>
      </c>
      <c r="I16" s="31" t="str">
        <f>WriteArray(SumLognormDists(I10:J15))</f>
        <v>disabled</v>
      </c>
      <c r="J16" s="31" t="s">
        <v>148</v>
      </c>
    </row>
    <row r="17" spans="1:12" ht="30">
      <c r="A17" s="46" t="s">
        <v>132</v>
      </c>
      <c r="B17" s="47">
        <v>0.05</v>
      </c>
      <c r="C17" s="47">
        <v>0.2</v>
      </c>
      <c r="D17" s="74">
        <f t="shared" si="2"/>
        <v>0.1</v>
      </c>
      <c r="E17" s="74">
        <f t="shared" si="3"/>
        <v>0.23489495370875477</v>
      </c>
      <c r="F17" s="39"/>
      <c r="H17" s="3" t="s">
        <v>151</v>
      </c>
      <c r="I17" s="3" t="e">
        <f>STupidExcelMean(I16)</f>
        <v>#VALUE!</v>
      </c>
      <c r="J17" s="3" t="e">
        <f>STupidExcelVariance(I16,I17)</f>
        <v>#VALUE!</v>
      </c>
      <c r="K17" s="3"/>
      <c r="L17" s="3"/>
    </row>
    <row r="18" spans="1:12" ht="30">
      <c r="A18" s="46" t="s">
        <v>124</v>
      </c>
      <c r="B18" s="47">
        <v>0.05</v>
      </c>
      <c r="C18" s="47">
        <v>0.2</v>
      </c>
      <c r="D18" s="74">
        <f t="shared" si="2"/>
        <v>0.1</v>
      </c>
      <c r="E18" s="74">
        <f t="shared" si="3"/>
        <v>0.23489495370875477</v>
      </c>
      <c r="F18" s="39"/>
      <c r="H18" s="15" t="s">
        <v>163</v>
      </c>
      <c r="I18" s="14" t="e">
        <f>EXP(MuFromParams(ABS(I17),J17))</f>
        <v>#VALUE!</v>
      </c>
      <c r="J18" s="14" t="e">
        <f>(SigmaFromParams(I17,J17) / LN(10))^2</f>
        <v>#VALUE!</v>
      </c>
      <c r="K18" s="3"/>
      <c r="L18" s="3"/>
    </row>
    <row r="19" spans="1:12">
      <c r="K19" s="3"/>
      <c r="L19" s="3"/>
    </row>
    <row r="20" spans="1:12">
      <c r="K20" s="3"/>
      <c r="L20" s="3"/>
    </row>
    <row r="21" spans="1:12">
      <c r="K21" s="3"/>
      <c r="L21" s="3"/>
    </row>
    <row r="22" spans="1:12" ht="20">
      <c r="A22" s="6" t="s">
        <v>59</v>
      </c>
    </row>
    <row r="23" spans="1:12">
      <c r="A23" s="33" t="s">
        <v>169</v>
      </c>
      <c r="B23" s="100" t="e">
        <f>ParetoPosterior(median,alpha,I18:J18)</f>
        <v>#VALUE!</v>
      </c>
    </row>
    <row r="24" spans="1:12" ht="30">
      <c r="A24" s="33" t="s">
        <v>170</v>
      </c>
      <c r="B24" s="100" t="str">
        <f>LognormPosterior(mu_far_future,sigma_far_future,I18:J18)</f>
        <v>disabled</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Summary</vt:lpstr>
      <vt:lpstr>Globals</vt:lpstr>
      <vt:lpstr>EV of Far Future</vt:lpstr>
      <vt:lpstr>GiveDirectly</vt:lpstr>
      <vt:lpstr>THL</vt:lpstr>
      <vt:lpstr>Cage-Free</vt:lpstr>
      <vt:lpstr>AI Safety</vt:lpstr>
      <vt:lpstr>AI Targeted Values Spreading</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Dickens</dc:creator>
  <cp:lastModifiedBy>Michael Dickens</cp:lastModifiedBy>
  <dcterms:created xsi:type="dcterms:W3CDTF">2016-03-23T01:55:09Z</dcterms:created>
  <dcterms:modified xsi:type="dcterms:W3CDTF">2016-05-19T20:56:40Z</dcterms:modified>
</cp:coreProperties>
</file>