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709" codeName="{00000000-0000-0000-0000-000000000000}"/>
  <workbookPr showInkAnnotation="0" codeName="ThisWorkbook" autoCompressPictures="0"/>
  <bookViews>
    <workbookView xWindow="0" yWindow="0" windowWidth="25600" windowHeight="28260" tabRatio="500" activeTab="1"/>
  </bookViews>
  <sheets>
    <sheet name="Summary" sheetId="7" r:id="rId1"/>
    <sheet name="Globals" sheetId="2" r:id="rId2"/>
    <sheet name="EV of Far Future" sheetId="3" r:id="rId3"/>
    <sheet name="GiveDirectly" sheetId="5" r:id="rId4"/>
    <sheet name="THL" sheetId="1" r:id="rId5"/>
    <sheet name="Cage-Free" sheetId="12" r:id="rId6"/>
    <sheet name="AI Safety" sheetId="6" r:id="rId7"/>
    <sheet name="AI Targeted Values Spreading" sheetId="10" r:id="rId8"/>
  </sheets>
  <definedNames>
    <definedName name="alpha">Globals!$L$4</definedName>
    <definedName name="enable_calculations">Globals!$A$2</definedName>
    <definedName name="factory_farmed_animals">Globals!$M$8</definedName>
    <definedName name="interest_rate">Globals!$M$9</definedName>
    <definedName name="measurement">Globals!#REF!</definedName>
    <definedName name="median">Globals!$L$3</definedName>
    <definedName name="mu_factory_farming">Globals!$F$3</definedName>
    <definedName name="mu_far_future">Globals!$G$3</definedName>
    <definedName name="mu_far_future_humans">Globals!$G$3</definedName>
    <definedName name="mu_global_poverty">Globals!$E$3</definedName>
    <definedName name="mu_policy">Globals!$D$3</definedName>
    <definedName name="mu_sentient_simulations">Globals!$H$2</definedName>
    <definedName name="mu_wild_animals">Globals!#REF!</definedName>
    <definedName name="p_biological">Globals!$B$9</definedName>
    <definedName name="p_computronium">Globals!$B$12</definedName>
    <definedName name="p_dolorium">Globals!$D$15</definedName>
    <definedName name="p_ems">Globals!$D$13</definedName>
    <definedName name="p_factory_farming">Globals!$F$9</definedName>
    <definedName name="p_hedonium">Globals!$D$12</definedName>
    <definedName name="p_not_care_about_animals">Globals!$D$9</definedName>
    <definedName name="p_paperclip">Globals!$D$14</definedName>
    <definedName name="p_reduce_WAS">Globals!$D$8</definedName>
    <definedName name="p_society_does_not_care_about_animals">Globals!$D$9</definedName>
    <definedName name="p_spread_was">Globals!$F$10</definedName>
    <definedName name="p_stay_on_earth">Globals!$B$8</definedName>
    <definedName name="p_suffering_simulations">Globals!$F$11</definedName>
    <definedName name="sigma_factory_farming">Globals!$F$4</definedName>
    <definedName name="sigma_far_future">Globals!$G$4</definedName>
    <definedName name="sigma_far_future_humans">Globals!$G$4</definedName>
    <definedName name="sigma_global_poverty">Globals!$E$4</definedName>
    <definedName name="sigma_policy">Globals!$D$4</definedName>
    <definedName name="sigma_sentient_simulations">Globals!$H$3</definedName>
    <definedName name="sigma_wild_animals">Globals!#REF!</definedName>
    <definedName name="stay_on_earth">Globals!$B$8</definedName>
    <definedName name="stdev_base10">Globals!#REF!</definedName>
    <definedName name="x_m">Globals!#REF!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D5" i="7" l="1"/>
  <c r="C5" i="7"/>
  <c r="B5" i="7"/>
  <c r="N26" i="12"/>
  <c r="O14" i="12"/>
  <c r="N14" i="12"/>
  <c r="O5" i="12"/>
  <c r="N5" i="12"/>
  <c r="J35" i="12"/>
  <c r="I35" i="12"/>
  <c r="J25" i="12"/>
  <c r="I25" i="12"/>
  <c r="J14" i="12"/>
  <c r="I14" i="12"/>
  <c r="E11" i="12"/>
  <c r="J26" i="12"/>
  <c r="J28" i="12"/>
  <c r="O22" i="12"/>
  <c r="J36" i="12"/>
  <c r="J38" i="12"/>
  <c r="O23" i="12"/>
  <c r="O6" i="12"/>
  <c r="O8" i="12"/>
  <c r="O24" i="12"/>
  <c r="O15" i="12"/>
  <c r="O17" i="12"/>
  <c r="O25" i="12"/>
  <c r="D11" i="12"/>
  <c r="I15" i="12"/>
  <c r="I17" i="12"/>
  <c r="N21" i="12"/>
  <c r="J15" i="12"/>
  <c r="J17" i="12"/>
  <c r="O21" i="12"/>
  <c r="I26" i="12"/>
  <c r="I28" i="12"/>
  <c r="N22" i="12"/>
  <c r="I36" i="12"/>
  <c r="I38" i="12"/>
  <c r="N23" i="12"/>
  <c r="N6" i="12"/>
  <c r="N8" i="12"/>
  <c r="N24" i="12"/>
  <c r="N15" i="12"/>
  <c r="N17" i="12"/>
  <c r="N25" i="12"/>
  <c r="O13" i="12"/>
  <c r="O4" i="12"/>
  <c r="N27" i="12"/>
  <c r="O27" i="12"/>
  <c r="C17" i="12"/>
  <c r="B17" i="12"/>
  <c r="C18" i="12"/>
  <c r="B18" i="12"/>
  <c r="B20" i="12"/>
  <c r="I7" i="12"/>
  <c r="B24" i="12"/>
  <c r="B19" i="12"/>
  <c r="B23" i="12"/>
  <c r="N13" i="12"/>
  <c r="N4" i="12"/>
  <c r="J34" i="12"/>
  <c r="I34" i="12"/>
  <c r="I24" i="12"/>
  <c r="O12" i="12"/>
  <c r="O16" i="12"/>
  <c r="N12" i="12"/>
  <c r="N16" i="12"/>
  <c r="O3" i="12"/>
  <c r="N3" i="12"/>
  <c r="O7" i="12"/>
  <c r="N7" i="12"/>
  <c r="J33" i="12"/>
  <c r="J37" i="12"/>
  <c r="I33" i="12"/>
  <c r="I37" i="12"/>
  <c r="J24" i="12"/>
  <c r="J27" i="12"/>
  <c r="J23" i="12"/>
  <c r="I27" i="12"/>
  <c r="I23" i="12"/>
  <c r="J16" i="12"/>
  <c r="I16" i="12"/>
  <c r="D8" i="12"/>
  <c r="B4" i="12"/>
  <c r="C4" i="12"/>
  <c r="D4" i="12"/>
  <c r="D5" i="12"/>
  <c r="D6" i="12"/>
  <c r="D7" i="12"/>
  <c r="D9" i="12"/>
  <c r="E8" i="12"/>
  <c r="E4" i="12"/>
  <c r="E5" i="12"/>
  <c r="E6" i="12"/>
  <c r="E7" i="12"/>
  <c r="E9" i="12"/>
  <c r="J13" i="12"/>
  <c r="I13" i="12"/>
  <c r="J14" i="1"/>
  <c r="I14" i="1"/>
  <c r="I16" i="1"/>
  <c r="N19" i="1"/>
  <c r="J16" i="1"/>
  <c r="O19" i="1"/>
  <c r="N24" i="1"/>
  <c r="O5" i="1"/>
  <c r="N5" i="1"/>
  <c r="O13" i="1"/>
  <c r="N13" i="1"/>
  <c r="J33" i="1"/>
  <c r="I33" i="1"/>
  <c r="J24" i="1"/>
  <c r="L15" i="3"/>
  <c r="L6" i="3"/>
  <c r="I13" i="1"/>
  <c r="J13" i="1"/>
  <c r="I23" i="1"/>
  <c r="I22" i="1"/>
  <c r="I26" i="1"/>
  <c r="N20" i="1"/>
  <c r="J23" i="1"/>
  <c r="J22" i="1"/>
  <c r="J26" i="1"/>
  <c r="O20" i="1"/>
  <c r="I32" i="1"/>
  <c r="I31" i="1"/>
  <c r="I35" i="1"/>
  <c r="N21" i="1"/>
  <c r="J32" i="1"/>
  <c r="J31" i="1"/>
  <c r="J35" i="1"/>
  <c r="O21" i="1"/>
  <c r="N4" i="1"/>
  <c r="N3" i="1"/>
  <c r="N7" i="1"/>
  <c r="N22" i="1"/>
  <c r="O4" i="1"/>
  <c r="O3" i="1"/>
  <c r="O7" i="1"/>
  <c r="O22" i="1"/>
  <c r="N12" i="1"/>
  <c r="N11" i="1"/>
  <c r="N15" i="1"/>
  <c r="N23" i="1"/>
  <c r="O12" i="1"/>
  <c r="O11" i="1"/>
  <c r="O15" i="1"/>
  <c r="O23" i="1"/>
  <c r="N25" i="1"/>
  <c r="O25" i="1"/>
  <c r="C28" i="1"/>
  <c r="B28" i="1"/>
  <c r="C29" i="1"/>
  <c r="B29" i="1"/>
  <c r="B31" i="1"/>
  <c r="I24" i="1"/>
  <c r="D8" i="1"/>
  <c r="D9" i="1"/>
  <c r="D10" i="1"/>
  <c r="D12" i="1"/>
  <c r="E8" i="1"/>
  <c r="E9" i="1"/>
  <c r="E10" i="1"/>
  <c r="E12" i="1"/>
  <c r="D13" i="1"/>
  <c r="E13" i="1"/>
  <c r="D14" i="1"/>
  <c r="I7" i="1"/>
  <c r="D15" i="1"/>
  <c r="E15" i="1"/>
  <c r="D16" i="1"/>
  <c r="I15" i="1"/>
  <c r="E16" i="1"/>
  <c r="J15" i="1"/>
  <c r="I25" i="1"/>
  <c r="J25" i="1"/>
  <c r="I34" i="1"/>
  <c r="J34" i="1"/>
  <c r="N6" i="1"/>
  <c r="O6" i="1"/>
  <c r="N14" i="1"/>
  <c r="O14" i="1"/>
  <c r="B35" i="1"/>
  <c r="B4" i="1"/>
  <c r="C4" i="1"/>
  <c r="D4" i="1"/>
  <c r="D11" i="1"/>
  <c r="E4" i="1"/>
  <c r="E11" i="1"/>
  <c r="E10" i="12"/>
  <c r="J3" i="12"/>
  <c r="J4" i="12"/>
  <c r="J5" i="12"/>
  <c r="D10" i="12"/>
  <c r="I3" i="12"/>
  <c r="I4" i="12"/>
  <c r="I5" i="12"/>
  <c r="I6" i="12"/>
  <c r="J6" i="7"/>
  <c r="K3" i="6"/>
  <c r="K5" i="6"/>
  <c r="K6" i="6"/>
  <c r="K7" i="6"/>
  <c r="E4" i="6"/>
  <c r="K8" i="6"/>
  <c r="K14" i="6"/>
  <c r="K15" i="6"/>
  <c r="K16" i="6"/>
  <c r="K20" i="6"/>
  <c r="E17" i="7"/>
  <c r="I4" i="7"/>
  <c r="D17" i="7"/>
  <c r="H4" i="7"/>
  <c r="K4" i="7"/>
  <c r="G5" i="5"/>
  <c r="F4" i="2"/>
  <c r="G4" i="2"/>
  <c r="D18" i="1"/>
  <c r="E18" i="1"/>
  <c r="D19" i="1"/>
  <c r="E19" i="1"/>
  <c r="D20" i="1"/>
  <c r="E20" i="1"/>
  <c r="D21" i="1"/>
  <c r="E21" i="1"/>
  <c r="K5" i="7"/>
  <c r="L16" i="3"/>
  <c r="M16" i="3"/>
  <c r="L7" i="3"/>
  <c r="M7" i="3"/>
  <c r="M18" i="3"/>
  <c r="L18" i="3"/>
  <c r="L19" i="3"/>
  <c r="G13" i="5"/>
  <c r="G14" i="5"/>
  <c r="M19" i="3"/>
  <c r="H13" i="5"/>
  <c r="H14" i="5"/>
  <c r="G15" i="5"/>
  <c r="L13" i="5"/>
  <c r="L14" i="5"/>
  <c r="L25" i="5"/>
  <c r="M13" i="5"/>
  <c r="M14" i="5"/>
  <c r="M25" i="5"/>
  <c r="L27" i="5"/>
  <c r="L28" i="5"/>
  <c r="B24" i="5"/>
  <c r="M28" i="5"/>
  <c r="H15" i="5"/>
  <c r="C24" i="5"/>
  <c r="C25" i="5"/>
  <c r="B25" i="5"/>
  <c r="B27" i="5"/>
  <c r="B31" i="5"/>
  <c r="C3" i="7"/>
  <c r="G12" i="7"/>
  <c r="B26" i="5"/>
  <c r="G4" i="5"/>
  <c r="B30" i="5"/>
  <c r="B3" i="7"/>
  <c r="F12" i="7"/>
  <c r="K3" i="7"/>
  <c r="E18" i="7"/>
  <c r="D18" i="7"/>
  <c r="G18" i="7"/>
  <c r="G17" i="7"/>
  <c r="H3" i="5"/>
  <c r="D4" i="2"/>
  <c r="I24" i="6"/>
  <c r="I25" i="6"/>
  <c r="I26" i="6"/>
  <c r="J7" i="6"/>
  <c r="J8" i="6"/>
  <c r="J20" i="6"/>
  <c r="H24" i="6"/>
  <c r="H25" i="6"/>
  <c r="H26" i="6"/>
  <c r="B12" i="6"/>
  <c r="C6" i="7"/>
  <c r="G15" i="7"/>
  <c r="E23" i="7"/>
  <c r="D23" i="7"/>
  <c r="D22" i="7"/>
  <c r="G23" i="7"/>
  <c r="E24" i="7"/>
  <c r="D24" i="7"/>
  <c r="G24" i="7"/>
  <c r="E19" i="7"/>
  <c r="D19" i="7"/>
  <c r="G19" i="7"/>
  <c r="E20" i="7"/>
  <c r="D20" i="7"/>
  <c r="G20" i="7"/>
  <c r="E21" i="7"/>
  <c r="D21" i="7"/>
  <c r="G21" i="7"/>
  <c r="E22" i="7"/>
  <c r="G22" i="7"/>
  <c r="C4" i="7"/>
  <c r="G13" i="7"/>
  <c r="K6" i="7"/>
  <c r="G14" i="7"/>
  <c r="J3" i="1"/>
  <c r="H23" i="2"/>
  <c r="J23" i="2"/>
  <c r="L23" i="2"/>
  <c r="J4" i="1"/>
  <c r="J5" i="1"/>
  <c r="I4" i="1"/>
  <c r="I3" i="1"/>
  <c r="I5" i="1"/>
  <c r="I6" i="1"/>
  <c r="J5" i="7"/>
  <c r="J3" i="7"/>
  <c r="H24" i="2"/>
  <c r="J24" i="2"/>
  <c r="L24" i="2"/>
  <c r="I3" i="10"/>
  <c r="I10" i="10"/>
  <c r="J3" i="10"/>
  <c r="J10" i="10"/>
  <c r="I4" i="10"/>
  <c r="I11" i="10"/>
  <c r="J4" i="10"/>
  <c r="J11" i="10"/>
  <c r="I5" i="10"/>
  <c r="I12" i="10"/>
  <c r="J5" i="10"/>
  <c r="J12" i="10"/>
  <c r="I6" i="10"/>
  <c r="I13" i="10"/>
  <c r="J6" i="10"/>
  <c r="J13" i="10"/>
  <c r="I7" i="10"/>
  <c r="I14" i="10"/>
  <c r="J7" i="10"/>
  <c r="J14" i="10"/>
  <c r="I8" i="10"/>
  <c r="I15" i="10"/>
  <c r="J8" i="10"/>
  <c r="J15" i="10"/>
  <c r="I16" i="10"/>
  <c r="G3" i="3"/>
  <c r="G4" i="3"/>
  <c r="G14" i="3"/>
  <c r="G15" i="3"/>
  <c r="G16" i="3"/>
  <c r="L9" i="3"/>
  <c r="P36" i="2"/>
  <c r="H3" i="3"/>
  <c r="P37" i="2"/>
  <c r="H4" i="3"/>
  <c r="P39" i="2"/>
  <c r="H14" i="3"/>
  <c r="H15" i="3"/>
  <c r="H16" i="3"/>
  <c r="M9" i="3"/>
  <c r="G20" i="3"/>
  <c r="G21" i="3"/>
  <c r="G22" i="3"/>
  <c r="L10" i="3"/>
  <c r="P40" i="2"/>
  <c r="H20" i="3"/>
  <c r="H25" i="2"/>
  <c r="J25" i="2"/>
  <c r="L25" i="2"/>
  <c r="H21" i="3"/>
  <c r="H22" i="3"/>
  <c r="M10" i="3"/>
  <c r="G26" i="3"/>
  <c r="G27" i="3"/>
  <c r="G28" i="3"/>
  <c r="L11" i="3"/>
  <c r="P41" i="2"/>
  <c r="H26" i="3"/>
  <c r="H26" i="2"/>
  <c r="J26" i="2"/>
  <c r="L26" i="2"/>
  <c r="H27" i="3"/>
  <c r="H28" i="3"/>
  <c r="M11" i="3"/>
  <c r="G32" i="3"/>
  <c r="G33" i="3"/>
  <c r="G34" i="3"/>
  <c r="G35" i="3"/>
  <c r="L12" i="3"/>
  <c r="H32" i="3"/>
  <c r="P42" i="2"/>
  <c r="H33" i="3"/>
  <c r="H34" i="3"/>
  <c r="H35" i="3"/>
  <c r="M12" i="3"/>
  <c r="B3" i="3"/>
  <c r="B4" i="3"/>
  <c r="B5" i="3"/>
  <c r="B6" i="3"/>
  <c r="B10" i="3"/>
  <c r="B11" i="3"/>
  <c r="L4" i="3"/>
  <c r="L36" i="2"/>
  <c r="C3" i="3"/>
  <c r="L37" i="2"/>
  <c r="C4" i="3"/>
  <c r="L38" i="2"/>
  <c r="C5" i="3"/>
  <c r="L39" i="2"/>
  <c r="C6" i="3"/>
  <c r="H27" i="2"/>
  <c r="J27" i="2"/>
  <c r="L27" i="2"/>
  <c r="C10" i="3"/>
  <c r="C11" i="3"/>
  <c r="M4" i="3"/>
  <c r="M10" i="5"/>
  <c r="M11" i="5"/>
  <c r="M12" i="5"/>
  <c r="O11" i="3"/>
  <c r="O9" i="3"/>
  <c r="O10" i="3"/>
  <c r="O12" i="3"/>
  <c r="O4" i="3"/>
  <c r="I3" i="7"/>
  <c r="H3" i="7"/>
  <c r="I6" i="7"/>
  <c r="H6" i="7"/>
  <c r="B20" i="3"/>
  <c r="B21" i="3"/>
  <c r="O13" i="3"/>
  <c r="L13" i="3"/>
  <c r="H29" i="2"/>
  <c r="J29" i="2"/>
  <c r="L29" i="2"/>
  <c r="C20" i="3"/>
  <c r="C21" i="3"/>
  <c r="M13" i="3"/>
  <c r="B25" i="3"/>
  <c r="B26" i="3"/>
  <c r="O14" i="3"/>
  <c r="L14" i="3"/>
  <c r="H30" i="2"/>
  <c r="J30" i="2"/>
  <c r="L30" i="2"/>
  <c r="C25" i="3"/>
  <c r="C26" i="3"/>
  <c r="M14" i="3"/>
  <c r="G8" i="3"/>
  <c r="G9" i="3"/>
  <c r="G10" i="3"/>
  <c r="O3" i="3"/>
  <c r="L3" i="3"/>
  <c r="P38" i="2"/>
  <c r="H8" i="3"/>
  <c r="H21" i="2"/>
  <c r="J21" i="2"/>
  <c r="L21" i="2"/>
  <c r="H9" i="3"/>
  <c r="H10" i="3"/>
  <c r="M3" i="3"/>
  <c r="B15" i="3"/>
  <c r="B16" i="3"/>
  <c r="O5" i="3"/>
  <c r="L5" i="3"/>
  <c r="H28" i="2"/>
  <c r="J28" i="2"/>
  <c r="L28" i="2"/>
  <c r="C15" i="3"/>
  <c r="C16" i="3"/>
  <c r="M5" i="3"/>
  <c r="E13" i="10"/>
  <c r="E14" i="10"/>
  <c r="E15" i="10"/>
  <c r="E16" i="10"/>
  <c r="E17" i="10"/>
  <c r="E18" i="10"/>
  <c r="I17" i="10"/>
  <c r="J17" i="10"/>
  <c r="J18" i="10"/>
  <c r="I18" i="10"/>
  <c r="B24" i="10"/>
  <c r="C7" i="7"/>
  <c r="G16" i="7"/>
  <c r="B23" i="10"/>
  <c r="B7" i="7"/>
  <c r="F16" i="7"/>
  <c r="B11" i="6"/>
  <c r="B6" i="7"/>
  <c r="F15" i="7"/>
  <c r="F14" i="7"/>
  <c r="B30" i="1"/>
  <c r="B34" i="1"/>
  <c r="B4" i="7"/>
  <c r="F13" i="7"/>
  <c r="F17" i="7"/>
  <c r="F18" i="7"/>
  <c r="F19" i="7"/>
  <c r="F20" i="7"/>
  <c r="F21" i="7"/>
  <c r="F22" i="7"/>
  <c r="F23" i="7"/>
  <c r="F24" i="7"/>
  <c r="N36" i="2"/>
  <c r="O36" i="2"/>
  <c r="N37" i="2"/>
  <c r="O37" i="2"/>
  <c r="N38" i="2"/>
  <c r="N39" i="2"/>
  <c r="O39" i="2"/>
  <c r="C23" i="2"/>
  <c r="G23" i="2"/>
  <c r="E23" i="2"/>
  <c r="I23" i="2"/>
  <c r="K23" i="2"/>
  <c r="N40" i="2"/>
  <c r="O40" i="2"/>
  <c r="C25" i="2"/>
  <c r="G25" i="2"/>
  <c r="E25" i="2"/>
  <c r="I25" i="2"/>
  <c r="K25" i="2"/>
  <c r="N41" i="2"/>
  <c r="O41" i="2"/>
  <c r="C26" i="2"/>
  <c r="G26" i="2"/>
  <c r="E26" i="2"/>
  <c r="I26" i="2"/>
  <c r="K26" i="2"/>
  <c r="N42" i="2"/>
  <c r="O42" i="2"/>
  <c r="J36" i="2"/>
  <c r="K36" i="2"/>
  <c r="J37" i="2"/>
  <c r="K37" i="2"/>
  <c r="J38" i="2"/>
  <c r="K38" i="2"/>
  <c r="J39" i="2"/>
  <c r="K39" i="2"/>
  <c r="C29" i="2"/>
  <c r="G29" i="2"/>
  <c r="I29" i="2"/>
  <c r="K29" i="2"/>
  <c r="B30" i="2"/>
  <c r="C27" i="2"/>
  <c r="C30" i="2"/>
  <c r="G30" i="2"/>
  <c r="I30" i="2"/>
  <c r="K30" i="2"/>
  <c r="O38" i="2"/>
  <c r="C21" i="2"/>
  <c r="G21" i="2"/>
  <c r="I21" i="2"/>
  <c r="K21" i="2"/>
  <c r="G27" i="2"/>
  <c r="D27" i="2"/>
  <c r="I27" i="2"/>
  <c r="K27" i="2"/>
  <c r="C28" i="2"/>
  <c r="G28" i="2"/>
  <c r="I28" i="2"/>
  <c r="K28" i="2"/>
  <c r="C24" i="2"/>
  <c r="D24" i="2"/>
  <c r="E24" i="2"/>
  <c r="G24" i="2"/>
  <c r="I24" i="2"/>
  <c r="K24" i="2"/>
  <c r="I5" i="7"/>
  <c r="H5" i="7"/>
  <c r="B7" i="5"/>
  <c r="C7" i="5"/>
  <c r="L12" i="5"/>
  <c r="L20" i="5"/>
  <c r="L21" i="5"/>
  <c r="L26" i="5"/>
  <c r="M20" i="5"/>
  <c r="M19" i="5"/>
  <c r="M21" i="5"/>
  <c r="M26" i="5"/>
  <c r="G12" i="5"/>
  <c r="H12" i="5"/>
  <c r="H10" i="5"/>
  <c r="H11" i="5"/>
  <c r="C22" i="2"/>
  <c r="L10" i="5"/>
  <c r="B6" i="5"/>
  <c r="C6" i="5"/>
  <c r="L11" i="5"/>
  <c r="B9" i="5"/>
  <c r="C9" i="5"/>
  <c r="L19" i="5"/>
  <c r="I32" i="6"/>
  <c r="I33" i="6"/>
  <c r="H32" i="6"/>
  <c r="H33" i="6"/>
  <c r="K33" i="6"/>
  <c r="J33" i="6"/>
  <c r="H15" i="6"/>
  <c r="H22" i="2"/>
  <c r="J22" i="2"/>
  <c r="L22" i="2"/>
  <c r="G22" i="2"/>
  <c r="I22" i="2"/>
  <c r="K22" i="2"/>
  <c r="G10" i="5"/>
  <c r="G11" i="5"/>
  <c r="C7" i="10"/>
  <c r="B7" i="10"/>
  <c r="D13" i="10"/>
  <c r="D14" i="10"/>
  <c r="D15" i="10"/>
  <c r="D16" i="10"/>
  <c r="D17" i="10"/>
  <c r="D18" i="10"/>
  <c r="I5" i="6"/>
  <c r="J5" i="6"/>
  <c r="J6" i="6"/>
  <c r="I15" i="6"/>
  <c r="J15" i="6"/>
  <c r="J16" i="6"/>
  <c r="E7" i="10"/>
  <c r="E8" i="10"/>
  <c r="C10" i="10"/>
  <c r="B10" i="10"/>
  <c r="E10" i="10"/>
  <c r="E5" i="10"/>
  <c r="E3" i="10"/>
  <c r="E4" i="10"/>
  <c r="E11" i="10"/>
  <c r="D7" i="10"/>
  <c r="D8" i="10"/>
  <c r="D10" i="10"/>
  <c r="D5" i="10"/>
  <c r="D3" i="10"/>
  <c r="D4" i="10"/>
  <c r="D11" i="10"/>
  <c r="J4" i="7"/>
  <c r="J14" i="6"/>
  <c r="J13" i="6"/>
  <c r="D4" i="6"/>
  <c r="J3" i="6"/>
  <c r="D4" i="7"/>
  <c r="H5" i="6"/>
  <c r="C4" i="6"/>
  <c r="B4" i="6"/>
  <c r="D7" i="7"/>
  <c r="D3" i="7"/>
  <c r="K13" i="6"/>
  <c r="D6" i="7"/>
</calcChain>
</file>

<file path=xl/sharedStrings.xml><?xml version="1.0" encoding="utf-8"?>
<sst xmlns="http://schemas.openxmlformats.org/spreadsheetml/2006/main" count="585" uniqueCount="299">
  <si>
    <t>Low CI</t>
  </si>
  <si>
    <t>High CI</t>
  </si>
  <si>
    <t>alpha</t>
  </si>
  <si>
    <t>median</t>
  </si>
  <si>
    <t>Prior (Pareto)</t>
  </si>
  <si>
    <t>stay on earth</t>
  </si>
  <si>
    <t>society doesn't care about animals</t>
  </si>
  <si>
    <t>we make suffering simulations</t>
  </si>
  <si>
    <t>we spread WAS</t>
  </si>
  <si>
    <t>hedonium</t>
  </si>
  <si>
    <t>paperclip</t>
  </si>
  <si>
    <t>dolorium</t>
  </si>
  <si>
    <t>we reduce WAS on balance</t>
  </si>
  <si>
    <t>Far future outcome probabilities</t>
  </si>
  <si>
    <t>accessible stars</t>
  </si>
  <si>
    <t>usable wattage</t>
  </si>
  <si>
    <t>years of future</t>
  </si>
  <si>
    <t>humans per star</t>
  </si>
  <si>
    <t>factory farmed animals per star</t>
  </si>
  <si>
    <t>wild vertebrates per star</t>
  </si>
  <si>
    <t>Sources</t>
  </si>
  <si>
    <t>http://reducing-suffering.org/how-many-wild-animals-are-there/</t>
  </si>
  <si>
    <t>https://en.wikipedia.org/wiki/Timeline_of_the_far_future</t>
  </si>
  <si>
    <t>Bradbury, "Matrioshka Brains"</t>
  </si>
  <si>
    <t>https://www.gwern.net/docs/1999-bradbury-matrioshkabrains.pdf</t>
  </si>
  <si>
    <t>Tomasik, "How Many Wild Animals Are There?"</t>
  </si>
  <si>
    <t>factory farmed animals</t>
  </si>
  <si>
    <t>Notes</t>
  </si>
  <si>
    <t>Biological condition</t>
  </si>
  <si>
    <t>Size of far future (80% CI)</t>
  </si>
  <si>
    <t>Variance</t>
  </si>
  <si>
    <t>Size of far future (mean/variance)</t>
  </si>
  <si>
    <t>[2]</t>
  </si>
  <si>
    <t>[3]</t>
  </si>
  <si>
    <t>[1]; assumes 1-10 planets per star</t>
  </si>
  <si>
    <t>[1]</t>
  </si>
  <si>
    <t>Computronium condition</t>
  </si>
  <si>
    <t>Utility for different types of beings</t>
  </si>
  <si>
    <t>utility per factory farmed animal</t>
  </si>
  <si>
    <t>utility per wild vertebrate</t>
  </si>
  <si>
    <t>utility per insect</t>
  </si>
  <si>
    <t>brains per watt</t>
  </si>
  <si>
    <t>utility per hedonium</t>
  </si>
  <si>
    <t>utility per paperclip</t>
  </si>
  <si>
    <t>utility per dolorium</t>
  </si>
  <si>
    <t>for same energy requirements as human brain</t>
  </si>
  <si>
    <t>Biological Condition</t>
  </si>
  <si>
    <t>Hedonium utility</t>
  </si>
  <si>
    <t>Paperclip neg utility</t>
  </si>
  <si>
    <t>Dolorium neg utility</t>
  </si>
  <si>
    <t>Human utility</t>
  </si>
  <si>
    <t>Computronium Condition</t>
  </si>
  <si>
    <t>utility estimate</t>
  </si>
  <si>
    <t>Factory farming neg utility</t>
  </si>
  <si>
    <t>insects per star</t>
  </si>
  <si>
    <t>Wild vertebrate neg utility</t>
  </si>
  <si>
    <t>Insect neg utility</t>
  </si>
  <si>
    <t>Simulation neg utility</t>
  </si>
  <si>
    <t>simulations per insect</t>
  </si>
  <si>
    <t>Results</t>
  </si>
  <si>
    <t>Sign</t>
  </si>
  <si>
    <t>we have factory farming</t>
  </si>
  <si>
    <t>P(factory farming exists)</t>
  </si>
  <si>
    <t>Direct effect</t>
  </si>
  <si>
    <t>Far-future effect on factory farming</t>
  </si>
  <si>
    <t>Basic facts</t>
  </si>
  <si>
    <t>years factory farming prevented per $1000</t>
  </si>
  <si>
    <t>log-normal posterior</t>
  </si>
  <si>
    <t>P(stopping this if we stop factory farming)</t>
  </si>
  <si>
    <t>Far-future effect on wild vertebrates</t>
  </si>
  <si>
    <t>P(humans exist)</t>
  </si>
  <si>
    <t>P(wild vertebrates exist)</t>
  </si>
  <si>
    <t>P(insects exist)</t>
  </si>
  <si>
    <t>P(simulations exist)</t>
  </si>
  <si>
    <t>P(hedonium exists)</t>
  </si>
  <si>
    <t>P(paperclips exist)</t>
  </si>
  <si>
    <t>P(dolorium exists)</t>
  </si>
  <si>
    <t>Far-future effect on suffering simulations</t>
  </si>
  <si>
    <t>Pareto posterior</t>
  </si>
  <si>
    <t>Prior (log-normal)</t>
  </si>
  <si>
    <t>mu</t>
  </si>
  <si>
    <t>sigma</t>
  </si>
  <si>
    <t>Far-future effect on insects</t>
  </si>
  <si>
    <t>Total (Pareto)</t>
  </si>
  <si>
    <t>Total (log-normal)</t>
  </si>
  <si>
    <t>Log-normal posterior</t>
  </si>
  <si>
    <t>Extinction risk reduction</t>
  </si>
  <si>
    <t>poverty ended per $1000</t>
  </si>
  <si>
    <t>Color guide</t>
  </si>
  <si>
    <t>intermediate result</t>
  </si>
  <si>
    <t>final result</t>
  </si>
  <si>
    <t>P(extinction)</t>
  </si>
  <si>
    <t>extinction scenarios averted by ending poverty</t>
  </si>
  <si>
    <t>extinction scenarios caused by ending poverty</t>
  </si>
  <si>
    <t>Extinction risk increase</t>
  </si>
  <si>
    <t>interest rate</t>
  </si>
  <si>
    <t>cost per year to end poverty ($)</t>
  </si>
  <si>
    <t>P(AI-related extinction)</t>
  </si>
  <si>
    <t>AI researcher multiplicative effect</t>
  </si>
  <si>
    <t>hours to solve AI safety</t>
  </si>
  <si>
    <t>size of FAI community when AGI created</t>
  </si>
  <si>
    <t>cost per AI researcher</t>
  </si>
  <si>
    <t>1/cost per AI researcher</t>
  </si>
  <si>
    <t>annual rate at which vegetarians convert new vegetarians</t>
  </si>
  <si>
    <t>Model 1 (GPP)</t>
  </si>
  <si>
    <t>Model 2</t>
  </si>
  <si>
    <t>EV far future</t>
  </si>
  <si>
    <t>General</t>
  </si>
  <si>
    <t>x-risk averted per $1000</t>
  </si>
  <si>
    <t>1/hours to solve</t>
  </si>
  <si>
    <t>Model average</t>
  </si>
  <si>
    <t>Pareto</t>
  </si>
  <si>
    <t>Log-normal</t>
  </si>
  <si>
    <t>GiveDirectly</t>
  </si>
  <si>
    <t>AI Safety</t>
  </si>
  <si>
    <t>Unified model</t>
  </si>
  <si>
    <t>utility per cage removed</t>
  </si>
  <si>
    <t>years factory farming prevented per $1</t>
  </si>
  <si>
    <t>AMF</t>
  </si>
  <si>
    <t xml:space="preserve">Mean </t>
  </si>
  <si>
    <t>Inputs (80% CI)</t>
  </si>
  <si>
    <t>(80% CI)</t>
  </si>
  <si>
    <t>Wikipedia, "Timeline of the Far Future"</t>
  </si>
  <si>
    <t>P(friendly AI gets built)</t>
  </si>
  <si>
    <t>suffering simulations prevented</t>
  </si>
  <si>
    <t>values propagation multiplier</t>
  </si>
  <si>
    <t>cost to convince one AI researcher to care about animals</t>
  </si>
  <si>
    <t>P(FAI is bad for animals by default)</t>
  </si>
  <si>
    <t>1/size of FAI community when AGI created</t>
  </si>
  <si>
    <t>$1000/cost</t>
  </si>
  <si>
    <t>Increased probability AGI is good for animals per $1000 spent</t>
  </si>
  <si>
    <t>wild vertebrate suffering prevented</t>
  </si>
  <si>
    <t>insect suffering prevented</t>
  </si>
  <si>
    <t>dolorium utility estimate</t>
  </si>
  <si>
    <t>wild vertebrate utility estimate</t>
  </si>
  <si>
    <t>insect utility estimate</t>
  </si>
  <si>
    <t>simulation utility estimate</t>
  </si>
  <si>
    <t>Model</t>
  </si>
  <si>
    <t>AI Targeted Values Spreading</t>
  </si>
  <si>
    <t>Total utility</t>
  </si>
  <si>
    <t>Ratio vs. GD</t>
  </si>
  <si>
    <t>Utility from direct effects only</t>
  </si>
  <si>
    <t xml:space="preserve"> </t>
  </si>
  <si>
    <t>global poverty</t>
  </si>
  <si>
    <t>factory farming</t>
  </si>
  <si>
    <t>far future</t>
  </si>
  <si>
    <t>Enable calculations?</t>
  </si>
  <si>
    <t>0 for false, 1 for true</t>
  </si>
  <si>
    <t>buckets</t>
  </si>
  <si>
    <t>(1) does not include fish/shellfish; (2) I am willing to trade maybe 5 years normal life vs. 1 year on factory farm, and extremely poor people's lives are about half as good as those in the developed world according to world happiness surveys</t>
  </si>
  <si>
    <t>Warning: takes a long time to evaluate (30 seconds on my machine)</t>
  </si>
  <si>
    <t>exp mean/variance</t>
  </si>
  <si>
    <t>pos EV (buckets)</t>
  </si>
  <si>
    <t>neg EV (buckets)</t>
  </si>
  <si>
    <t>neg exp mean/variance</t>
  </si>
  <si>
    <t>pos exp mean/variance</t>
  </si>
  <si>
    <t>Mu</t>
  </si>
  <si>
    <t>Sigma^2 (orders of magnitude)</t>
  </si>
  <si>
    <t>Sigma^2</t>
  </si>
  <si>
    <t>Sigma</t>
  </si>
  <si>
    <t>P-weighted utility estimate (adj. by probability)</t>
  </si>
  <si>
    <t>Probability (used in P-weighted utility estimate)</t>
  </si>
  <si>
    <t>overall exp mean/variance</t>
  </si>
  <si>
    <t>overall utility estimate</t>
  </si>
  <si>
    <t>Total far future effect</t>
  </si>
  <si>
    <t>Total positive far-future effect</t>
  </si>
  <si>
    <t>utility estimates</t>
  </si>
  <si>
    <t>sum (buckets)</t>
  </si>
  <si>
    <t>Total far-future effect</t>
  </si>
  <si>
    <t>Total (Pareto posterior)</t>
  </si>
  <si>
    <t>Total (log-normal posterior)</t>
  </si>
  <si>
    <t>THL</t>
  </si>
  <si>
    <t>Far-future effect on hedonium</t>
  </si>
  <si>
    <t>wild vertebrate suffering prevented if we end factory farming</t>
  </si>
  <si>
    <t>hedonium caused</t>
  </si>
  <si>
    <t>This is the probability increase of stopping WAS conditional on stopping factory farming. This assumes net effect is positive. You can make it negative but that requires changing the way the posterior is calculated. If you make the low CI close to 0, that has a similar effect to putting some of the probability mass below 0.</t>
  </si>
  <si>
    <t>hedonium utility estimate</t>
  </si>
  <si>
    <t>hedonium weighted utility</t>
  </si>
  <si>
    <t>dolorium weighted utility</t>
  </si>
  <si>
    <t>wild vertebrate weighted utility</t>
  </si>
  <si>
    <t>insect weighted utility</t>
  </si>
  <si>
    <t>simulation weighted utility</t>
  </si>
  <si>
    <t>factory farming weighted utility</t>
  </si>
  <si>
    <t>human weighted utility</t>
  </si>
  <si>
    <t>paperclip weighted utility</t>
  </si>
  <si>
    <t>needs manual re-calculation</t>
  </si>
  <si>
    <t>ignore these (no color)</t>
  </si>
  <si>
    <t>factory farming utility estimate</t>
  </si>
  <si>
    <t>implicitly correlated with P(AI-related extinction) on the AI Safety sheet</t>
  </si>
  <si>
    <t>center of distribution (median)</t>
  </si>
  <si>
    <t>scale (logarithmic base 10); this corresponds to standard deviation, not variance</t>
  </si>
  <si>
    <t>log-normal prior is parameterized by Y = mu*10^(sigma*X) for standard normal R.V. X</t>
  </si>
  <si>
    <t>Em utility</t>
  </si>
  <si>
    <t>utility per em</t>
  </si>
  <si>
    <t>em weighted utility</t>
  </si>
  <si>
    <t>P(ems exist)</t>
  </si>
  <si>
    <t>ems</t>
  </si>
  <si>
    <t>Estimated from FHI x-risk survey. CI for probability represents uncertainty about estimate.</t>
  </si>
  <si>
    <t>P(AI researchers' values matter)</t>
  </si>
  <si>
    <t>number of AI researchers when AGI created</t>
  </si>
  <si>
    <t>1/number of AI researchers</t>
  </si>
  <si>
    <t>Different from size of AI safety community; presumably all AI researchers could matter. See https://intelligence.org/2014/01/28/how-big-is-ai/</t>
  </si>
  <si>
    <t>See https://intelligence.org/2014/01/28/how-big-is-ai/</t>
  </si>
  <si>
    <t>Sentience adjustment (80% CI)</t>
  </si>
  <si>
    <t>Mu1</t>
  </si>
  <si>
    <t>Mu2</t>
  </si>
  <si>
    <t>Sigma^2_1</t>
  </si>
  <si>
    <t>Sigma^2_2</t>
  </si>
  <si>
    <t>Well-being, absolute value (80% CI)</t>
  </si>
  <si>
    <t>(assumes AGI is a binary outcome: friendly or unfriendly)</t>
  </si>
  <si>
    <t>some uncertainty here about how to account for counterfactuals; presumably AI safety researchers would do something high value otherwise</t>
  </si>
  <si>
    <t>FAI community growth rate</t>
  </si>
  <si>
    <t>AGI date</t>
  </si>
  <si>
    <t>years until AGI</t>
  </si>
  <si>
    <t>assumes constant exponential growth rate</t>
  </si>
  <si>
    <t>researcher-years spent on AI safety by AGI date</t>
  </si>
  <si>
    <t>TODO: this just combines 80% CI's, which is incorrect</t>
  </si>
  <si>
    <t>P(|hours spent - hours needed| &lt;= hours provided by $1000)</t>
  </si>
  <si>
    <t>fill universe with biology</t>
  </si>
  <si>
    <t>fill universe with computers</t>
  </si>
  <si>
    <t>utility per developing-world human</t>
  </si>
  <si>
    <t>utility per wealthy human</t>
  </si>
  <si>
    <t>extremely poor people's lives are about half as good as those in the developed world according to world happiness surveys</t>
  </si>
  <si>
    <t>assumes there will be no poverty in the far future</t>
  </si>
  <si>
    <t>TODO: this manually categorizes conditions as positive or negative, that should happen automatically</t>
  </si>
  <si>
    <t>Factory farming increase</t>
  </si>
  <si>
    <t>http://effective-altruism.com/ea/rl/quantifying_the_impact_of_economic_growth_on_meat/</t>
  </si>
  <si>
    <t>years factory-farm suffering per $1000</t>
  </si>
  <si>
    <t>Utiliy Estimates</t>
  </si>
  <si>
    <t>x-risk</t>
  </si>
  <si>
    <t>from looking at random articles I found on Google, combined with Fermi estimate (1.2B people, $1/day ~= $500B/yr)</t>
  </si>
  <si>
    <t>should sum to 1</t>
  </si>
  <si>
    <t>not mutually exclusive so don't need to sum to 1</t>
  </si>
  <si>
    <t>http://www.openphilanthropy.org/blog/initial-grants-support-corporate-cage-free-reforms#Corporate_cage-free_campaigns_are_extremely_cost-effective</t>
  </si>
  <si>
    <t>cage-free years per $1</t>
  </si>
  <si>
    <t>1/expenditures</t>
  </si>
  <si>
    <t>cage-free years per $1000</t>
  </si>
  <si>
    <t>total expenditures ($M)</t>
  </si>
  <si>
    <t>centered around 1 by definition</t>
  </si>
  <si>
    <t>Note: All CI's here have zero variance because individual well-being shouldn't factor in to prior estimates of good done.</t>
  </si>
  <si>
    <t>computer emulations of human-like brains</t>
  </si>
  <si>
    <t>maximally happy beings</t>
  </si>
  <si>
    <t>computers that don't do anything useful</t>
  </si>
  <si>
    <t>maximally unhappy beings</t>
  </si>
  <si>
    <t>WAS = wild animal suffering</t>
  </si>
  <si>
    <t>Model 3 (INCOMPLETE)</t>
  </si>
  <si>
    <t>Cause/Org</t>
  </si>
  <si>
    <t>different grants estimated at $30 and $300 per prison-year averted; see http://www.openphilanthropy.org/focus/us-policy/criminal-justice-reform/justleadershipusa-close-rikers-campaign#Direct_impact and http://www.openphilanthropy.org/focus/us-policy/criminal-justice-reform/pew-public-safety-performance-project#Cost_effectiveness</t>
  </si>
  <si>
    <t>policy</t>
  </si>
  <si>
    <t>All Cause Areas</t>
  </si>
  <si>
    <t>Cage-free Campaigns</t>
  </si>
  <si>
    <t>Biosecurity</t>
  </si>
  <si>
    <t>Geoengineering</t>
  </si>
  <si>
    <t>TODO: maybe far future sigma should be bigger</t>
  </si>
  <si>
    <t>proportion of extinction scenarios averted by ending poverty</t>
  </si>
  <si>
    <t>proportion of extinction scenarios caused by ending poverty</t>
  </si>
  <si>
    <t>days factory-farm suffering caused per $1000</t>
  </si>
  <si>
    <t>includes all money spent on cage-free campaigns</t>
  </si>
  <si>
    <t>years until cage-free would have happened anyway</t>
  </si>
  <si>
    <t>millions of cages prevented</t>
  </si>
  <si>
    <t>proportion of change attributable to campaigns</t>
  </si>
  <si>
    <t>If we add 1 new researcher now, there will be this many new researchers by the time AGI is developed.</t>
  </si>
  <si>
    <t>proportion of bad scenarios averted by doubling total research</t>
  </si>
  <si>
    <t>hours per year per AI researcher</t>
  </si>
  <si>
    <t>If we change one researcher's values today, this many researchers' values will change by the time AGI is developed.</t>
  </si>
  <si>
    <t>proportion of hedonium scenarios caused by making the FAI animal-friendly</t>
  </si>
  <si>
    <t>dolorium scenarios prevented</t>
  </si>
  <si>
    <t>factory farming scenarios prevented</t>
  </si>
  <si>
    <t>Perhaps this should follow Pareto dist? http://intelligence.org/files/PredictingAGI.pdf</t>
  </si>
  <si>
    <t>I don't know the right way to calculate this variance</t>
  </si>
  <si>
    <t>user input</t>
  </si>
  <si>
    <t>Outcomes in a column are conditional on outcomes to the left, e.g. P(we reduce WAS on balance) = D8*B8. I explain my reasoning here: http://mdickens.me/2016/04/17/preventing_human_extinction,_now_with_numbers!/</t>
  </si>
  <si>
    <t>http://globalprioritiesproject.org/2015/08/quantifyingaisafety/</t>
  </si>
  <si>
    <t>*includes direct effects only</t>
  </si>
  <si>
    <t>AMF*</t>
  </si>
  <si>
    <t>Deworming*</t>
  </si>
  <si>
    <t>Criminal Justice*</t>
  </si>
  <si>
    <t>Immigration*</t>
  </si>
  <si>
    <t>Land Use Reform*</t>
  </si>
  <si>
    <t>Macroeconomic Policy*</t>
  </si>
  <si>
    <t>Cage-Free Campaigns*</t>
  </si>
  <si>
    <t>Estimated by doubling the 80% CI given by http://www.animalcharityevaluators.org/research/interventions/impact-calculator/. Excludes shellfish.</t>
  </si>
  <si>
    <t>memetically relevant humans</t>
  </si>
  <si>
    <t>veg-years indirectly created per $1000</t>
  </si>
  <si>
    <t>veg-years directly created per $1000</t>
  </si>
  <si>
    <t>1/memetically relevant humans</t>
  </si>
  <si>
    <t>veg-years permanently created per $1000</t>
  </si>
  <si>
    <t>vegetarians per $1000</t>
  </si>
  <si>
    <t>Estimated by doubling the 80% CI for online ads from https://docs.google.com/spreadsheets/d/1YSkZDTWacpkmnZMdRsIMLuCOdIILNVmGTIQAomZDxD4</t>
  </si>
  <si>
    <t>https://docs.google.com/spreadsheets/d/1YSkZDTWacpkmnZMdRsIMLuCOdIILNVmGTIQAomZDxD4</t>
  </si>
  <si>
    <t>years spent being vegetarian</t>
  </si>
  <si>
    <t>vegetarian-years per $1000</t>
  </si>
  <si>
    <t>I suspect this is low-ish b/c cage-free has weaker memetic effects than vegetarianism</t>
  </si>
  <si>
    <t>values spreading effect of cage-free year vs vegetarian-year</t>
  </si>
  <si>
    <t>cage-free years per cage prevented</t>
  </si>
  <si>
    <t>veg-years per cage-free year</t>
  </si>
  <si>
    <t>http://www.unitedegg.org/GeneralStats/default.cfm</t>
  </si>
  <si>
    <t>Cage-Free</t>
  </si>
  <si>
    <t>For detailed explanations of everything, see http://mdickens.me/2016/05/17/quantifying_far_future_effects/</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</si>
</sst>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6"/>
      <color theme="1"/>
      <name val="Calibri"/>
      <scheme val="minor"/>
    </font>
    <font>
      <sz val="12"/>
      <color rgb="FF000000"/>
      <name val="Calibri"/>
      <family val="2"/>
      <scheme val="minor"/>
    </font>
    <font>
      <sz val="12"/>
      <name val="Calibri"/>
      <scheme val="minor"/>
    </font>
    <font>
      <sz val="12"/>
      <color rgb="FFFF0000"/>
      <name val="Calibri"/>
      <family val="2"/>
      <scheme val="minor"/>
    </font>
    <font>
      <sz val="12"/>
      <color rgb="FFFF6600"/>
      <name val="Calibri"/>
      <scheme val="minor"/>
    </font>
  </fonts>
  <fills count="21">
    <fill>
      <patternFill patternType="none"/>
    </fill>
    <fill>
      <patternFill patternType="gray125"/>
    </fill>
    <fill>
      <patternFill patternType="solid">
        <fgColor theme="9" tint="0.59999389629810485"/>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C4BD97"/>
        <bgColor rgb="FF000000"/>
      </patternFill>
    </fill>
    <fill>
      <patternFill patternType="solid">
        <fgColor rgb="FFDDD9C4"/>
        <bgColor rgb="FF000000"/>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9"/>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indexed="64"/>
      </patternFill>
    </fill>
  </fills>
  <borders count="4">
    <border>
      <left/>
      <right/>
      <top/>
      <bottom/>
      <diagonal/>
    </border>
    <border>
      <left/>
      <right/>
      <top/>
      <bottom style="thin">
        <color auto="1"/>
      </bottom>
      <diagonal/>
    </border>
    <border>
      <left/>
      <right/>
      <top style="thin">
        <color auto="1"/>
      </top>
      <bottom style="thin">
        <color auto="1"/>
      </bottom>
      <diagonal/>
    </border>
    <border>
      <left/>
      <right/>
      <top style="thin">
        <color auto="1"/>
      </top>
      <bottom/>
      <diagonal/>
    </border>
  </borders>
  <cellStyleXfs count="2142">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55">
    <xf numFmtId="0" fontId="0" fillId="0" borderId="0" xfId="0"/>
    <xf numFmtId="0" fontId="3" fillId="0" borderId="0" xfId="0" applyFont="1"/>
    <xf numFmtId="11" fontId="0" fillId="0" borderId="0" xfId="0" applyNumberFormat="1"/>
    <xf numFmtId="0" fontId="0" fillId="0" borderId="0" xfId="0" applyFill="1"/>
    <xf numFmtId="0" fontId="0" fillId="2" borderId="0" xfId="0" applyFill="1"/>
    <xf numFmtId="0" fontId="0" fillId="0" borderId="0" xfId="0" applyAlignment="1">
      <alignment wrapText="1"/>
    </xf>
    <xf numFmtId="0" fontId="4" fillId="0" borderId="0" xfId="0" applyFont="1"/>
    <xf numFmtId="0" fontId="5" fillId="0" borderId="0" xfId="0" applyFont="1"/>
    <xf numFmtId="0" fontId="0" fillId="0" borderId="0" xfId="0" applyFill="1" applyAlignment="1">
      <alignment wrapText="1"/>
    </xf>
    <xf numFmtId="11" fontId="0" fillId="0" borderId="0" xfId="0" applyNumberFormat="1" applyFill="1"/>
    <xf numFmtId="0" fontId="3" fillId="0" borderId="0" xfId="0" applyFont="1" applyAlignment="1">
      <alignment wrapText="1"/>
    </xf>
    <xf numFmtId="0" fontId="4" fillId="0" borderId="0" xfId="0" applyFont="1" applyAlignment="1"/>
    <xf numFmtId="0" fontId="0" fillId="0" borderId="0" xfId="0" applyAlignment="1"/>
    <xf numFmtId="0" fontId="3" fillId="0" borderId="0" xfId="0" applyFont="1" applyFill="1"/>
    <xf numFmtId="0" fontId="0" fillId="12" borderId="0" xfId="0" applyFill="1"/>
    <xf numFmtId="0" fontId="0" fillId="13" borderId="0" xfId="0" applyFill="1"/>
    <xf numFmtId="0" fontId="0" fillId="13" borderId="0" xfId="0" applyFill="1" applyAlignment="1">
      <alignment wrapText="1"/>
    </xf>
    <xf numFmtId="0" fontId="0" fillId="13" borderId="0" xfId="0" applyFont="1" applyFill="1" applyAlignment="1">
      <alignment wrapText="1"/>
    </xf>
    <xf numFmtId="0" fontId="0" fillId="15" borderId="0" xfId="0" applyFill="1"/>
    <xf numFmtId="0" fontId="0" fillId="16" borderId="0" xfId="0" applyFill="1"/>
    <xf numFmtId="0" fontId="0" fillId="16" borderId="0" xfId="0" applyFill="1" applyAlignment="1">
      <alignment horizontal="right"/>
    </xf>
    <xf numFmtId="0" fontId="0" fillId="0" borderId="0" xfId="0" applyFill="1" applyAlignment="1">
      <alignment horizontal="right"/>
    </xf>
    <xf numFmtId="0" fontId="3" fillId="0" borderId="0" xfId="0" applyFont="1" applyFill="1" applyAlignment="1">
      <alignment wrapText="1"/>
    </xf>
    <xf numFmtId="0" fontId="0" fillId="0" borderId="0" xfId="0" applyFont="1" applyFill="1" applyAlignment="1">
      <alignment wrapText="1"/>
    </xf>
    <xf numFmtId="0" fontId="0" fillId="17" borderId="0" xfId="0" applyFill="1"/>
    <xf numFmtId="0" fontId="0" fillId="0" borderId="0" xfId="0" applyFont="1" applyFill="1"/>
    <xf numFmtId="0" fontId="7" fillId="0" borderId="0" xfId="0" applyFont="1" applyFill="1"/>
    <xf numFmtId="0" fontId="0" fillId="15" borderId="0" xfId="0" applyFont="1" applyFill="1"/>
    <xf numFmtId="0" fontId="8" fillId="0" borderId="0" xfId="0" applyFont="1"/>
    <xf numFmtId="0" fontId="5" fillId="0" borderId="0" xfId="0" applyFont="1" applyFill="1"/>
    <xf numFmtId="0" fontId="0" fillId="19" borderId="0" xfId="0" applyFill="1"/>
    <xf numFmtId="0" fontId="0" fillId="20" borderId="0" xfId="0" applyFill="1"/>
    <xf numFmtId="0" fontId="4" fillId="0" borderId="0" xfId="0" applyFont="1" applyAlignment="1">
      <alignment wrapText="1"/>
    </xf>
    <xf numFmtId="0" fontId="0" fillId="14" borderId="0" xfId="0" applyFill="1" applyAlignment="1">
      <alignment wrapText="1"/>
    </xf>
    <xf numFmtId="0" fontId="0" fillId="0" borderId="0" xfId="0" applyBorder="1"/>
    <xf numFmtId="0" fontId="0" fillId="0" borderId="0" xfId="0" applyBorder="1" applyAlignment="1">
      <alignment wrapText="1"/>
    </xf>
    <xf numFmtId="0" fontId="0" fillId="15" borderId="0" xfId="0" applyFill="1" applyAlignment="1">
      <alignment wrapText="1"/>
    </xf>
    <xf numFmtId="0" fontId="0" fillId="14" borderId="0" xfId="0" applyFill="1" applyBorder="1" applyAlignment="1">
      <alignment wrapText="1"/>
    </xf>
    <xf numFmtId="0" fontId="0" fillId="2" borderId="0" xfId="0" applyFill="1" applyBorder="1"/>
    <xf numFmtId="0" fontId="0" fillId="0" borderId="0" xfId="0" applyAlignment="1">
      <alignment horizontal="left" vertical="center"/>
    </xf>
    <xf numFmtId="0" fontId="4" fillId="0" borderId="0" xfId="0" applyFont="1" applyAlignment="1">
      <alignment horizontal="left" vertical="center"/>
    </xf>
    <xf numFmtId="0" fontId="5" fillId="0" borderId="0" xfId="0" applyFont="1" applyAlignment="1">
      <alignment horizontal="left" vertical="center"/>
    </xf>
    <xf numFmtId="0" fontId="0" fillId="11" borderId="1" xfId="0" applyFill="1" applyBorder="1" applyAlignment="1">
      <alignment horizontal="center" vertical="center" wrapText="1"/>
    </xf>
    <xf numFmtId="0" fontId="0" fillId="8" borderId="1" xfId="0" applyFill="1" applyBorder="1" applyAlignment="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0" fillId="11" borderId="2" xfId="0" applyFill="1" applyBorder="1" applyAlignment="1">
      <alignment horizontal="center" vertical="center" wrapText="1"/>
    </xf>
    <xf numFmtId="0" fontId="0" fillId="8" borderId="2" xfId="0" applyFill="1" applyBorder="1" applyAlignment="1">
      <alignment horizontal="center" vertical="center"/>
    </xf>
    <xf numFmtId="0" fontId="4" fillId="0" borderId="0" xfId="0" applyFont="1" applyAlignment="1">
      <alignment horizontal="center" vertical="center"/>
    </xf>
    <xf numFmtId="11" fontId="0" fillId="0" borderId="0" xfId="0" applyNumberFormat="1" applyAlignment="1">
      <alignment horizontal="center" vertical="center"/>
    </xf>
    <xf numFmtId="11" fontId="0" fillId="8" borderId="1" xfId="0" applyNumberFormat="1" applyFill="1" applyBorder="1" applyAlignment="1">
      <alignment horizontal="center" vertical="center"/>
    </xf>
    <xf numFmtId="0" fontId="0" fillId="8" borderId="3" xfId="0" applyFill="1" applyBorder="1" applyAlignment="1">
      <alignment horizontal="center" vertical="center"/>
    </xf>
    <xf numFmtId="0" fontId="0" fillId="11" borderId="3" xfId="0" applyFill="1" applyBorder="1" applyAlignment="1">
      <alignment horizontal="center" vertical="center" wrapText="1"/>
    </xf>
    <xf numFmtId="0" fontId="3" fillId="0" borderId="0" xfId="0" applyFont="1" applyAlignment="1">
      <alignment horizontal="center" vertical="center"/>
    </xf>
    <xf numFmtId="0" fontId="5" fillId="0" borderId="0" xfId="0" applyFont="1" applyAlignment="1">
      <alignment horizontal="center" vertical="center"/>
    </xf>
    <xf numFmtId="0" fontId="0" fillId="0" borderId="0" xfId="0" applyFill="1" applyAlignment="1">
      <alignment horizontal="center" vertical="center" wrapText="1"/>
    </xf>
    <xf numFmtId="11" fontId="0" fillId="0" borderId="0" xfId="0" applyNumberFormat="1" applyFill="1" applyAlignment="1">
      <alignment horizontal="center" vertical="center"/>
    </xf>
    <xf numFmtId="0" fontId="0" fillId="0" borderId="0" xfId="0" applyAlignment="1">
      <alignment horizontal="center" vertical="center" wrapText="1"/>
    </xf>
    <xf numFmtId="0" fontId="0" fillId="14" borderId="0" xfId="0" applyFill="1" applyAlignment="1">
      <alignment horizontal="center" vertical="center"/>
    </xf>
    <xf numFmtId="0" fontId="0" fillId="15" borderId="0" xfId="0" applyFill="1" applyAlignment="1">
      <alignment horizontal="center" vertical="center"/>
    </xf>
    <xf numFmtId="0" fontId="0" fillId="13" borderId="0" xfId="0" applyFill="1" applyAlignment="1">
      <alignment horizontal="center" vertical="center"/>
    </xf>
    <xf numFmtId="0" fontId="6" fillId="19" borderId="0" xfId="0" applyFont="1" applyFill="1" applyAlignment="1">
      <alignment horizontal="center" vertical="center"/>
    </xf>
    <xf numFmtId="0" fontId="0" fillId="11" borderId="0" xfId="0" applyFill="1" applyAlignment="1">
      <alignment horizontal="center" vertical="center"/>
    </xf>
    <xf numFmtId="0" fontId="0" fillId="0" borderId="3" xfId="0" applyFill="1" applyBorder="1" applyAlignment="1">
      <alignment horizontal="center" vertical="center" wrapText="1"/>
    </xf>
    <xf numFmtId="0" fontId="0" fillId="11" borderId="0" xfId="0" applyFill="1" applyBorder="1" applyAlignment="1">
      <alignment horizontal="center" vertical="center" wrapText="1"/>
    </xf>
    <xf numFmtId="0" fontId="0" fillId="8" borderId="0" xfId="0" applyFill="1" applyBorder="1" applyAlignment="1">
      <alignment horizontal="center" vertical="center"/>
    </xf>
    <xf numFmtId="0" fontId="0" fillId="11" borderId="0" xfId="0" applyFill="1" applyBorder="1" applyAlignment="1">
      <alignment horizontal="center" vertical="center"/>
    </xf>
    <xf numFmtId="0" fontId="0" fillId="4" borderId="0" xfId="0" applyFill="1" applyBorder="1" applyAlignment="1">
      <alignment horizontal="center" vertical="center" wrapText="1"/>
    </xf>
    <xf numFmtId="11" fontId="0" fillId="3" borderId="0" xfId="0" applyNumberFormat="1" applyFill="1" applyBorder="1" applyAlignment="1">
      <alignment horizontal="center" vertical="center"/>
    </xf>
    <xf numFmtId="0" fontId="5" fillId="9" borderId="0" xfId="0" applyFont="1" applyFill="1" applyBorder="1" applyAlignment="1">
      <alignment horizontal="center" vertical="center" wrapText="1"/>
    </xf>
    <xf numFmtId="11" fontId="5" fillId="10" borderId="0" xfId="0" applyNumberFormat="1" applyFont="1" applyFill="1" applyBorder="1" applyAlignment="1">
      <alignment horizontal="center" vertical="center"/>
    </xf>
    <xf numFmtId="0" fontId="0" fillId="2" borderId="0" xfId="0" applyFill="1" applyBorder="1" applyAlignment="1">
      <alignment horizontal="center" vertical="center"/>
    </xf>
    <xf numFmtId="0" fontId="0" fillId="5" borderId="0" xfId="0" applyFill="1" applyBorder="1" applyAlignment="1">
      <alignment horizontal="center" vertical="center"/>
    </xf>
    <xf numFmtId="0" fontId="0" fillId="0" borderId="0" xfId="0" applyBorder="1" applyAlignment="1">
      <alignment horizontal="left" vertical="center"/>
    </xf>
    <xf numFmtId="0" fontId="0" fillId="0" borderId="0" xfId="0" applyBorder="1" applyAlignment="1">
      <alignment horizontal="center" vertical="center"/>
    </xf>
    <xf numFmtId="11" fontId="0" fillId="5" borderId="0" xfId="0" applyNumberFormat="1" applyFill="1" applyBorder="1" applyAlignment="1">
      <alignment horizontal="center" vertical="center"/>
    </xf>
    <xf numFmtId="0" fontId="4" fillId="0" borderId="0" xfId="0" applyFont="1" applyBorder="1"/>
    <xf numFmtId="0" fontId="0" fillId="7" borderId="0" xfId="0" applyFill="1" applyBorder="1" applyAlignment="1">
      <alignment horizontal="center" vertical="center" wrapText="1"/>
    </xf>
    <xf numFmtId="0" fontId="0" fillId="6" borderId="0" xfId="0" applyFill="1" applyBorder="1" applyAlignment="1">
      <alignment horizontal="center" vertical="center" wrapText="1"/>
    </xf>
    <xf numFmtId="0" fontId="0" fillId="0" borderId="0" xfId="0" applyBorder="1" applyAlignment="1">
      <alignment horizontal="center" vertical="center" wrapText="1"/>
    </xf>
    <xf numFmtId="0" fontId="0" fillId="0" borderId="0" xfId="0" applyFill="1" applyBorder="1" applyAlignment="1">
      <alignment horizontal="center" vertical="center" wrapText="1"/>
    </xf>
    <xf numFmtId="11" fontId="0" fillId="6" borderId="0" xfId="0" applyNumberFormat="1" applyFill="1" applyBorder="1" applyAlignment="1">
      <alignment horizontal="center" vertical="center" wrapText="1"/>
    </xf>
    <xf numFmtId="0" fontId="0" fillId="0" borderId="0" xfId="0" applyBorder="1" applyAlignment="1">
      <alignment horizontal="left"/>
    </xf>
    <xf numFmtId="0" fontId="0" fillId="8" borderId="1" xfId="0" applyNumberFormat="1" applyFill="1" applyBorder="1" applyAlignment="1">
      <alignment horizontal="center" vertical="center"/>
    </xf>
    <xf numFmtId="0" fontId="0" fillId="8" borderId="2" xfId="0" applyNumberFormat="1" applyFill="1" applyBorder="1" applyAlignment="1">
      <alignment horizontal="center" vertical="center"/>
    </xf>
    <xf numFmtId="0" fontId="0" fillId="0" borderId="2" xfId="0" applyBorder="1" applyAlignment="1">
      <alignment horizontal="center" vertical="center" wrapText="1"/>
    </xf>
    <xf numFmtId="0" fontId="0" fillId="0" borderId="2" xfId="0" applyBorder="1" applyAlignment="1">
      <alignment horizontal="center" vertical="center"/>
    </xf>
    <xf numFmtId="0" fontId="0" fillId="0" borderId="2" xfId="0" applyFill="1" applyBorder="1" applyAlignment="1">
      <alignment horizontal="center" vertical="center" wrapText="1"/>
    </xf>
    <xf numFmtId="0" fontId="0" fillId="0" borderId="3" xfId="0" applyBorder="1" applyAlignment="1">
      <alignment horizontal="center" vertical="center"/>
    </xf>
    <xf numFmtId="11" fontId="0" fillId="0" borderId="2" xfId="0" applyNumberFormat="1" applyBorder="1" applyAlignment="1">
      <alignment horizontal="center" vertical="center"/>
    </xf>
    <xf numFmtId="0" fontId="0" fillId="0" borderId="3" xfId="0" applyBorder="1" applyAlignment="1">
      <alignment horizontal="center" vertical="center" wrapText="1"/>
    </xf>
    <xf numFmtId="0" fontId="0" fillId="11" borderId="0" xfId="0" applyFill="1" applyAlignment="1">
      <alignment horizontal="center" vertical="center" wrapText="1"/>
    </xf>
    <xf numFmtId="0" fontId="0" fillId="8" borderId="0" xfId="0" applyFill="1" applyAlignment="1">
      <alignment horizontal="center" vertical="center"/>
    </xf>
    <xf numFmtId="0" fontId="4" fillId="0" borderId="0" xfId="0" applyFont="1" applyBorder="1" applyAlignment="1">
      <alignment horizontal="left"/>
    </xf>
    <xf numFmtId="0" fontId="0" fillId="11" borderId="1" xfId="0" applyFont="1" applyFill="1" applyBorder="1" applyAlignment="1">
      <alignment horizontal="center" vertical="center" wrapText="1"/>
    </xf>
    <xf numFmtId="0" fontId="0" fillId="11" borderId="2" xfId="0" applyFont="1" applyFill="1" applyBorder="1" applyAlignment="1">
      <alignment horizontal="center" vertical="center" wrapText="1"/>
    </xf>
    <xf numFmtId="0" fontId="0" fillId="14" borderId="0" xfId="0" applyFill="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left" vertical="top" wrapText="1"/>
    </xf>
    <xf numFmtId="0" fontId="3" fillId="0" borderId="0" xfId="0" applyFont="1" applyAlignment="1">
      <alignment horizontal="left" wrapText="1"/>
    </xf>
    <xf numFmtId="0" fontId="0" fillId="18" borderId="0" xfId="0" applyFill="1" applyAlignment="1">
      <alignment wrapText="1"/>
    </xf>
    <xf numFmtId="0" fontId="6" fillId="11" borderId="2" xfId="0" applyFont="1" applyFill="1" applyBorder="1" applyAlignment="1">
      <alignment horizontal="center" vertical="center" wrapText="1"/>
    </xf>
    <xf numFmtId="0" fontId="6" fillId="8" borderId="2" xfId="0" applyFont="1" applyFill="1" applyBorder="1" applyAlignment="1">
      <alignment horizontal="center" vertical="center"/>
    </xf>
    <xf numFmtId="0" fontId="0" fillId="0" borderId="0" xfId="0" applyAlignment="1">
      <alignment vertical="center"/>
    </xf>
    <xf numFmtId="0" fontId="6" fillId="0" borderId="0" xfId="0" applyFont="1" applyAlignment="1">
      <alignment horizontal="center" vertical="center"/>
    </xf>
    <xf numFmtId="0" fontId="6"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3" xfId="0" applyNumberFormat="1" applyFill="1" applyBorder="1" applyAlignment="1">
      <alignment horizontal="center" vertical="center"/>
    </xf>
    <xf numFmtId="11" fontId="0" fillId="8" borderId="0" xfId="0" applyNumberFormat="1" applyFill="1" applyAlignment="1">
      <alignment horizontal="center" vertical="center"/>
    </xf>
    <xf numFmtId="0" fontId="0" fillId="5" borderId="0" xfId="0" applyNumberFormat="1" applyFill="1" applyBorder="1" applyAlignment="1">
      <alignment horizontal="center" vertical="center"/>
    </xf>
    <xf numFmtId="0" fontId="5" fillId="0" borderId="0" xfId="0" applyFont="1" applyAlignment="1">
      <alignment wrapText="1"/>
    </xf>
    <xf numFmtId="0" fontId="0" fillId="12" borderId="0" xfId="0" applyFill="1" applyAlignment="1">
      <alignment wrapText="1"/>
    </xf>
    <xf numFmtId="0" fontId="0" fillId="0" borderId="2" xfId="0" applyBorder="1"/>
    <xf numFmtId="0" fontId="0" fillId="0" borderId="2" xfId="0" applyBorder="1" applyAlignment="1">
      <alignment wrapText="1"/>
    </xf>
    <xf numFmtId="0" fontId="0" fillId="20" borderId="2" xfId="0" applyFill="1" applyBorder="1" applyAlignment="1">
      <alignment horizontal="center" vertical="center"/>
    </xf>
    <xf numFmtId="0" fontId="0" fillId="19" borderId="2" xfId="0" applyFill="1" applyBorder="1" applyAlignment="1">
      <alignment horizontal="center" vertical="center" wrapText="1"/>
    </xf>
    <xf numFmtId="0" fontId="0" fillId="0" borderId="3" xfId="0" applyFill="1" applyBorder="1" applyAlignment="1">
      <alignment vertical="center" wrapText="1"/>
    </xf>
    <xf numFmtId="0" fontId="0" fillId="0" borderId="0" xfId="0" applyFill="1" applyAlignment="1"/>
    <xf numFmtId="0" fontId="0" fillId="0" borderId="0" xfId="0" applyAlignment="1">
      <alignment vertical="center" wrapText="1"/>
    </xf>
    <xf numFmtId="0" fontId="0" fillId="0" borderId="0" xfId="0" applyBorder="1" applyAlignment="1">
      <alignment vertical="center"/>
    </xf>
    <xf numFmtId="0" fontId="1" fillId="0" borderId="0" xfId="2019" applyFill="1" applyAlignment="1">
      <alignment vertical="center"/>
    </xf>
    <xf numFmtId="0" fontId="3" fillId="0" borderId="0" xfId="0" applyFont="1" applyFill="1" applyAlignment="1"/>
    <xf numFmtId="0" fontId="0" fillId="12" borderId="0" xfId="0" applyFill="1" applyAlignment="1"/>
    <xf numFmtId="0" fontId="0" fillId="13" borderId="0" xfId="0" applyFill="1" applyAlignment="1"/>
    <xf numFmtId="0" fontId="0" fillId="20" borderId="0" xfId="0" applyFill="1" applyAlignment="1"/>
    <xf numFmtId="0" fontId="0" fillId="19" borderId="0" xfId="0" applyFill="1" applyAlignment="1"/>
    <xf numFmtId="0" fontId="0" fillId="0" borderId="0" xfId="0" applyFill="1" applyBorder="1" applyAlignment="1">
      <alignment horizontal="left" vertical="center"/>
    </xf>
    <xf numFmtId="0" fontId="0" fillId="0" borderId="0" xfId="0" applyAlignment="1">
      <alignment horizontal="left"/>
    </xf>
    <xf numFmtId="0" fontId="4" fillId="0" borderId="0" xfId="0" applyFont="1" applyAlignment="1">
      <alignment horizontal="center" wrapText="1"/>
    </xf>
    <xf numFmtId="0" fontId="0" fillId="0" borderId="0" xfId="0" applyAlignment="1">
      <alignment horizontal="center"/>
    </xf>
    <xf numFmtId="0" fontId="0" fillId="0" borderId="0" xfId="0" applyAlignment="1">
      <alignment horizontal="center" wrapText="1"/>
    </xf>
    <xf numFmtId="11" fontId="0" fillId="0" borderId="2" xfId="0" applyNumberFormat="1" applyFill="1" applyBorder="1" applyAlignment="1">
      <alignment vertical="center"/>
    </xf>
    <xf numFmtId="0" fontId="0" fillId="8" borderId="2" xfId="0" applyFill="1" applyBorder="1" applyAlignment="1">
      <alignment vertical="center"/>
    </xf>
    <xf numFmtId="0" fontId="0" fillId="0" borderId="3" xfId="0" applyBorder="1" applyAlignment="1">
      <alignment vertical="center"/>
    </xf>
    <xf numFmtId="0" fontId="0" fillId="13" borderId="0" xfId="0" applyFill="1" applyAlignment="1">
      <alignment horizontal="left"/>
    </xf>
    <xf numFmtId="0" fontId="0" fillId="15" borderId="0" xfId="0" applyFill="1" applyAlignment="1">
      <alignment horizontal="left"/>
    </xf>
    <xf numFmtId="0" fontId="0" fillId="8" borderId="1" xfId="0" applyNumberFormat="1" applyFill="1" applyBorder="1" applyAlignment="1">
      <alignment vertical="center"/>
    </xf>
    <xf numFmtId="0" fontId="0" fillId="8" borderId="2" xfId="0" applyNumberFormat="1" applyFill="1" applyBorder="1" applyAlignment="1">
      <alignment vertical="center"/>
    </xf>
    <xf numFmtId="0" fontId="0" fillId="0" borderId="0" xfId="0" applyNumberFormat="1" applyFill="1" applyBorder="1" applyAlignment="1">
      <alignment horizontal="center" vertical="center" wrapText="1"/>
    </xf>
    <xf numFmtId="0" fontId="0" fillId="0" borderId="0" xfId="0" applyFont="1" applyFill="1" applyBorder="1" applyAlignment="1">
      <alignment horizontal="center" vertical="center" wrapText="1"/>
    </xf>
    <xf numFmtId="0" fontId="0" fillId="2" borderId="0" xfId="0" applyFill="1" applyAlignment="1">
      <alignment horizontal="center" vertical="center"/>
    </xf>
    <xf numFmtId="0" fontId="0" fillId="8" borderId="0" xfId="0" applyNumberFormat="1" applyFill="1" applyBorder="1" applyAlignment="1">
      <alignment horizontal="center" vertical="center" wrapText="1"/>
    </xf>
    <xf numFmtId="0" fontId="5" fillId="0" borderId="0" xfId="0" applyFont="1" applyAlignment="1">
      <alignment vertical="center"/>
    </xf>
    <xf numFmtId="0" fontId="0" fillId="0" borderId="0" xfId="0" applyFill="1" applyAlignment="1">
      <alignment vertical="center"/>
    </xf>
    <xf numFmtId="0" fontId="6" fillId="7" borderId="0" xfId="0" applyFont="1" applyFill="1" applyAlignment="1">
      <alignment horizontal="center" vertical="center"/>
    </xf>
    <xf numFmtId="0" fontId="0" fillId="4" borderId="0" xfId="0" applyFill="1" applyAlignment="1">
      <alignment horizontal="center" vertical="center"/>
    </xf>
    <xf numFmtId="0" fontId="0" fillId="0" borderId="2" xfId="0" applyNumberFormat="1" applyFill="1" applyBorder="1" applyAlignment="1">
      <alignment horizontal="center" vertical="center"/>
    </xf>
    <xf numFmtId="11" fontId="0" fillId="8" borderId="2" xfId="0" applyNumberFormat="1" applyFill="1" applyBorder="1" applyAlignment="1">
      <alignment horizontal="center" vertical="center"/>
    </xf>
    <xf numFmtId="0" fontId="0" fillId="0" borderId="2" xfId="0" applyBorder="1" applyAlignment="1">
      <alignment horizontal="left"/>
    </xf>
    <xf numFmtId="0" fontId="5" fillId="0" borderId="2" xfId="0" applyFont="1" applyBorder="1" applyAlignment="1">
      <alignment horizontal="center" vertical="center" wrapText="1"/>
    </xf>
    <xf numFmtId="11" fontId="5" fillId="0" borderId="2" xfId="0" applyNumberFormat="1" applyFont="1" applyBorder="1" applyAlignment="1">
      <alignment horizontal="center" vertical="center"/>
    </xf>
    <xf numFmtId="11" fontId="5" fillId="0" borderId="0" xfId="0" applyNumberFormat="1" applyFont="1" applyAlignment="1">
      <alignment horizontal="center" vertical="center"/>
    </xf>
    <xf numFmtId="0" fontId="0" fillId="8" borderId="0" xfId="0" applyFill="1" applyBorder="1" applyAlignment="1">
      <alignment vertical="center"/>
    </xf>
    <xf numFmtId="0" fontId="0" fillId="11" borderId="0" xfId="0" applyFill="1" applyAlignment="1">
      <alignment horizontal="center" wrapText="1"/>
    </xf>
    <xf numFmtId="0" fontId="0" fillId="8" borderId="3" xfId="0" applyFill="1" applyBorder="1" applyAlignment="1">
      <alignment vertical="center"/>
    </xf>
  </cellXfs>
  <cellStyles count="214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90" builtinId="9" hidden="1"/>
    <cellStyle name="Followed Hyperlink" xfId="1192" builtinId="9" hidden="1"/>
    <cellStyle name="Followed Hyperlink" xfId="1194" builtinId="9" hidden="1"/>
    <cellStyle name="Followed Hyperlink" xfId="1196" builtinId="9" hidden="1"/>
    <cellStyle name="Followed Hyperlink" xfId="1198" builtinId="9" hidden="1"/>
    <cellStyle name="Followed Hyperlink" xfId="1200" builtinId="9" hidden="1"/>
    <cellStyle name="Followed Hyperlink" xfId="1202" builtinId="9" hidden="1"/>
    <cellStyle name="Followed Hyperlink" xfId="1204" builtinId="9" hidden="1"/>
    <cellStyle name="Followed Hyperlink" xfId="1206" builtinId="9" hidden="1"/>
    <cellStyle name="Followed Hyperlink" xfId="1208" builtinId="9" hidden="1"/>
    <cellStyle name="Followed Hyperlink" xfId="1210" builtinId="9" hidden="1"/>
    <cellStyle name="Followed Hyperlink" xfId="1212" builtinId="9" hidden="1"/>
    <cellStyle name="Followed Hyperlink" xfId="1214" builtinId="9" hidden="1"/>
    <cellStyle name="Followed Hyperlink" xfId="1216" builtinId="9" hidden="1"/>
    <cellStyle name="Followed Hyperlink" xfId="1218" builtinId="9" hidden="1"/>
    <cellStyle name="Followed Hyperlink" xfId="1220" builtinId="9" hidden="1"/>
    <cellStyle name="Followed Hyperlink" xfId="1222" builtinId="9" hidden="1"/>
    <cellStyle name="Followed Hyperlink" xfId="1224" builtinId="9" hidden="1"/>
    <cellStyle name="Followed Hyperlink" xfId="1226" builtinId="9" hidden="1"/>
    <cellStyle name="Followed Hyperlink" xfId="1228" builtinId="9" hidden="1"/>
    <cellStyle name="Followed Hyperlink" xfId="1230" builtinId="9" hidden="1"/>
    <cellStyle name="Followed Hyperlink" xfId="1232" builtinId="9" hidden="1"/>
    <cellStyle name="Followed Hyperlink" xfId="1234" builtinId="9" hidden="1"/>
    <cellStyle name="Followed Hyperlink" xfId="1236" builtinId="9" hidden="1"/>
    <cellStyle name="Followed Hyperlink" xfId="1238" builtinId="9" hidden="1"/>
    <cellStyle name="Followed Hyperlink" xfId="1240" builtinId="9" hidden="1"/>
    <cellStyle name="Followed Hyperlink" xfId="1242" builtinId="9" hidden="1"/>
    <cellStyle name="Followed Hyperlink" xfId="1244" builtinId="9" hidden="1"/>
    <cellStyle name="Followed Hyperlink" xfId="1246" builtinId="9" hidden="1"/>
    <cellStyle name="Followed Hyperlink" xfId="1248" builtinId="9" hidden="1"/>
    <cellStyle name="Followed Hyperlink" xfId="1250" builtinId="9" hidden="1"/>
    <cellStyle name="Followed Hyperlink" xfId="1252" builtinId="9" hidden="1"/>
    <cellStyle name="Followed Hyperlink" xfId="1254" builtinId="9" hidden="1"/>
    <cellStyle name="Followed Hyperlink" xfId="1256" builtinId="9" hidden="1"/>
    <cellStyle name="Followed Hyperlink" xfId="1258" builtinId="9" hidden="1"/>
    <cellStyle name="Followed Hyperlink" xfId="1260" builtinId="9" hidden="1"/>
    <cellStyle name="Followed Hyperlink" xfId="1262" builtinId="9" hidden="1"/>
    <cellStyle name="Followed Hyperlink" xfId="1264" builtinId="9" hidden="1"/>
    <cellStyle name="Followed Hyperlink" xfId="1266" builtinId="9" hidden="1"/>
    <cellStyle name="Followed Hyperlink" xfId="1268" builtinId="9" hidden="1"/>
    <cellStyle name="Followed Hyperlink" xfId="1270" builtinId="9" hidden="1"/>
    <cellStyle name="Followed Hyperlink" xfId="1272" builtinId="9" hidden="1"/>
    <cellStyle name="Followed Hyperlink" xfId="1274" builtinId="9" hidden="1"/>
    <cellStyle name="Followed Hyperlink" xfId="1276" builtinId="9" hidden="1"/>
    <cellStyle name="Followed Hyperlink" xfId="1278" builtinId="9" hidden="1"/>
    <cellStyle name="Followed Hyperlink" xfId="1280" builtinId="9" hidden="1"/>
    <cellStyle name="Followed Hyperlink" xfId="1282" builtinId="9" hidden="1"/>
    <cellStyle name="Followed Hyperlink" xfId="1284" builtinId="9" hidden="1"/>
    <cellStyle name="Followed Hyperlink" xfId="1286" builtinId="9" hidden="1"/>
    <cellStyle name="Followed Hyperlink" xfId="1288" builtinId="9" hidden="1"/>
    <cellStyle name="Followed Hyperlink" xfId="1290" builtinId="9" hidden="1"/>
    <cellStyle name="Followed Hyperlink" xfId="1292" builtinId="9" hidden="1"/>
    <cellStyle name="Followed Hyperlink" xfId="1294" builtinId="9" hidden="1"/>
    <cellStyle name="Followed Hyperlink" xfId="1296" builtinId="9" hidden="1"/>
    <cellStyle name="Followed Hyperlink" xfId="1298" builtinId="9" hidden="1"/>
    <cellStyle name="Followed Hyperlink" xfId="1300" builtinId="9" hidden="1"/>
    <cellStyle name="Followed Hyperlink" xfId="1302" builtinId="9" hidden="1"/>
    <cellStyle name="Followed Hyperlink" xfId="1304" builtinId="9" hidden="1"/>
    <cellStyle name="Followed Hyperlink" xfId="1306" builtinId="9" hidden="1"/>
    <cellStyle name="Followed Hyperlink" xfId="1308" builtinId="9" hidden="1"/>
    <cellStyle name="Followed Hyperlink" xfId="1310" builtinId="9" hidden="1"/>
    <cellStyle name="Followed Hyperlink" xfId="1312" builtinId="9" hidden="1"/>
    <cellStyle name="Followed Hyperlink" xfId="1314" builtinId="9" hidden="1"/>
    <cellStyle name="Followed Hyperlink" xfId="1316" builtinId="9" hidden="1"/>
    <cellStyle name="Followed Hyperlink" xfId="1318" builtinId="9" hidden="1"/>
    <cellStyle name="Followed Hyperlink" xfId="1320" builtinId="9" hidden="1"/>
    <cellStyle name="Followed Hyperlink" xfId="1322" builtinId="9" hidden="1"/>
    <cellStyle name="Followed Hyperlink" xfId="1324" builtinId="9" hidden="1"/>
    <cellStyle name="Followed Hyperlink" xfId="1326" builtinId="9" hidden="1"/>
    <cellStyle name="Followed Hyperlink" xfId="1328" builtinId="9" hidden="1"/>
    <cellStyle name="Followed Hyperlink" xfId="1330" builtinId="9" hidden="1"/>
    <cellStyle name="Followed Hyperlink" xfId="1332" builtinId="9" hidden="1"/>
    <cellStyle name="Followed Hyperlink" xfId="1334" builtinId="9" hidden="1"/>
    <cellStyle name="Followed Hyperlink" xfId="1336" builtinId="9" hidden="1"/>
    <cellStyle name="Followed Hyperlink" xfId="1338" builtinId="9" hidden="1"/>
    <cellStyle name="Followed Hyperlink" xfId="1340" builtinId="9" hidden="1"/>
    <cellStyle name="Followed Hyperlink" xfId="1342" builtinId="9" hidden="1"/>
    <cellStyle name="Followed Hyperlink" xfId="1344"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548" builtinId="9" hidden="1"/>
    <cellStyle name="Followed Hyperlink" xfId="1550" builtinId="9" hidden="1"/>
    <cellStyle name="Followed Hyperlink" xfId="1552" builtinId="9" hidden="1"/>
    <cellStyle name="Followed Hyperlink" xfId="1554" builtinId="9" hidden="1"/>
    <cellStyle name="Followed Hyperlink" xfId="1556" builtinId="9" hidden="1"/>
    <cellStyle name="Followed Hyperlink" xfId="1558" builtinId="9" hidden="1"/>
    <cellStyle name="Followed Hyperlink" xfId="1560" builtinId="9" hidden="1"/>
    <cellStyle name="Followed Hyperlink" xfId="1562" builtinId="9" hidden="1"/>
    <cellStyle name="Followed Hyperlink" xfId="1564" builtinId="9" hidden="1"/>
    <cellStyle name="Followed Hyperlink" xfId="1566" builtinId="9" hidden="1"/>
    <cellStyle name="Followed Hyperlink" xfId="1568" builtinId="9" hidden="1"/>
    <cellStyle name="Followed Hyperlink" xfId="1570" builtinId="9" hidden="1"/>
    <cellStyle name="Followed Hyperlink" xfId="1572" builtinId="9" hidden="1"/>
    <cellStyle name="Followed Hyperlink" xfId="1574" builtinId="9" hidden="1"/>
    <cellStyle name="Followed Hyperlink" xfId="1576" builtinId="9" hidden="1"/>
    <cellStyle name="Followed Hyperlink" xfId="1578" builtinId="9" hidden="1"/>
    <cellStyle name="Followed Hyperlink" xfId="1580" builtinId="9" hidden="1"/>
    <cellStyle name="Followed Hyperlink" xfId="1582" builtinId="9" hidden="1"/>
    <cellStyle name="Followed Hyperlink" xfId="1584" builtinId="9" hidden="1"/>
    <cellStyle name="Followed Hyperlink" xfId="1586" builtinId="9" hidden="1"/>
    <cellStyle name="Followed Hyperlink" xfId="1588" builtinId="9" hidden="1"/>
    <cellStyle name="Followed Hyperlink" xfId="1590" builtinId="9" hidden="1"/>
    <cellStyle name="Followed Hyperlink" xfId="1592" builtinId="9" hidden="1"/>
    <cellStyle name="Followed Hyperlink" xfId="1594" builtinId="9" hidden="1"/>
    <cellStyle name="Followed Hyperlink" xfId="1596" builtinId="9" hidden="1"/>
    <cellStyle name="Followed Hyperlink" xfId="1598" builtinId="9" hidden="1"/>
    <cellStyle name="Followed Hyperlink" xfId="1600" builtinId="9" hidden="1"/>
    <cellStyle name="Followed Hyperlink" xfId="1602" builtinId="9" hidden="1"/>
    <cellStyle name="Followed Hyperlink" xfId="1604" builtinId="9" hidden="1"/>
    <cellStyle name="Followed Hyperlink" xfId="1606" builtinId="9" hidden="1"/>
    <cellStyle name="Followed Hyperlink" xfId="1608" builtinId="9" hidden="1"/>
    <cellStyle name="Followed Hyperlink" xfId="1610" builtinId="9" hidden="1"/>
    <cellStyle name="Followed Hyperlink" xfId="1612" builtinId="9" hidden="1"/>
    <cellStyle name="Followed Hyperlink" xfId="1614" builtinId="9" hidden="1"/>
    <cellStyle name="Followed Hyperlink" xfId="1616" builtinId="9" hidden="1"/>
    <cellStyle name="Followed Hyperlink" xfId="1618" builtinId="9" hidden="1"/>
    <cellStyle name="Followed Hyperlink" xfId="1620" builtinId="9" hidden="1"/>
    <cellStyle name="Followed Hyperlink" xfId="1622" builtinId="9" hidden="1"/>
    <cellStyle name="Followed Hyperlink" xfId="1624" builtinId="9" hidden="1"/>
    <cellStyle name="Followed Hyperlink" xfId="1626" builtinId="9" hidden="1"/>
    <cellStyle name="Followed Hyperlink" xfId="1628" builtinId="9" hidden="1"/>
    <cellStyle name="Followed Hyperlink" xfId="1630" builtinId="9" hidden="1"/>
    <cellStyle name="Followed Hyperlink" xfId="1632" builtinId="9" hidden="1"/>
    <cellStyle name="Followed Hyperlink" xfId="1634" builtinId="9" hidden="1"/>
    <cellStyle name="Followed Hyperlink" xfId="1636" builtinId="9" hidden="1"/>
    <cellStyle name="Followed Hyperlink" xfId="1638" builtinId="9" hidden="1"/>
    <cellStyle name="Followed Hyperlink" xfId="1640" builtinId="9" hidden="1"/>
    <cellStyle name="Followed Hyperlink" xfId="1642" builtinId="9" hidden="1"/>
    <cellStyle name="Followed Hyperlink" xfId="1644" builtinId="9" hidden="1"/>
    <cellStyle name="Followed Hyperlink" xfId="1646" builtinId="9" hidden="1"/>
    <cellStyle name="Followed Hyperlink" xfId="1648" builtinId="9" hidden="1"/>
    <cellStyle name="Followed Hyperlink" xfId="1650" builtinId="9" hidden="1"/>
    <cellStyle name="Followed Hyperlink" xfId="1652" builtinId="9" hidden="1"/>
    <cellStyle name="Followed Hyperlink" xfId="1654" builtinId="9" hidden="1"/>
    <cellStyle name="Followed Hyperlink" xfId="1656" builtinId="9" hidden="1"/>
    <cellStyle name="Followed Hyperlink" xfId="1658" builtinId="9" hidden="1"/>
    <cellStyle name="Followed Hyperlink" xfId="1660" builtinId="9" hidden="1"/>
    <cellStyle name="Followed Hyperlink" xfId="1662" builtinId="9" hidden="1"/>
    <cellStyle name="Followed Hyperlink" xfId="1664" builtinId="9" hidden="1"/>
    <cellStyle name="Followed Hyperlink" xfId="1666" builtinId="9" hidden="1"/>
    <cellStyle name="Followed Hyperlink" xfId="1668" builtinId="9" hidden="1"/>
    <cellStyle name="Followed Hyperlink" xfId="1670" builtinId="9" hidden="1"/>
    <cellStyle name="Followed Hyperlink" xfId="1672" builtinId="9" hidden="1"/>
    <cellStyle name="Followed Hyperlink" xfId="1674"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4" builtinId="9" hidden="1"/>
    <cellStyle name="Followed Hyperlink" xfId="1686" builtinId="9" hidden="1"/>
    <cellStyle name="Followed Hyperlink" xfId="1688" builtinId="9" hidden="1"/>
    <cellStyle name="Followed Hyperlink" xfId="1690" builtinId="9" hidden="1"/>
    <cellStyle name="Followed Hyperlink" xfId="1692" builtinId="9" hidden="1"/>
    <cellStyle name="Followed Hyperlink" xfId="1694" builtinId="9" hidden="1"/>
    <cellStyle name="Followed Hyperlink" xfId="1696" builtinId="9" hidden="1"/>
    <cellStyle name="Followed Hyperlink" xfId="1698" builtinId="9" hidden="1"/>
    <cellStyle name="Followed Hyperlink" xfId="1700" builtinId="9" hidden="1"/>
    <cellStyle name="Followed Hyperlink" xfId="1702" builtinId="9" hidden="1"/>
    <cellStyle name="Followed Hyperlink" xfId="1704" builtinId="9" hidden="1"/>
    <cellStyle name="Followed Hyperlink" xfId="1706" builtinId="9" hidden="1"/>
    <cellStyle name="Followed Hyperlink" xfId="1708" builtinId="9" hidden="1"/>
    <cellStyle name="Followed Hyperlink" xfId="1710" builtinId="9" hidden="1"/>
    <cellStyle name="Followed Hyperlink" xfId="1712" builtinId="9" hidden="1"/>
    <cellStyle name="Followed Hyperlink" xfId="1714" builtinId="9" hidden="1"/>
    <cellStyle name="Followed Hyperlink" xfId="1716" builtinId="9" hidden="1"/>
    <cellStyle name="Followed Hyperlink" xfId="1718" builtinId="9" hidden="1"/>
    <cellStyle name="Followed Hyperlink" xfId="1720" builtinId="9" hidden="1"/>
    <cellStyle name="Followed Hyperlink" xfId="1722" builtinId="9" hidden="1"/>
    <cellStyle name="Followed Hyperlink" xfId="1724" builtinId="9" hidden="1"/>
    <cellStyle name="Followed Hyperlink" xfId="1726" builtinId="9" hidden="1"/>
    <cellStyle name="Followed Hyperlink" xfId="1728" builtinId="9" hidden="1"/>
    <cellStyle name="Followed Hyperlink" xfId="1730" builtinId="9" hidden="1"/>
    <cellStyle name="Followed Hyperlink" xfId="1732" builtinId="9" hidden="1"/>
    <cellStyle name="Followed Hyperlink" xfId="1734" builtinId="9" hidden="1"/>
    <cellStyle name="Followed Hyperlink" xfId="1736" builtinId="9" hidden="1"/>
    <cellStyle name="Followed Hyperlink" xfId="1738" builtinId="9" hidden="1"/>
    <cellStyle name="Followed Hyperlink" xfId="1740" builtinId="9" hidden="1"/>
    <cellStyle name="Followed Hyperlink" xfId="1742" builtinId="9" hidden="1"/>
    <cellStyle name="Followed Hyperlink" xfId="1744" builtinId="9" hidden="1"/>
    <cellStyle name="Followed Hyperlink" xfId="1746" builtinId="9" hidden="1"/>
    <cellStyle name="Followed Hyperlink" xfId="1748" builtinId="9" hidden="1"/>
    <cellStyle name="Followed Hyperlink" xfId="1750" builtinId="9" hidden="1"/>
    <cellStyle name="Followed Hyperlink" xfId="1752" builtinId="9" hidden="1"/>
    <cellStyle name="Followed Hyperlink" xfId="1754" builtinId="9" hidden="1"/>
    <cellStyle name="Followed Hyperlink" xfId="1756" builtinId="9" hidden="1"/>
    <cellStyle name="Followed Hyperlink" xfId="1758" builtinId="9" hidden="1"/>
    <cellStyle name="Followed Hyperlink" xfId="1760" builtinId="9" hidden="1"/>
    <cellStyle name="Followed Hyperlink" xfId="1762" builtinId="9" hidden="1"/>
    <cellStyle name="Followed Hyperlink" xfId="1764" builtinId="9" hidden="1"/>
    <cellStyle name="Followed Hyperlink" xfId="1766" builtinId="9" hidden="1"/>
    <cellStyle name="Followed Hyperlink" xfId="1768" builtinId="9" hidden="1"/>
    <cellStyle name="Followed Hyperlink" xfId="1770" builtinId="9" hidden="1"/>
    <cellStyle name="Followed Hyperlink" xfId="1772" builtinId="9" hidden="1"/>
    <cellStyle name="Followed Hyperlink" xfId="1774" builtinId="9" hidden="1"/>
    <cellStyle name="Followed Hyperlink" xfId="1776" builtinId="9" hidden="1"/>
    <cellStyle name="Followed Hyperlink" xfId="1778" builtinId="9" hidden="1"/>
    <cellStyle name="Followed Hyperlink" xfId="1780" builtinId="9" hidden="1"/>
    <cellStyle name="Followed Hyperlink" xfId="1782" builtinId="9" hidden="1"/>
    <cellStyle name="Followed Hyperlink" xfId="1784" builtinId="9" hidden="1"/>
    <cellStyle name="Followed Hyperlink" xfId="1786" builtinId="9" hidden="1"/>
    <cellStyle name="Followed Hyperlink" xfId="1788" builtinId="9" hidden="1"/>
    <cellStyle name="Followed Hyperlink" xfId="1790" builtinId="9" hidden="1"/>
    <cellStyle name="Followed Hyperlink" xfId="1792" builtinId="9" hidden="1"/>
    <cellStyle name="Followed Hyperlink" xfId="1794" builtinId="9" hidden="1"/>
    <cellStyle name="Followed Hyperlink" xfId="1796" builtinId="9" hidden="1"/>
    <cellStyle name="Followed Hyperlink" xfId="1798" builtinId="9" hidden="1"/>
    <cellStyle name="Followed Hyperlink" xfId="1800" builtinId="9" hidden="1"/>
    <cellStyle name="Followed Hyperlink" xfId="1802" builtinId="9" hidden="1"/>
    <cellStyle name="Followed Hyperlink" xfId="1804" builtinId="9" hidden="1"/>
    <cellStyle name="Followed Hyperlink" xfId="1806" builtinId="9" hidden="1"/>
    <cellStyle name="Followed Hyperlink" xfId="1808" builtinId="9" hidden="1"/>
    <cellStyle name="Followed Hyperlink" xfId="1810" builtinId="9" hidden="1"/>
    <cellStyle name="Followed Hyperlink" xfId="1812" builtinId="9" hidden="1"/>
    <cellStyle name="Followed Hyperlink" xfId="1814" builtinId="9" hidden="1"/>
    <cellStyle name="Followed Hyperlink" xfId="1816" builtinId="9" hidden="1"/>
    <cellStyle name="Followed Hyperlink" xfId="1818" builtinId="9" hidden="1"/>
    <cellStyle name="Followed Hyperlink" xfId="1820" builtinId="9" hidden="1"/>
    <cellStyle name="Followed Hyperlink" xfId="1822" builtinId="9" hidden="1"/>
    <cellStyle name="Followed Hyperlink" xfId="1824" builtinId="9" hidden="1"/>
    <cellStyle name="Followed Hyperlink" xfId="1826" builtinId="9" hidden="1"/>
    <cellStyle name="Followed Hyperlink" xfId="1828" builtinId="9" hidden="1"/>
    <cellStyle name="Followed Hyperlink" xfId="1830" builtinId="9" hidden="1"/>
    <cellStyle name="Followed Hyperlink" xfId="1832" builtinId="9" hidden="1"/>
    <cellStyle name="Followed Hyperlink" xfId="1834" builtinId="9" hidden="1"/>
    <cellStyle name="Followed Hyperlink" xfId="1836" builtinId="9" hidden="1"/>
    <cellStyle name="Followed Hyperlink" xfId="1838" builtinId="9" hidden="1"/>
    <cellStyle name="Followed Hyperlink" xfId="1840" builtinId="9" hidden="1"/>
    <cellStyle name="Followed Hyperlink" xfId="1842" builtinId="9" hidden="1"/>
    <cellStyle name="Followed Hyperlink" xfId="1844" builtinId="9" hidden="1"/>
    <cellStyle name="Followed Hyperlink" xfId="1846" builtinId="9" hidden="1"/>
    <cellStyle name="Followed Hyperlink" xfId="1848" builtinId="9" hidden="1"/>
    <cellStyle name="Followed Hyperlink" xfId="1850" builtinId="9" hidden="1"/>
    <cellStyle name="Followed Hyperlink" xfId="1852" builtinId="9" hidden="1"/>
    <cellStyle name="Followed Hyperlink" xfId="1854" builtinId="9" hidden="1"/>
    <cellStyle name="Followed Hyperlink" xfId="1856" builtinId="9" hidden="1"/>
    <cellStyle name="Followed Hyperlink" xfId="1858" builtinId="9" hidden="1"/>
    <cellStyle name="Followed Hyperlink" xfId="1860" builtinId="9" hidden="1"/>
    <cellStyle name="Followed Hyperlink" xfId="1862" builtinId="9" hidden="1"/>
    <cellStyle name="Followed Hyperlink" xfId="1864" builtinId="9" hidden="1"/>
    <cellStyle name="Followed Hyperlink" xfId="1866" builtinId="9" hidden="1"/>
    <cellStyle name="Followed Hyperlink" xfId="1868" builtinId="9" hidden="1"/>
    <cellStyle name="Followed Hyperlink" xfId="1870" builtinId="9" hidden="1"/>
    <cellStyle name="Followed Hyperlink" xfId="1872" builtinId="9" hidden="1"/>
    <cellStyle name="Followed Hyperlink" xfId="1874" builtinId="9" hidden="1"/>
    <cellStyle name="Followed Hyperlink" xfId="1876" builtinId="9" hidden="1"/>
    <cellStyle name="Followed Hyperlink" xfId="1878" builtinId="9" hidden="1"/>
    <cellStyle name="Followed Hyperlink" xfId="1880" builtinId="9" hidden="1"/>
    <cellStyle name="Followed Hyperlink" xfId="1882" builtinId="9" hidden="1"/>
    <cellStyle name="Followed Hyperlink" xfId="1884" builtinId="9" hidden="1"/>
    <cellStyle name="Followed Hyperlink" xfId="1886" builtinId="9" hidden="1"/>
    <cellStyle name="Followed Hyperlink" xfId="1888" builtinId="9" hidden="1"/>
    <cellStyle name="Followed Hyperlink" xfId="1890" builtinId="9" hidden="1"/>
    <cellStyle name="Followed Hyperlink" xfId="1892" builtinId="9" hidden="1"/>
    <cellStyle name="Followed Hyperlink" xfId="1894" builtinId="9" hidden="1"/>
    <cellStyle name="Followed Hyperlink" xfId="1896" builtinId="9" hidden="1"/>
    <cellStyle name="Followed Hyperlink" xfId="1898" builtinId="9" hidden="1"/>
    <cellStyle name="Followed Hyperlink" xfId="1900" builtinId="9" hidden="1"/>
    <cellStyle name="Followed Hyperlink" xfId="1902" builtinId="9" hidden="1"/>
    <cellStyle name="Followed Hyperlink" xfId="1904" builtinId="9" hidden="1"/>
    <cellStyle name="Followed Hyperlink" xfId="1906" builtinId="9" hidden="1"/>
    <cellStyle name="Followed Hyperlink" xfId="1908" builtinId="9" hidden="1"/>
    <cellStyle name="Followed Hyperlink" xfId="1910" builtinId="9" hidden="1"/>
    <cellStyle name="Followed Hyperlink" xfId="1912" builtinId="9" hidden="1"/>
    <cellStyle name="Followed Hyperlink" xfId="1914" builtinId="9" hidden="1"/>
    <cellStyle name="Followed Hyperlink" xfId="1916" builtinId="9" hidden="1"/>
    <cellStyle name="Followed Hyperlink" xfId="1918" builtinId="9" hidden="1"/>
    <cellStyle name="Followed Hyperlink" xfId="1920" builtinId="9" hidden="1"/>
    <cellStyle name="Followed Hyperlink" xfId="1922" builtinId="9" hidden="1"/>
    <cellStyle name="Followed Hyperlink" xfId="1924" builtinId="9" hidden="1"/>
    <cellStyle name="Followed Hyperlink" xfId="1926" builtinId="9" hidden="1"/>
    <cellStyle name="Followed Hyperlink" xfId="1928" builtinId="9" hidden="1"/>
    <cellStyle name="Followed Hyperlink" xfId="1930" builtinId="9" hidden="1"/>
    <cellStyle name="Followed Hyperlink" xfId="1932" builtinId="9" hidden="1"/>
    <cellStyle name="Followed Hyperlink" xfId="1934" builtinId="9" hidden="1"/>
    <cellStyle name="Followed Hyperlink" xfId="1936" builtinId="9" hidden="1"/>
    <cellStyle name="Followed Hyperlink" xfId="1938" builtinId="9" hidden="1"/>
    <cellStyle name="Followed Hyperlink" xfId="1940" builtinId="9" hidden="1"/>
    <cellStyle name="Followed Hyperlink" xfId="1942" builtinId="9" hidden="1"/>
    <cellStyle name="Followed Hyperlink" xfId="1944" builtinId="9" hidden="1"/>
    <cellStyle name="Followed Hyperlink" xfId="1946" builtinId="9" hidden="1"/>
    <cellStyle name="Followed Hyperlink" xfId="1948" builtinId="9" hidden="1"/>
    <cellStyle name="Followed Hyperlink" xfId="1950" builtinId="9" hidden="1"/>
    <cellStyle name="Followed Hyperlink" xfId="1952" builtinId="9" hidden="1"/>
    <cellStyle name="Followed Hyperlink" xfId="1954" builtinId="9" hidden="1"/>
    <cellStyle name="Followed Hyperlink" xfId="1956" builtinId="9" hidden="1"/>
    <cellStyle name="Followed Hyperlink" xfId="1958" builtinId="9" hidden="1"/>
    <cellStyle name="Followed Hyperlink" xfId="1960" builtinId="9" hidden="1"/>
    <cellStyle name="Followed Hyperlink" xfId="1962" builtinId="9" hidden="1"/>
    <cellStyle name="Followed Hyperlink" xfId="1964" builtinId="9" hidden="1"/>
    <cellStyle name="Followed Hyperlink" xfId="1966" builtinId="9" hidden="1"/>
    <cellStyle name="Followed Hyperlink" xfId="1968" builtinId="9" hidden="1"/>
    <cellStyle name="Followed Hyperlink" xfId="1970" builtinId="9" hidden="1"/>
    <cellStyle name="Followed Hyperlink" xfId="1972" builtinId="9" hidden="1"/>
    <cellStyle name="Followed Hyperlink" xfId="1974" builtinId="9" hidden="1"/>
    <cellStyle name="Followed Hyperlink" xfId="1976" builtinId="9" hidden="1"/>
    <cellStyle name="Followed Hyperlink" xfId="1978" builtinId="9" hidden="1"/>
    <cellStyle name="Followed Hyperlink" xfId="1980" builtinId="9" hidden="1"/>
    <cellStyle name="Followed Hyperlink" xfId="1982" builtinId="9" hidden="1"/>
    <cellStyle name="Followed Hyperlink" xfId="1984" builtinId="9" hidden="1"/>
    <cellStyle name="Followed Hyperlink" xfId="1986" builtinId="9" hidden="1"/>
    <cellStyle name="Followed Hyperlink" xfId="1988" builtinId="9" hidden="1"/>
    <cellStyle name="Followed Hyperlink" xfId="1990" builtinId="9" hidden="1"/>
    <cellStyle name="Followed Hyperlink" xfId="1992" builtinId="9" hidden="1"/>
    <cellStyle name="Followed Hyperlink" xfId="1994" builtinId="9" hidden="1"/>
    <cellStyle name="Followed Hyperlink" xfId="1996" builtinId="9" hidden="1"/>
    <cellStyle name="Followed Hyperlink" xfId="1998" builtinId="9" hidden="1"/>
    <cellStyle name="Followed Hyperlink" xfId="2000" builtinId="9" hidden="1"/>
    <cellStyle name="Followed Hyperlink" xfId="2002" builtinId="9" hidden="1"/>
    <cellStyle name="Followed Hyperlink" xfId="2004" builtinId="9" hidden="1"/>
    <cellStyle name="Followed Hyperlink" xfId="2006" builtinId="9" hidden="1"/>
    <cellStyle name="Followed Hyperlink" xfId="2008" builtinId="9" hidden="1"/>
    <cellStyle name="Followed Hyperlink" xfId="2010" builtinId="9" hidden="1"/>
    <cellStyle name="Followed Hyperlink" xfId="2012" builtinId="9" hidden="1"/>
    <cellStyle name="Followed Hyperlink" xfId="2014" builtinId="9" hidden="1"/>
    <cellStyle name="Followed Hyperlink" xfId="2016" builtinId="9" hidden="1"/>
    <cellStyle name="Followed Hyperlink" xfId="2018" builtinId="9" hidden="1"/>
    <cellStyle name="Followed Hyperlink" xfId="2020" builtinId="9" hidden="1"/>
    <cellStyle name="Followed Hyperlink" xfId="2021" builtinId="9" hidden="1"/>
    <cellStyle name="Followed Hyperlink" xfId="2022" builtinId="9" hidden="1"/>
    <cellStyle name="Followed Hyperlink" xfId="2023" builtinId="9" hidden="1"/>
    <cellStyle name="Followed Hyperlink" xfId="2024" builtinId="9" hidden="1"/>
    <cellStyle name="Followed Hyperlink" xfId="2025" builtinId="9" hidden="1"/>
    <cellStyle name="Followed Hyperlink" xfId="2026" builtinId="9" hidden="1"/>
    <cellStyle name="Followed Hyperlink" xfId="2027" builtinId="9" hidden="1"/>
    <cellStyle name="Followed Hyperlink" xfId="2028" builtinId="9" hidden="1"/>
    <cellStyle name="Followed Hyperlink" xfId="2029" builtinId="9" hidden="1"/>
    <cellStyle name="Followed Hyperlink" xfId="2030" builtinId="9" hidden="1"/>
    <cellStyle name="Followed Hyperlink" xfId="2031" builtinId="9" hidden="1"/>
    <cellStyle name="Followed Hyperlink" xfId="2032" builtinId="9" hidden="1"/>
    <cellStyle name="Followed Hyperlink" xfId="2033" builtinId="9" hidden="1"/>
    <cellStyle name="Followed Hyperlink" xfId="2034" builtinId="9" hidden="1"/>
    <cellStyle name="Followed Hyperlink" xfId="2035" builtinId="9" hidden="1"/>
    <cellStyle name="Followed Hyperlink" xfId="2036" builtinId="9" hidden="1"/>
    <cellStyle name="Followed Hyperlink" xfId="2037" builtinId="9" hidden="1"/>
    <cellStyle name="Followed Hyperlink" xfId="2038" builtinId="9" hidden="1"/>
    <cellStyle name="Followed Hyperlink" xfId="2039" builtinId="9" hidden="1"/>
    <cellStyle name="Followed Hyperlink" xfId="2040" builtinId="9" hidden="1"/>
    <cellStyle name="Followed Hyperlink" xfId="2041" builtinId="9" hidden="1"/>
    <cellStyle name="Followed Hyperlink" xfId="2042" builtinId="9" hidden="1"/>
    <cellStyle name="Followed Hyperlink" xfId="2043" builtinId="9" hidden="1"/>
    <cellStyle name="Followed Hyperlink" xfId="2044" builtinId="9" hidden="1"/>
    <cellStyle name="Followed Hyperlink" xfId="2045" builtinId="9" hidden="1"/>
    <cellStyle name="Followed Hyperlink" xfId="2046" builtinId="9" hidden="1"/>
    <cellStyle name="Followed Hyperlink" xfId="2047" builtinId="9" hidden="1"/>
    <cellStyle name="Followed Hyperlink" xfId="2048" builtinId="9" hidden="1"/>
    <cellStyle name="Followed Hyperlink" xfId="2049" builtinId="9" hidden="1"/>
    <cellStyle name="Followed Hyperlink" xfId="2050" builtinId="9" hidden="1"/>
    <cellStyle name="Followed Hyperlink" xfId="2051" builtinId="9" hidden="1"/>
    <cellStyle name="Followed Hyperlink" xfId="2052" builtinId="9" hidden="1"/>
    <cellStyle name="Followed Hyperlink" xfId="2053" builtinId="9" hidden="1"/>
    <cellStyle name="Followed Hyperlink" xfId="2054" builtinId="9" hidden="1"/>
    <cellStyle name="Followed Hyperlink" xfId="2055" builtinId="9" hidden="1"/>
    <cellStyle name="Followed Hyperlink" xfId="2056" builtinId="9" hidden="1"/>
    <cellStyle name="Followed Hyperlink" xfId="2057" builtinId="9" hidden="1"/>
    <cellStyle name="Followed Hyperlink" xfId="2058" builtinId="9" hidden="1"/>
    <cellStyle name="Followed Hyperlink" xfId="2059" builtinId="9" hidden="1"/>
    <cellStyle name="Followed Hyperlink" xfId="2060" builtinId="9" hidden="1"/>
    <cellStyle name="Followed Hyperlink" xfId="2061" builtinId="9" hidden="1"/>
    <cellStyle name="Followed Hyperlink" xfId="2062" builtinId="9" hidden="1"/>
    <cellStyle name="Followed Hyperlink" xfId="2063" builtinId="9" hidden="1"/>
    <cellStyle name="Followed Hyperlink" xfId="2064" builtinId="9" hidden="1"/>
    <cellStyle name="Followed Hyperlink" xfId="2065" builtinId="9" hidden="1"/>
    <cellStyle name="Followed Hyperlink" xfId="2066" builtinId="9" hidden="1"/>
    <cellStyle name="Followed Hyperlink" xfId="2067" builtinId="9" hidden="1"/>
    <cellStyle name="Followed Hyperlink" xfId="2068" builtinId="9" hidden="1"/>
    <cellStyle name="Followed Hyperlink" xfId="2069" builtinId="9" hidden="1"/>
    <cellStyle name="Followed Hyperlink" xfId="2070" builtinId="9" hidden="1"/>
    <cellStyle name="Followed Hyperlink" xfId="2071" builtinId="9" hidden="1"/>
    <cellStyle name="Followed Hyperlink" xfId="2072" builtinId="9" hidden="1"/>
    <cellStyle name="Followed Hyperlink" xfId="2073" builtinId="9" hidden="1"/>
    <cellStyle name="Followed Hyperlink" xfId="2074" builtinId="9" hidden="1"/>
    <cellStyle name="Followed Hyperlink" xfId="2075" builtinId="9" hidden="1"/>
    <cellStyle name="Followed Hyperlink" xfId="2076" builtinId="9" hidden="1"/>
    <cellStyle name="Followed Hyperlink" xfId="2077" builtinId="9" hidden="1"/>
    <cellStyle name="Followed Hyperlink" xfId="2078" builtinId="9" hidden="1"/>
    <cellStyle name="Followed Hyperlink" xfId="2079" builtinId="9" hidden="1"/>
    <cellStyle name="Followed Hyperlink" xfId="2080" builtinId="9" hidden="1"/>
    <cellStyle name="Followed Hyperlink" xfId="2081" builtinId="9" hidden="1"/>
    <cellStyle name="Followed Hyperlink" xfId="2082" builtinId="9" hidden="1"/>
    <cellStyle name="Followed Hyperlink" xfId="2083" builtinId="9" hidden="1"/>
    <cellStyle name="Followed Hyperlink" xfId="2084" builtinId="9" hidden="1"/>
    <cellStyle name="Followed Hyperlink" xfId="2085" builtinId="9" hidden="1"/>
    <cellStyle name="Followed Hyperlink" xfId="2086" builtinId="9" hidden="1"/>
    <cellStyle name="Followed Hyperlink" xfId="2087" builtinId="9" hidden="1"/>
    <cellStyle name="Followed Hyperlink" xfId="2088" builtinId="9" hidden="1"/>
    <cellStyle name="Followed Hyperlink" xfId="2089" builtinId="9" hidden="1"/>
    <cellStyle name="Followed Hyperlink" xfId="2090" builtinId="9" hidden="1"/>
    <cellStyle name="Followed Hyperlink" xfId="2091" builtinId="9" hidden="1"/>
    <cellStyle name="Followed Hyperlink" xfId="2092" builtinId="9" hidden="1"/>
    <cellStyle name="Followed Hyperlink" xfId="2093" builtinId="9" hidden="1"/>
    <cellStyle name="Followed Hyperlink" xfId="2094" builtinId="9" hidden="1"/>
    <cellStyle name="Followed Hyperlink" xfId="2095" builtinId="9" hidden="1"/>
    <cellStyle name="Followed Hyperlink" xfId="2096" builtinId="9" hidden="1"/>
    <cellStyle name="Followed Hyperlink" xfId="2097" builtinId="9" hidden="1"/>
    <cellStyle name="Followed Hyperlink" xfId="2098" builtinId="9" hidden="1"/>
    <cellStyle name="Followed Hyperlink" xfId="2099" builtinId="9" hidden="1"/>
    <cellStyle name="Followed Hyperlink" xfId="2100" builtinId="9" hidden="1"/>
    <cellStyle name="Followed Hyperlink" xfId="2101" builtinId="9" hidden="1"/>
    <cellStyle name="Followed Hyperlink" xfId="2102" builtinId="9" hidden="1"/>
    <cellStyle name="Followed Hyperlink" xfId="2103" builtinId="9" hidden="1"/>
    <cellStyle name="Followed Hyperlink" xfId="2104" builtinId="9" hidden="1"/>
    <cellStyle name="Followed Hyperlink" xfId="2105" builtinId="9" hidden="1"/>
    <cellStyle name="Followed Hyperlink" xfId="2106" builtinId="9" hidden="1"/>
    <cellStyle name="Followed Hyperlink" xfId="2107" builtinId="9" hidden="1"/>
    <cellStyle name="Followed Hyperlink" xfId="2108" builtinId="9" hidden="1"/>
    <cellStyle name="Followed Hyperlink" xfId="2109" builtinId="9" hidden="1"/>
    <cellStyle name="Followed Hyperlink" xfId="2110" builtinId="9" hidden="1"/>
    <cellStyle name="Followed Hyperlink" xfId="2111" builtinId="9" hidden="1"/>
    <cellStyle name="Followed Hyperlink" xfId="2112" builtinId="9" hidden="1"/>
    <cellStyle name="Followed Hyperlink" xfId="2113" builtinId="9" hidden="1"/>
    <cellStyle name="Followed Hyperlink" xfId="2114" builtinId="9" hidden="1"/>
    <cellStyle name="Followed Hyperlink" xfId="2115" builtinId="9" hidden="1"/>
    <cellStyle name="Followed Hyperlink" xfId="2116" builtinId="9" hidden="1"/>
    <cellStyle name="Followed Hyperlink" xfId="2117" builtinId="9" hidden="1"/>
    <cellStyle name="Followed Hyperlink" xfId="2118" builtinId="9" hidden="1"/>
    <cellStyle name="Followed Hyperlink" xfId="2119" builtinId="9" hidden="1"/>
    <cellStyle name="Followed Hyperlink" xfId="2120" builtinId="9" hidden="1"/>
    <cellStyle name="Followed Hyperlink" xfId="2121" builtinId="9" hidden="1"/>
    <cellStyle name="Followed Hyperlink" xfId="2122" builtinId="9" hidden="1"/>
    <cellStyle name="Followed Hyperlink" xfId="2123" builtinId="9" hidden="1"/>
    <cellStyle name="Followed Hyperlink" xfId="2124" builtinId="9" hidden="1"/>
    <cellStyle name="Followed Hyperlink" xfId="2125" builtinId="9" hidden="1"/>
    <cellStyle name="Followed Hyperlink" xfId="2126" builtinId="9" hidden="1"/>
    <cellStyle name="Followed Hyperlink" xfId="2127" builtinId="9" hidden="1"/>
    <cellStyle name="Followed Hyperlink" xfId="2128" builtinId="9" hidden="1"/>
    <cellStyle name="Followed Hyperlink" xfId="2129" builtinId="9" hidden="1"/>
    <cellStyle name="Followed Hyperlink" xfId="2130" builtinId="9" hidden="1"/>
    <cellStyle name="Followed Hyperlink" xfId="2131" builtinId="9" hidden="1"/>
    <cellStyle name="Followed Hyperlink" xfId="2132" builtinId="9" hidden="1"/>
    <cellStyle name="Followed Hyperlink" xfId="2133" builtinId="9" hidden="1"/>
    <cellStyle name="Followed Hyperlink" xfId="2134" builtinId="9" hidden="1"/>
    <cellStyle name="Followed Hyperlink" xfId="2135" builtinId="9" hidden="1"/>
    <cellStyle name="Followed Hyperlink" xfId="2136" builtinId="9" hidden="1"/>
    <cellStyle name="Followed Hyperlink" xfId="2137" builtinId="9" hidden="1"/>
    <cellStyle name="Followed Hyperlink" xfId="2138" builtinId="9" hidden="1"/>
    <cellStyle name="Followed Hyperlink" xfId="2139" builtinId="9" hidden="1"/>
    <cellStyle name="Followed Hyperlink" xfId="2140" builtinId="9" hidden="1"/>
    <cellStyle name="Followed Hyperlink" xfId="2141"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189" builtinId="8" hidden="1"/>
    <cellStyle name="Hyperlink" xfId="1191" builtinId="8" hidden="1"/>
    <cellStyle name="Hyperlink" xfId="1193" builtinId="8" hidden="1"/>
    <cellStyle name="Hyperlink" xfId="1195" builtinId="8" hidden="1"/>
    <cellStyle name="Hyperlink" xfId="1197" builtinId="8" hidden="1"/>
    <cellStyle name="Hyperlink" xfId="1199" builtinId="8" hidden="1"/>
    <cellStyle name="Hyperlink" xfId="1201" builtinId="8" hidden="1"/>
    <cellStyle name="Hyperlink" xfId="1203" builtinId="8" hidden="1"/>
    <cellStyle name="Hyperlink" xfId="1205" builtinId="8" hidden="1"/>
    <cellStyle name="Hyperlink" xfId="1207" builtinId="8" hidden="1"/>
    <cellStyle name="Hyperlink" xfId="1209" builtinId="8" hidden="1"/>
    <cellStyle name="Hyperlink" xfId="1211" builtinId="8" hidden="1"/>
    <cellStyle name="Hyperlink" xfId="1213" builtinId="8" hidden="1"/>
    <cellStyle name="Hyperlink" xfId="1215" builtinId="8" hidden="1"/>
    <cellStyle name="Hyperlink" xfId="1217" builtinId="8" hidden="1"/>
    <cellStyle name="Hyperlink" xfId="1219" builtinId="8" hidden="1"/>
    <cellStyle name="Hyperlink" xfId="1221" builtinId="8" hidden="1"/>
    <cellStyle name="Hyperlink" xfId="1223" builtinId="8" hidden="1"/>
    <cellStyle name="Hyperlink" xfId="1225" builtinId="8" hidden="1"/>
    <cellStyle name="Hyperlink" xfId="1227" builtinId="8" hidden="1"/>
    <cellStyle name="Hyperlink" xfId="1229" builtinId="8" hidden="1"/>
    <cellStyle name="Hyperlink" xfId="1231" builtinId="8" hidden="1"/>
    <cellStyle name="Hyperlink" xfId="1233" builtinId="8" hidden="1"/>
    <cellStyle name="Hyperlink" xfId="1235" builtinId="8" hidden="1"/>
    <cellStyle name="Hyperlink" xfId="1237" builtinId="8" hidden="1"/>
    <cellStyle name="Hyperlink" xfId="1239" builtinId="8" hidden="1"/>
    <cellStyle name="Hyperlink" xfId="1241" builtinId="8" hidden="1"/>
    <cellStyle name="Hyperlink" xfId="1243" builtinId="8" hidden="1"/>
    <cellStyle name="Hyperlink" xfId="1245" builtinId="8" hidden="1"/>
    <cellStyle name="Hyperlink" xfId="1247" builtinId="8" hidden="1"/>
    <cellStyle name="Hyperlink" xfId="1249" builtinId="8" hidden="1"/>
    <cellStyle name="Hyperlink" xfId="1251" builtinId="8" hidden="1"/>
    <cellStyle name="Hyperlink" xfId="1253" builtinId="8" hidden="1"/>
    <cellStyle name="Hyperlink" xfId="1255" builtinId="8" hidden="1"/>
    <cellStyle name="Hyperlink" xfId="1257" builtinId="8" hidden="1"/>
    <cellStyle name="Hyperlink" xfId="1259" builtinId="8" hidden="1"/>
    <cellStyle name="Hyperlink" xfId="1261" builtinId="8" hidden="1"/>
    <cellStyle name="Hyperlink" xfId="1263" builtinId="8" hidden="1"/>
    <cellStyle name="Hyperlink" xfId="1265" builtinId="8" hidden="1"/>
    <cellStyle name="Hyperlink" xfId="1267" builtinId="8" hidden="1"/>
    <cellStyle name="Hyperlink" xfId="1269" builtinId="8" hidden="1"/>
    <cellStyle name="Hyperlink" xfId="1271" builtinId="8" hidden="1"/>
    <cellStyle name="Hyperlink" xfId="1273" builtinId="8" hidden="1"/>
    <cellStyle name="Hyperlink" xfId="1275" builtinId="8" hidden="1"/>
    <cellStyle name="Hyperlink" xfId="1277" builtinId="8" hidden="1"/>
    <cellStyle name="Hyperlink" xfId="1279" builtinId="8" hidden="1"/>
    <cellStyle name="Hyperlink" xfId="1281" builtinId="8" hidden="1"/>
    <cellStyle name="Hyperlink" xfId="1283" builtinId="8" hidden="1"/>
    <cellStyle name="Hyperlink" xfId="1285" builtinId="8" hidden="1"/>
    <cellStyle name="Hyperlink" xfId="1287" builtinId="8" hidden="1"/>
    <cellStyle name="Hyperlink" xfId="1289" builtinId="8" hidden="1"/>
    <cellStyle name="Hyperlink" xfId="1291" builtinId="8" hidden="1"/>
    <cellStyle name="Hyperlink" xfId="1293" builtinId="8" hidden="1"/>
    <cellStyle name="Hyperlink" xfId="1295" builtinId="8" hidden="1"/>
    <cellStyle name="Hyperlink" xfId="1297" builtinId="8" hidden="1"/>
    <cellStyle name="Hyperlink" xfId="1299" builtinId="8" hidden="1"/>
    <cellStyle name="Hyperlink" xfId="1301" builtinId="8" hidden="1"/>
    <cellStyle name="Hyperlink" xfId="1303" builtinId="8" hidden="1"/>
    <cellStyle name="Hyperlink" xfId="1305" builtinId="8" hidden="1"/>
    <cellStyle name="Hyperlink" xfId="1307" builtinId="8" hidden="1"/>
    <cellStyle name="Hyperlink" xfId="1309" builtinId="8" hidden="1"/>
    <cellStyle name="Hyperlink" xfId="1311" builtinId="8" hidden="1"/>
    <cellStyle name="Hyperlink" xfId="1313" builtinId="8" hidden="1"/>
    <cellStyle name="Hyperlink" xfId="1315" builtinId="8" hidden="1"/>
    <cellStyle name="Hyperlink" xfId="1317" builtinId="8" hidden="1"/>
    <cellStyle name="Hyperlink" xfId="1319" builtinId="8" hidden="1"/>
    <cellStyle name="Hyperlink" xfId="1321" builtinId="8" hidden="1"/>
    <cellStyle name="Hyperlink" xfId="1323" builtinId="8" hidden="1"/>
    <cellStyle name="Hyperlink" xfId="1325" builtinId="8" hidden="1"/>
    <cellStyle name="Hyperlink" xfId="1327" builtinId="8" hidden="1"/>
    <cellStyle name="Hyperlink" xfId="1329" builtinId="8" hidden="1"/>
    <cellStyle name="Hyperlink" xfId="1331" builtinId="8" hidden="1"/>
    <cellStyle name="Hyperlink" xfId="1333" builtinId="8" hidden="1"/>
    <cellStyle name="Hyperlink" xfId="1335" builtinId="8" hidden="1"/>
    <cellStyle name="Hyperlink" xfId="1337" builtinId="8" hidden="1"/>
    <cellStyle name="Hyperlink" xfId="1339" builtinId="8" hidden="1"/>
    <cellStyle name="Hyperlink" xfId="1341" builtinId="8" hidden="1"/>
    <cellStyle name="Hyperlink" xfId="1343" builtinId="8" hidden="1"/>
    <cellStyle name="Hyperlink" xfId="1345" builtinId="8" hidden="1"/>
    <cellStyle name="Hyperlink" xfId="1347" builtinId="8" hidden="1"/>
    <cellStyle name="Hyperlink" xfId="1349" builtinId="8" hidden="1"/>
    <cellStyle name="Hyperlink" xfId="1351" builtinId="8" hidden="1"/>
    <cellStyle name="Hyperlink" xfId="1353" builtinId="8" hidden="1"/>
    <cellStyle name="Hyperlink" xfId="1355"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69" builtinId="8" hidden="1"/>
    <cellStyle name="Hyperlink" xfId="1371" builtinId="8" hidden="1"/>
    <cellStyle name="Hyperlink" xfId="1373" builtinId="8" hidden="1"/>
    <cellStyle name="Hyperlink" xfId="1375" builtinId="8" hidden="1"/>
    <cellStyle name="Hyperlink" xfId="1377" builtinId="8" hidden="1"/>
    <cellStyle name="Hyperlink" xfId="1379" builtinId="8" hidden="1"/>
    <cellStyle name="Hyperlink" xfId="1381" builtinId="8" hidden="1"/>
    <cellStyle name="Hyperlink" xfId="1383" builtinId="8" hidden="1"/>
    <cellStyle name="Hyperlink" xfId="1385" builtinId="8" hidden="1"/>
    <cellStyle name="Hyperlink" xfId="1387" builtinId="8" hidden="1"/>
    <cellStyle name="Hyperlink" xfId="1389" builtinId="8" hidden="1"/>
    <cellStyle name="Hyperlink" xfId="1391" builtinId="8" hidden="1"/>
    <cellStyle name="Hyperlink" xfId="1393" builtinId="8" hidden="1"/>
    <cellStyle name="Hyperlink" xfId="1395" builtinId="8" hidden="1"/>
    <cellStyle name="Hyperlink" xfId="1397" builtinId="8" hidden="1"/>
    <cellStyle name="Hyperlink" xfId="1399" builtinId="8" hidden="1"/>
    <cellStyle name="Hyperlink" xfId="1401"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Hyperlink" xfId="1417" builtinId="8" hidden="1"/>
    <cellStyle name="Hyperlink" xfId="1419" builtinId="8" hidden="1"/>
    <cellStyle name="Hyperlink" xfId="1421" builtinId="8" hidden="1"/>
    <cellStyle name="Hyperlink" xfId="1423" builtinId="8" hidden="1"/>
    <cellStyle name="Hyperlink" xfId="1425" builtinId="8" hidden="1"/>
    <cellStyle name="Hyperlink" xfId="1427" builtinId="8" hidden="1"/>
    <cellStyle name="Hyperlink" xfId="1429" builtinId="8" hidden="1"/>
    <cellStyle name="Hyperlink" xfId="1431" builtinId="8" hidden="1"/>
    <cellStyle name="Hyperlink" xfId="1433" builtinId="8" hidden="1"/>
    <cellStyle name="Hyperlink" xfId="1435" builtinId="8" hidden="1"/>
    <cellStyle name="Hyperlink" xfId="1437" builtinId="8" hidden="1"/>
    <cellStyle name="Hyperlink" xfId="1439" builtinId="8" hidden="1"/>
    <cellStyle name="Hyperlink" xfId="1441" builtinId="8" hidden="1"/>
    <cellStyle name="Hyperlink" xfId="1443" builtinId="8" hidden="1"/>
    <cellStyle name="Hyperlink" xfId="1445" builtinId="8" hidden="1"/>
    <cellStyle name="Hyperlink" xfId="1447" builtinId="8" hidden="1"/>
    <cellStyle name="Hyperlink" xfId="1449" builtinId="8" hidden="1"/>
    <cellStyle name="Hyperlink" xfId="1451" builtinId="8" hidden="1"/>
    <cellStyle name="Hyperlink" xfId="1453" builtinId="8" hidden="1"/>
    <cellStyle name="Hyperlink" xfId="1455" builtinId="8" hidden="1"/>
    <cellStyle name="Hyperlink" xfId="1457" builtinId="8" hidden="1"/>
    <cellStyle name="Hyperlink" xfId="1459" builtinId="8" hidden="1"/>
    <cellStyle name="Hyperlink" xfId="1461" builtinId="8" hidden="1"/>
    <cellStyle name="Hyperlink" xfId="1463" builtinId="8" hidden="1"/>
    <cellStyle name="Hyperlink" xfId="1465" builtinId="8" hidden="1"/>
    <cellStyle name="Hyperlink" xfId="1467" builtinId="8" hidden="1"/>
    <cellStyle name="Hyperlink" xfId="1469" builtinId="8" hidden="1"/>
    <cellStyle name="Hyperlink" xfId="1471" builtinId="8" hidden="1"/>
    <cellStyle name="Hyperlink" xfId="1473" builtinId="8" hidden="1"/>
    <cellStyle name="Hyperlink" xfId="1475" builtinId="8" hidden="1"/>
    <cellStyle name="Hyperlink" xfId="1477" builtinId="8" hidden="1"/>
    <cellStyle name="Hyperlink" xfId="1479" builtinId="8" hidden="1"/>
    <cellStyle name="Hyperlink" xfId="1481" builtinId="8" hidden="1"/>
    <cellStyle name="Hyperlink" xfId="1483" builtinId="8" hidden="1"/>
    <cellStyle name="Hyperlink" xfId="1485" builtinId="8" hidden="1"/>
    <cellStyle name="Hyperlink" xfId="1487" builtinId="8" hidden="1"/>
    <cellStyle name="Hyperlink" xfId="1489" builtinId="8" hidden="1"/>
    <cellStyle name="Hyperlink" xfId="1491" builtinId="8" hidden="1"/>
    <cellStyle name="Hyperlink" xfId="1493" builtinId="8" hidden="1"/>
    <cellStyle name="Hyperlink" xfId="1495" builtinId="8" hidden="1"/>
    <cellStyle name="Hyperlink" xfId="1497" builtinId="8" hidden="1"/>
    <cellStyle name="Hyperlink" xfId="1499" builtinId="8" hidden="1"/>
    <cellStyle name="Hyperlink" xfId="1501" builtinId="8" hidden="1"/>
    <cellStyle name="Hyperlink" xfId="1503" builtinId="8" hidden="1"/>
    <cellStyle name="Hyperlink" xfId="1505" builtinId="8" hidden="1"/>
    <cellStyle name="Hyperlink" xfId="1507" builtinId="8" hidden="1"/>
    <cellStyle name="Hyperlink" xfId="1509" builtinId="8" hidden="1"/>
    <cellStyle name="Hyperlink" xfId="1511" builtinId="8" hidden="1"/>
    <cellStyle name="Hyperlink" xfId="1513" builtinId="8" hidden="1"/>
    <cellStyle name="Hyperlink" xfId="1515" builtinId="8" hidden="1"/>
    <cellStyle name="Hyperlink" xfId="1517" builtinId="8" hidden="1"/>
    <cellStyle name="Hyperlink" xfId="1519" builtinId="8" hidden="1"/>
    <cellStyle name="Hyperlink" xfId="1521" builtinId="8" hidden="1"/>
    <cellStyle name="Hyperlink" xfId="1523" builtinId="8" hidden="1"/>
    <cellStyle name="Hyperlink" xfId="1525" builtinId="8" hidden="1"/>
    <cellStyle name="Hyperlink" xfId="1527" builtinId="8" hidden="1"/>
    <cellStyle name="Hyperlink" xfId="1529" builtinId="8" hidden="1"/>
    <cellStyle name="Hyperlink" xfId="1531" builtinId="8" hidden="1"/>
    <cellStyle name="Hyperlink" xfId="1533" builtinId="8" hidden="1"/>
    <cellStyle name="Hyperlink" xfId="1535" builtinId="8" hidden="1"/>
    <cellStyle name="Hyperlink" xfId="1537" builtinId="8" hidden="1"/>
    <cellStyle name="Hyperlink" xfId="1539" builtinId="8" hidden="1"/>
    <cellStyle name="Hyperlink" xfId="1541" builtinId="8" hidden="1"/>
    <cellStyle name="Hyperlink" xfId="1543" builtinId="8" hidden="1"/>
    <cellStyle name="Hyperlink" xfId="1545" builtinId="8" hidden="1"/>
    <cellStyle name="Hyperlink" xfId="1547" builtinId="8" hidden="1"/>
    <cellStyle name="Hyperlink" xfId="1549" builtinId="8" hidden="1"/>
    <cellStyle name="Hyperlink" xfId="1551" builtinId="8" hidden="1"/>
    <cellStyle name="Hyperlink" xfId="1553" builtinId="8" hidden="1"/>
    <cellStyle name="Hyperlink" xfId="1555" builtinId="8" hidden="1"/>
    <cellStyle name="Hyperlink" xfId="1557" builtinId="8" hidden="1"/>
    <cellStyle name="Hyperlink" xfId="1559" builtinId="8" hidden="1"/>
    <cellStyle name="Hyperlink" xfId="1561" builtinId="8" hidden="1"/>
    <cellStyle name="Hyperlink" xfId="1563" builtinId="8" hidden="1"/>
    <cellStyle name="Hyperlink" xfId="1565" builtinId="8" hidden="1"/>
    <cellStyle name="Hyperlink" xfId="1567" builtinId="8" hidden="1"/>
    <cellStyle name="Hyperlink" xfId="1569" builtinId="8" hidden="1"/>
    <cellStyle name="Hyperlink" xfId="1571" builtinId="8" hidden="1"/>
    <cellStyle name="Hyperlink" xfId="1573" builtinId="8" hidden="1"/>
    <cellStyle name="Hyperlink" xfId="1575" builtinId="8" hidden="1"/>
    <cellStyle name="Hyperlink" xfId="1577" builtinId="8" hidden="1"/>
    <cellStyle name="Hyperlink" xfId="1579" builtinId="8" hidden="1"/>
    <cellStyle name="Hyperlink" xfId="1581" builtinId="8" hidden="1"/>
    <cellStyle name="Hyperlink" xfId="1583" builtinId="8" hidden="1"/>
    <cellStyle name="Hyperlink" xfId="1585" builtinId="8" hidden="1"/>
    <cellStyle name="Hyperlink" xfId="1587" builtinId="8" hidden="1"/>
    <cellStyle name="Hyperlink" xfId="1589" builtinId="8" hidden="1"/>
    <cellStyle name="Hyperlink" xfId="1591" builtinId="8" hidden="1"/>
    <cellStyle name="Hyperlink" xfId="1593" builtinId="8" hidden="1"/>
    <cellStyle name="Hyperlink" xfId="1595" builtinId="8" hidden="1"/>
    <cellStyle name="Hyperlink" xfId="1597" builtinId="8" hidden="1"/>
    <cellStyle name="Hyperlink" xfId="1599" builtinId="8" hidden="1"/>
    <cellStyle name="Hyperlink" xfId="1601" builtinId="8" hidden="1"/>
    <cellStyle name="Hyperlink" xfId="1603" builtinId="8" hidden="1"/>
    <cellStyle name="Hyperlink" xfId="1605" builtinId="8" hidden="1"/>
    <cellStyle name="Hyperlink" xfId="1607" builtinId="8" hidden="1"/>
    <cellStyle name="Hyperlink" xfId="1609" builtinId="8" hidden="1"/>
    <cellStyle name="Hyperlink" xfId="1611" builtinId="8" hidden="1"/>
    <cellStyle name="Hyperlink" xfId="1613" builtinId="8" hidden="1"/>
    <cellStyle name="Hyperlink" xfId="1615" builtinId="8" hidden="1"/>
    <cellStyle name="Hyperlink" xfId="1617" builtinId="8" hidden="1"/>
    <cellStyle name="Hyperlink" xfId="1619" builtinId="8" hidden="1"/>
    <cellStyle name="Hyperlink" xfId="1621" builtinId="8" hidden="1"/>
    <cellStyle name="Hyperlink" xfId="1623" builtinId="8" hidden="1"/>
    <cellStyle name="Hyperlink" xfId="1625" builtinId="8" hidden="1"/>
    <cellStyle name="Hyperlink" xfId="1627" builtinId="8" hidden="1"/>
    <cellStyle name="Hyperlink" xfId="1629" builtinId="8" hidden="1"/>
    <cellStyle name="Hyperlink" xfId="1631" builtinId="8" hidden="1"/>
    <cellStyle name="Hyperlink" xfId="1633" builtinId="8" hidden="1"/>
    <cellStyle name="Hyperlink" xfId="1635" builtinId="8" hidden="1"/>
    <cellStyle name="Hyperlink" xfId="1637" builtinId="8" hidden="1"/>
    <cellStyle name="Hyperlink" xfId="1639" builtinId="8" hidden="1"/>
    <cellStyle name="Hyperlink" xfId="1641" builtinId="8" hidden="1"/>
    <cellStyle name="Hyperlink" xfId="1643" builtinId="8" hidden="1"/>
    <cellStyle name="Hyperlink" xfId="1645" builtinId="8" hidden="1"/>
    <cellStyle name="Hyperlink" xfId="1647" builtinId="8" hidden="1"/>
    <cellStyle name="Hyperlink" xfId="1649" builtinId="8" hidden="1"/>
    <cellStyle name="Hyperlink" xfId="1651" builtinId="8" hidden="1"/>
    <cellStyle name="Hyperlink" xfId="1653" builtinId="8" hidden="1"/>
    <cellStyle name="Hyperlink" xfId="1655" builtinId="8" hidden="1"/>
    <cellStyle name="Hyperlink" xfId="1657" builtinId="8" hidden="1"/>
    <cellStyle name="Hyperlink" xfId="1659" builtinId="8" hidden="1"/>
    <cellStyle name="Hyperlink" xfId="1661" builtinId="8" hidden="1"/>
    <cellStyle name="Hyperlink" xfId="1663" builtinId="8" hidden="1"/>
    <cellStyle name="Hyperlink" xfId="1665" builtinId="8" hidden="1"/>
    <cellStyle name="Hyperlink" xfId="1667" builtinId="8" hidden="1"/>
    <cellStyle name="Hyperlink" xfId="1669" builtinId="8" hidden="1"/>
    <cellStyle name="Hyperlink" xfId="1671" builtinId="8" hidden="1"/>
    <cellStyle name="Hyperlink" xfId="1673" builtinId="8" hidden="1"/>
    <cellStyle name="Hyperlink" xfId="1675" builtinId="8" hidden="1"/>
    <cellStyle name="Hyperlink" xfId="1677" builtinId="8" hidden="1"/>
    <cellStyle name="Hyperlink" xfId="1679" builtinId="8" hidden="1"/>
    <cellStyle name="Hyperlink" xfId="1681" builtinId="8" hidden="1"/>
    <cellStyle name="Hyperlink" xfId="1683" builtinId="8" hidden="1"/>
    <cellStyle name="Hyperlink" xfId="1685" builtinId="8" hidden="1"/>
    <cellStyle name="Hyperlink" xfId="1687" builtinId="8" hidden="1"/>
    <cellStyle name="Hyperlink" xfId="1689" builtinId="8" hidden="1"/>
    <cellStyle name="Hyperlink" xfId="1691" builtinId="8" hidden="1"/>
    <cellStyle name="Hyperlink" xfId="1693" builtinId="8" hidden="1"/>
    <cellStyle name="Hyperlink" xfId="1695" builtinId="8" hidden="1"/>
    <cellStyle name="Hyperlink" xfId="1697" builtinId="8" hidden="1"/>
    <cellStyle name="Hyperlink" xfId="1699" builtinId="8" hidden="1"/>
    <cellStyle name="Hyperlink" xfId="1701" builtinId="8" hidden="1"/>
    <cellStyle name="Hyperlink" xfId="1703" builtinId="8" hidden="1"/>
    <cellStyle name="Hyperlink" xfId="1705" builtinId="8" hidden="1"/>
    <cellStyle name="Hyperlink" xfId="1707" builtinId="8" hidden="1"/>
    <cellStyle name="Hyperlink" xfId="1709" builtinId="8" hidden="1"/>
    <cellStyle name="Hyperlink" xfId="1711" builtinId="8" hidden="1"/>
    <cellStyle name="Hyperlink" xfId="1713" builtinId="8" hidden="1"/>
    <cellStyle name="Hyperlink" xfId="1715" builtinId="8" hidden="1"/>
    <cellStyle name="Hyperlink" xfId="1717" builtinId="8" hidden="1"/>
    <cellStyle name="Hyperlink" xfId="1719" builtinId="8" hidden="1"/>
    <cellStyle name="Hyperlink" xfId="1721" builtinId="8" hidden="1"/>
    <cellStyle name="Hyperlink" xfId="1723" builtinId="8" hidden="1"/>
    <cellStyle name="Hyperlink" xfId="1725" builtinId="8" hidden="1"/>
    <cellStyle name="Hyperlink" xfId="1727" builtinId="8" hidden="1"/>
    <cellStyle name="Hyperlink" xfId="1729" builtinId="8" hidden="1"/>
    <cellStyle name="Hyperlink" xfId="1731" builtinId="8" hidden="1"/>
    <cellStyle name="Hyperlink" xfId="1733" builtinId="8" hidden="1"/>
    <cellStyle name="Hyperlink" xfId="1735" builtinId="8" hidden="1"/>
    <cellStyle name="Hyperlink" xfId="1737" builtinId="8" hidden="1"/>
    <cellStyle name="Hyperlink" xfId="1739" builtinId="8" hidden="1"/>
    <cellStyle name="Hyperlink" xfId="1741" builtinId="8" hidden="1"/>
    <cellStyle name="Hyperlink" xfId="1743" builtinId="8" hidden="1"/>
    <cellStyle name="Hyperlink" xfId="1745" builtinId="8" hidden="1"/>
    <cellStyle name="Hyperlink" xfId="1747" builtinId="8" hidden="1"/>
    <cellStyle name="Hyperlink" xfId="1749" builtinId="8" hidden="1"/>
    <cellStyle name="Hyperlink" xfId="1751" builtinId="8" hidden="1"/>
    <cellStyle name="Hyperlink" xfId="1753" builtinId="8" hidden="1"/>
    <cellStyle name="Hyperlink" xfId="1755" builtinId="8" hidden="1"/>
    <cellStyle name="Hyperlink" xfId="1757" builtinId="8" hidden="1"/>
    <cellStyle name="Hyperlink" xfId="1759" builtinId="8" hidden="1"/>
    <cellStyle name="Hyperlink" xfId="1761" builtinId="8" hidden="1"/>
    <cellStyle name="Hyperlink" xfId="1763" builtinId="8" hidden="1"/>
    <cellStyle name="Hyperlink" xfId="1765" builtinId="8" hidden="1"/>
    <cellStyle name="Hyperlink" xfId="1767" builtinId="8" hidden="1"/>
    <cellStyle name="Hyperlink" xfId="1769" builtinId="8" hidden="1"/>
    <cellStyle name="Hyperlink" xfId="1771" builtinId="8" hidden="1"/>
    <cellStyle name="Hyperlink" xfId="1773" builtinId="8" hidden="1"/>
    <cellStyle name="Hyperlink" xfId="1775" builtinId="8" hidden="1"/>
    <cellStyle name="Hyperlink" xfId="1777" builtinId="8" hidden="1"/>
    <cellStyle name="Hyperlink" xfId="1779" builtinId="8" hidden="1"/>
    <cellStyle name="Hyperlink" xfId="1781" builtinId="8" hidden="1"/>
    <cellStyle name="Hyperlink" xfId="1783" builtinId="8" hidden="1"/>
    <cellStyle name="Hyperlink" xfId="1785" builtinId="8" hidden="1"/>
    <cellStyle name="Hyperlink" xfId="1787" builtinId="8" hidden="1"/>
    <cellStyle name="Hyperlink" xfId="1789" builtinId="8" hidden="1"/>
    <cellStyle name="Hyperlink" xfId="1791" builtinId="8" hidden="1"/>
    <cellStyle name="Hyperlink" xfId="1793" builtinId="8" hidden="1"/>
    <cellStyle name="Hyperlink" xfId="1795" builtinId="8" hidden="1"/>
    <cellStyle name="Hyperlink" xfId="1797" builtinId="8" hidden="1"/>
    <cellStyle name="Hyperlink" xfId="1799" builtinId="8" hidden="1"/>
    <cellStyle name="Hyperlink" xfId="1801" builtinId="8" hidden="1"/>
    <cellStyle name="Hyperlink" xfId="1803" builtinId="8" hidden="1"/>
    <cellStyle name="Hyperlink" xfId="1805" builtinId="8" hidden="1"/>
    <cellStyle name="Hyperlink" xfId="1807" builtinId="8" hidden="1"/>
    <cellStyle name="Hyperlink" xfId="1809" builtinId="8" hidden="1"/>
    <cellStyle name="Hyperlink" xfId="1811" builtinId="8" hidden="1"/>
    <cellStyle name="Hyperlink" xfId="1813" builtinId="8" hidden="1"/>
    <cellStyle name="Hyperlink" xfId="1815" builtinId="8" hidden="1"/>
    <cellStyle name="Hyperlink" xfId="1817" builtinId="8" hidden="1"/>
    <cellStyle name="Hyperlink" xfId="1819" builtinId="8" hidden="1"/>
    <cellStyle name="Hyperlink" xfId="1821" builtinId="8" hidden="1"/>
    <cellStyle name="Hyperlink" xfId="1823" builtinId="8" hidden="1"/>
    <cellStyle name="Hyperlink" xfId="1825" builtinId="8" hidden="1"/>
    <cellStyle name="Hyperlink" xfId="1827" builtinId="8" hidden="1"/>
    <cellStyle name="Hyperlink" xfId="1829" builtinId="8" hidden="1"/>
    <cellStyle name="Hyperlink" xfId="1831" builtinId="8" hidden="1"/>
    <cellStyle name="Hyperlink" xfId="1833" builtinId="8" hidden="1"/>
    <cellStyle name="Hyperlink" xfId="1835" builtinId="8" hidden="1"/>
    <cellStyle name="Hyperlink" xfId="1837" builtinId="8" hidden="1"/>
    <cellStyle name="Hyperlink" xfId="1839" builtinId="8" hidden="1"/>
    <cellStyle name="Hyperlink" xfId="1841" builtinId="8" hidden="1"/>
    <cellStyle name="Hyperlink" xfId="1843" builtinId="8" hidden="1"/>
    <cellStyle name="Hyperlink" xfId="1845" builtinId="8" hidden="1"/>
    <cellStyle name="Hyperlink" xfId="1847" builtinId="8" hidden="1"/>
    <cellStyle name="Hyperlink" xfId="1849" builtinId="8" hidden="1"/>
    <cellStyle name="Hyperlink" xfId="1851" builtinId="8" hidden="1"/>
    <cellStyle name="Hyperlink" xfId="1853" builtinId="8" hidden="1"/>
    <cellStyle name="Hyperlink" xfId="1855" builtinId="8" hidden="1"/>
    <cellStyle name="Hyperlink" xfId="1857" builtinId="8" hidden="1"/>
    <cellStyle name="Hyperlink" xfId="1859" builtinId="8" hidden="1"/>
    <cellStyle name="Hyperlink" xfId="1861" builtinId="8" hidden="1"/>
    <cellStyle name="Hyperlink" xfId="1863" builtinId="8" hidden="1"/>
    <cellStyle name="Hyperlink" xfId="1865" builtinId="8" hidden="1"/>
    <cellStyle name="Hyperlink" xfId="1867" builtinId="8" hidden="1"/>
    <cellStyle name="Hyperlink" xfId="1869" builtinId="8" hidden="1"/>
    <cellStyle name="Hyperlink" xfId="1871" builtinId="8" hidden="1"/>
    <cellStyle name="Hyperlink" xfId="1873" builtinId="8" hidden="1"/>
    <cellStyle name="Hyperlink" xfId="1875" builtinId="8" hidden="1"/>
    <cellStyle name="Hyperlink" xfId="1877" builtinId="8" hidden="1"/>
    <cellStyle name="Hyperlink" xfId="1879" builtinId="8" hidden="1"/>
    <cellStyle name="Hyperlink" xfId="1881" builtinId="8" hidden="1"/>
    <cellStyle name="Hyperlink" xfId="1883" builtinId="8" hidden="1"/>
    <cellStyle name="Hyperlink" xfId="1885" builtinId="8" hidden="1"/>
    <cellStyle name="Hyperlink" xfId="1887" builtinId="8" hidden="1"/>
    <cellStyle name="Hyperlink" xfId="1889" builtinId="8" hidden="1"/>
    <cellStyle name="Hyperlink" xfId="1891" builtinId="8" hidden="1"/>
    <cellStyle name="Hyperlink" xfId="1893" builtinId="8" hidden="1"/>
    <cellStyle name="Hyperlink" xfId="1895" builtinId="8" hidden="1"/>
    <cellStyle name="Hyperlink" xfId="1897" builtinId="8" hidden="1"/>
    <cellStyle name="Hyperlink" xfId="1899" builtinId="8" hidden="1"/>
    <cellStyle name="Hyperlink" xfId="1901" builtinId="8" hidden="1"/>
    <cellStyle name="Hyperlink" xfId="1903" builtinId="8" hidden="1"/>
    <cellStyle name="Hyperlink" xfId="1905" builtinId="8" hidden="1"/>
    <cellStyle name="Hyperlink" xfId="1907" builtinId="8" hidden="1"/>
    <cellStyle name="Hyperlink" xfId="1909" builtinId="8" hidden="1"/>
    <cellStyle name="Hyperlink" xfId="1911" builtinId="8" hidden="1"/>
    <cellStyle name="Hyperlink" xfId="1913" builtinId="8" hidden="1"/>
    <cellStyle name="Hyperlink" xfId="1915" builtinId="8" hidden="1"/>
    <cellStyle name="Hyperlink" xfId="1917" builtinId="8" hidden="1"/>
    <cellStyle name="Hyperlink" xfId="1919" builtinId="8" hidden="1"/>
    <cellStyle name="Hyperlink" xfId="1921" builtinId="8" hidden="1"/>
    <cellStyle name="Hyperlink" xfId="1923" builtinId="8" hidden="1"/>
    <cellStyle name="Hyperlink" xfId="1925" builtinId="8" hidden="1"/>
    <cellStyle name="Hyperlink" xfId="1927" builtinId="8" hidden="1"/>
    <cellStyle name="Hyperlink" xfId="1929" builtinId="8" hidden="1"/>
    <cellStyle name="Hyperlink" xfId="1931" builtinId="8" hidden="1"/>
    <cellStyle name="Hyperlink" xfId="1933" builtinId="8" hidden="1"/>
    <cellStyle name="Hyperlink" xfId="1935" builtinId="8" hidden="1"/>
    <cellStyle name="Hyperlink" xfId="1937" builtinId="8" hidden="1"/>
    <cellStyle name="Hyperlink" xfId="1939" builtinId="8" hidden="1"/>
    <cellStyle name="Hyperlink" xfId="1941" builtinId="8" hidden="1"/>
    <cellStyle name="Hyperlink" xfId="1943" builtinId="8" hidden="1"/>
    <cellStyle name="Hyperlink" xfId="1945" builtinId="8" hidden="1"/>
    <cellStyle name="Hyperlink" xfId="1947" builtinId="8" hidden="1"/>
    <cellStyle name="Hyperlink" xfId="1949" builtinId="8" hidden="1"/>
    <cellStyle name="Hyperlink" xfId="1951" builtinId="8" hidden="1"/>
    <cellStyle name="Hyperlink" xfId="1953" builtinId="8" hidden="1"/>
    <cellStyle name="Hyperlink" xfId="1955" builtinId="8" hidden="1"/>
    <cellStyle name="Hyperlink" xfId="1957" builtinId="8" hidden="1"/>
    <cellStyle name="Hyperlink" xfId="1959" builtinId="8" hidden="1"/>
    <cellStyle name="Hyperlink" xfId="1961" builtinId="8" hidden="1"/>
    <cellStyle name="Hyperlink" xfId="1963" builtinId="8" hidden="1"/>
    <cellStyle name="Hyperlink" xfId="1965" builtinId="8" hidden="1"/>
    <cellStyle name="Hyperlink" xfId="1967" builtinId="8" hidden="1"/>
    <cellStyle name="Hyperlink" xfId="1969" builtinId="8" hidden="1"/>
    <cellStyle name="Hyperlink" xfId="1971" builtinId="8" hidden="1"/>
    <cellStyle name="Hyperlink" xfId="1973" builtinId="8" hidden="1"/>
    <cellStyle name="Hyperlink" xfId="1975" builtinId="8" hidden="1"/>
    <cellStyle name="Hyperlink" xfId="1977" builtinId="8" hidden="1"/>
    <cellStyle name="Hyperlink" xfId="1979" builtinId="8" hidden="1"/>
    <cellStyle name="Hyperlink" xfId="1981" builtinId="8" hidden="1"/>
    <cellStyle name="Hyperlink" xfId="1983" builtinId="8" hidden="1"/>
    <cellStyle name="Hyperlink" xfId="1985" builtinId="8" hidden="1"/>
    <cellStyle name="Hyperlink" xfId="1987" builtinId="8" hidden="1"/>
    <cellStyle name="Hyperlink" xfId="1989" builtinId="8" hidden="1"/>
    <cellStyle name="Hyperlink" xfId="1991" builtinId="8" hidden="1"/>
    <cellStyle name="Hyperlink" xfId="1993" builtinId="8" hidden="1"/>
    <cellStyle name="Hyperlink" xfId="1995" builtinId="8" hidden="1"/>
    <cellStyle name="Hyperlink" xfId="1997" builtinId="8" hidden="1"/>
    <cellStyle name="Hyperlink" xfId="1999" builtinId="8" hidden="1"/>
    <cellStyle name="Hyperlink" xfId="2001" builtinId="8" hidden="1"/>
    <cellStyle name="Hyperlink" xfId="2003" builtinId="8" hidden="1"/>
    <cellStyle name="Hyperlink" xfId="2005" builtinId="8" hidden="1"/>
    <cellStyle name="Hyperlink" xfId="2007" builtinId="8" hidden="1"/>
    <cellStyle name="Hyperlink" xfId="2009" builtinId="8" hidden="1"/>
    <cellStyle name="Hyperlink" xfId="2011" builtinId="8" hidden="1"/>
    <cellStyle name="Hyperlink" xfId="2013" builtinId="8" hidden="1"/>
    <cellStyle name="Hyperlink" xfId="2015" builtinId="8" hidden="1"/>
    <cellStyle name="Hyperlink" xfId="2017" builtinId="8" hidden="1"/>
    <cellStyle name="Hyperlink" xfId="2019"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hyperlink" Target="http://effective-altruism.com/ea/rl/quantifying_the_impact_of_economic_growth_on_mea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L30"/>
  <sheetViews>
    <sheetView workbookViewId="0">
      <selection activeCell="C5" sqref="C5"/>
    </sheetView>
  </sheetViews>
  <sheetFormatPr baseColWidth="10" defaultRowHeight="15" x14ac:dyDescent="0"/>
  <cols>
    <col min="1" max="1" width="28.83203125" customWidth="1"/>
    <col min="2" max="5" width="12.1640625" bestFit="1" customWidth="1"/>
    <col min="6" max="6" width="12.83203125" bestFit="1" customWidth="1"/>
    <col min="7" max="7" width="12.1640625" bestFit="1" customWidth="1"/>
    <col min="8" max="11" width="11.83203125" bestFit="1" customWidth="1"/>
    <col min="13" max="13" width="11.83203125" bestFit="1" customWidth="1"/>
  </cols>
  <sheetData>
    <row r="1" spans="1:12" ht="30" customHeight="1">
      <c r="A1" s="6" t="s">
        <v>139</v>
      </c>
      <c r="G1" s="6" t="s">
        <v>141</v>
      </c>
    </row>
    <row r="2" spans="1:12" ht="30" customHeight="1">
      <c r="A2" s="44"/>
      <c r="B2" s="58" t="s">
        <v>111</v>
      </c>
      <c r="C2" s="58" t="s">
        <v>112</v>
      </c>
      <c r="D2" s="58" t="s">
        <v>140</v>
      </c>
      <c r="G2" s="44"/>
      <c r="H2" s="44" t="s">
        <v>119</v>
      </c>
      <c r="I2" s="44" t="s">
        <v>30</v>
      </c>
      <c r="J2" s="58" t="s">
        <v>111</v>
      </c>
      <c r="K2" s="58" t="s">
        <v>112</v>
      </c>
    </row>
    <row r="3" spans="1:12" ht="30" customHeight="1">
      <c r="A3" s="96" t="s">
        <v>113</v>
      </c>
      <c r="B3" s="97">
        <f>GiveDirectly!B30</f>
        <v>-1021738259900382.6</v>
      </c>
      <c r="C3" s="97" t="e">
        <f>GiveDirectly!B31</f>
        <v>#VALUE!</v>
      </c>
      <c r="D3" s="97" t="e">
        <f>C3/$C$3</f>
        <v>#VALUE!</v>
      </c>
      <c r="G3" s="139" t="s">
        <v>113</v>
      </c>
      <c r="H3" s="80">
        <f>GiveDirectly!G3</f>
        <v>1</v>
      </c>
      <c r="I3" s="79">
        <f>GiveDirectly!H3</f>
        <v>4.0000000000000008E-2</v>
      </c>
      <c r="J3" s="97">
        <f>GiveDirectly!G4</f>
        <v>0.85832741114212496</v>
      </c>
      <c r="K3" s="97" t="str">
        <f>GiveDirectly!G5</f>
        <v>disabled</v>
      </c>
    </row>
    <row r="4" spans="1:12" ht="30" customHeight="1">
      <c r="A4" s="96" t="s">
        <v>171</v>
      </c>
      <c r="B4" s="97" t="e">
        <f>THL!B34</f>
        <v>#VALUE!</v>
      </c>
      <c r="C4" s="97" t="e">
        <f>THL!B35</f>
        <v>#VALUE!</v>
      </c>
      <c r="D4" s="97" t="e">
        <f>C4/C3</f>
        <v>#VALUE!</v>
      </c>
      <c r="G4" s="80" t="s">
        <v>118</v>
      </c>
      <c r="H4" s="138">
        <f>D17</f>
        <v>11.224972160321824</v>
      </c>
      <c r="I4" s="138">
        <f>E17</f>
        <v>7.4864535847752101E-2</v>
      </c>
      <c r="J4" s="97">
        <f>ParetoPosterior(median,alpha,H4:I4)</f>
        <v>7.6651731591110082</v>
      </c>
      <c r="K4" s="97">
        <f>LognormPosterior(mu_global_poverty,sigma_global_poverty,H4:I4)</f>
        <v>7.68136697438384</v>
      </c>
    </row>
    <row r="5" spans="1:12" ht="30" customHeight="1">
      <c r="A5" s="58" t="s">
        <v>297</v>
      </c>
      <c r="B5" s="140">
        <f>'Cage-Free'!B23</f>
        <v>1.7155923138575062E+24</v>
      </c>
      <c r="C5" s="140">
        <f>'Cage-Free'!B24</f>
        <v>122694.70790374537</v>
      </c>
      <c r="D5" s="140" t="e">
        <f>C5/C3</f>
        <v>#VALUE!</v>
      </c>
      <c r="G5" s="80" t="s">
        <v>171</v>
      </c>
      <c r="H5" s="138">
        <f>THL!I5</f>
        <v>5429.9171264394072</v>
      </c>
      <c r="I5" s="79">
        <f>THL!J5</f>
        <v>0.49504262895320128</v>
      </c>
      <c r="J5" s="97">
        <f>THL!I6</f>
        <v>396.49368154968971</v>
      </c>
      <c r="K5" s="97">
        <f>THL!I7</f>
        <v>194.83133807235006</v>
      </c>
    </row>
    <row r="6" spans="1:12" ht="30" customHeight="1">
      <c r="A6" s="96" t="s">
        <v>114</v>
      </c>
      <c r="B6" s="97">
        <f>'AI Safety'!B11</f>
        <v>6.3112967095697664E+27</v>
      </c>
      <c r="C6" s="97">
        <f>'AI Safety'!B12</f>
        <v>213917.63204134765</v>
      </c>
      <c r="D6" s="97" t="e">
        <f>C6/$C$3</f>
        <v>#VALUE!</v>
      </c>
      <c r="G6" s="80" t="s">
        <v>250</v>
      </c>
      <c r="H6" s="138">
        <f>'Cage-Free'!I5</f>
        <v>88741.196746494257</v>
      </c>
      <c r="I6" s="138">
        <f>'Cage-Free'!J5</f>
        <v>0.31528753718843733</v>
      </c>
      <c r="J6" s="97">
        <f>'Cage-Free'!I6</f>
        <v>16679.269175199799</v>
      </c>
      <c r="K6" s="97">
        <f>'Cage-Free'!I7</f>
        <v>2531.88913733256</v>
      </c>
    </row>
    <row r="7" spans="1:12" ht="30" customHeight="1">
      <c r="A7" s="96" t="s">
        <v>138</v>
      </c>
      <c r="B7" s="97">
        <f>'AI Targeted Values Spreading'!B23</f>
        <v>7.21322996525908E+36</v>
      </c>
      <c r="C7" s="97">
        <f>'AI Targeted Values Spreading'!B24</f>
        <v>25902525.57153099</v>
      </c>
      <c r="D7" s="97" t="e">
        <f>C7/$C$3</f>
        <v>#VALUE!</v>
      </c>
    </row>
    <row r="8" spans="1:12" ht="30" customHeight="1">
      <c r="G8" s="3"/>
      <c r="H8" s="9"/>
      <c r="I8" s="3"/>
      <c r="K8" s="3"/>
      <c r="L8" s="3"/>
    </row>
    <row r="9" spans="1:12" ht="30" customHeight="1"/>
    <row r="10" spans="1:12" ht="30" customHeight="1">
      <c r="A10" s="6" t="s">
        <v>249</v>
      </c>
    </row>
    <row r="11" spans="1:12" ht="30" customHeight="1">
      <c r="A11" s="44" t="s">
        <v>246</v>
      </c>
      <c r="B11" s="44" t="s">
        <v>0</v>
      </c>
      <c r="C11" s="44" t="s">
        <v>1</v>
      </c>
      <c r="D11" s="44" t="s">
        <v>156</v>
      </c>
      <c r="E11" s="44" t="s">
        <v>158</v>
      </c>
      <c r="F11" s="58" t="s">
        <v>111</v>
      </c>
      <c r="G11" s="58" t="s">
        <v>112</v>
      </c>
      <c r="H11" s="44" t="s">
        <v>27</v>
      </c>
    </row>
    <row r="12" spans="1:12" ht="30" customHeight="1">
      <c r="A12" s="44" t="s">
        <v>113</v>
      </c>
      <c r="B12" s="44"/>
      <c r="C12" s="44"/>
      <c r="D12" s="44"/>
      <c r="E12" s="44"/>
      <c r="F12" s="140">
        <f>B3</f>
        <v>-1021738259900382.6</v>
      </c>
      <c r="G12" s="140" t="e">
        <f>C3</f>
        <v>#VALUE!</v>
      </c>
    </row>
    <row r="13" spans="1:12" ht="30" customHeight="1">
      <c r="A13" s="44" t="s">
        <v>171</v>
      </c>
      <c r="B13" s="44"/>
      <c r="C13" s="44"/>
      <c r="D13" s="44"/>
      <c r="E13" s="44"/>
      <c r="F13" s="140" t="e">
        <f>B4</f>
        <v>#VALUE!</v>
      </c>
      <c r="G13" s="140" t="e">
        <f>C4</f>
        <v>#VALUE!</v>
      </c>
    </row>
    <row r="14" spans="1:12" ht="30" customHeight="1">
      <c r="A14" s="44" t="s">
        <v>280</v>
      </c>
      <c r="B14" s="44"/>
      <c r="C14" s="44"/>
      <c r="D14" s="44"/>
      <c r="E14" s="44"/>
      <c r="F14" s="140">
        <f>J6</f>
        <v>16679.269175199799</v>
      </c>
      <c r="G14" s="140">
        <f>K6</f>
        <v>2531.88913733256</v>
      </c>
    </row>
    <row r="15" spans="1:12" ht="30" customHeight="1">
      <c r="A15" s="44" t="s">
        <v>114</v>
      </c>
      <c r="B15" s="44"/>
      <c r="C15" s="44"/>
      <c r="D15" s="44"/>
      <c r="E15" s="44"/>
      <c r="F15" s="140">
        <f>B6</f>
        <v>6.3112967095697664E+27</v>
      </c>
      <c r="G15" s="140">
        <f>C6</f>
        <v>213917.63204134765</v>
      </c>
    </row>
    <row r="16" spans="1:12" ht="30" customHeight="1">
      <c r="A16" s="44" t="s">
        <v>138</v>
      </c>
      <c r="B16" s="44"/>
      <c r="C16" s="44"/>
      <c r="D16" s="44"/>
      <c r="E16" s="44"/>
      <c r="F16" s="140">
        <f>B7</f>
        <v>7.21322996525908E+36</v>
      </c>
      <c r="G16" s="140">
        <f>C7</f>
        <v>25902525.57153099</v>
      </c>
    </row>
    <row r="17" spans="1:8" ht="30" customHeight="1">
      <c r="A17" s="62" t="s">
        <v>274</v>
      </c>
      <c r="B17" s="92">
        <v>9</v>
      </c>
      <c r="C17" s="92">
        <v>14</v>
      </c>
      <c r="D17" s="138">
        <f t="shared" ref="D17:D22" si="0">GEOMEAN(B17,C17)</f>
        <v>11.224972160321824</v>
      </c>
      <c r="E17" s="80">
        <f t="shared" ref="E17:E22" si="1">LogVariance(B17,C17)</f>
        <v>7.4864535847752101E-2</v>
      </c>
      <c r="F17" s="140">
        <f t="shared" ref="F17:F22" si="2">ParetoPosterior(median,alpha,$D17:$E17)</f>
        <v>7.6651731591110082</v>
      </c>
      <c r="G17" s="140">
        <f>LognormPosterior(mu_global_poverty,sigma_global_poverty,$D17:$E17)</f>
        <v>7.68136697438384</v>
      </c>
    </row>
    <row r="18" spans="1:8" ht="30" customHeight="1">
      <c r="A18" s="62" t="s">
        <v>275</v>
      </c>
      <c r="B18" s="92">
        <v>6</v>
      </c>
      <c r="C18" s="92">
        <v>30</v>
      </c>
      <c r="D18" s="138">
        <f t="shared" si="0"/>
        <v>13.416407864998737</v>
      </c>
      <c r="E18" s="80">
        <f t="shared" si="1"/>
        <v>0.27270459618181209</v>
      </c>
      <c r="F18" s="140">
        <f t="shared" si="2"/>
        <v>3.7274882658620698</v>
      </c>
      <c r="G18" s="140">
        <f>LognormPosterior(mu_global_poverty,sigma_global_poverty,$D18:$E18)</f>
        <v>4.4094745822667356</v>
      </c>
    </row>
    <row r="19" spans="1:8" ht="30" customHeight="1">
      <c r="A19" s="62" t="s">
        <v>276</v>
      </c>
      <c r="B19" s="92">
        <v>0.5</v>
      </c>
      <c r="C19" s="92">
        <v>15</v>
      </c>
      <c r="D19" s="138">
        <f t="shared" si="0"/>
        <v>2.7386127875258306</v>
      </c>
      <c r="E19" s="80">
        <f t="shared" si="1"/>
        <v>0.57630191965469357</v>
      </c>
      <c r="F19" s="140">
        <f t="shared" si="2"/>
        <v>0.60816760992752539</v>
      </c>
      <c r="G19" s="140">
        <f>LognormPosterior(mu_policy,sigma_policy,$D19:$E19)</f>
        <v>1.0908863363038546</v>
      </c>
      <c r="H19" s="127" t="s">
        <v>247</v>
      </c>
    </row>
    <row r="20" spans="1:8" ht="30" customHeight="1">
      <c r="A20" s="62" t="s">
        <v>277</v>
      </c>
      <c r="B20" s="92">
        <v>2</v>
      </c>
      <c r="C20" s="92">
        <v>25</v>
      </c>
      <c r="D20" s="138">
        <f t="shared" si="0"/>
        <v>7.0710678118654755</v>
      </c>
      <c r="E20" s="80">
        <f t="shared" si="1"/>
        <v>0.42796171550924683</v>
      </c>
      <c r="F20" s="140">
        <f t="shared" si="2"/>
        <v>1.3899606988089097</v>
      </c>
      <c r="G20" s="140">
        <f>LognormPosterior(mu_policy,sigma_policy,$D20:$E20)</f>
        <v>2.1388077929344163</v>
      </c>
    </row>
    <row r="21" spans="1:8" ht="30" customHeight="1">
      <c r="A21" s="62" t="s">
        <v>278</v>
      </c>
      <c r="B21" s="92">
        <v>0.1</v>
      </c>
      <c r="C21" s="92">
        <v>10</v>
      </c>
      <c r="D21" s="138">
        <f t="shared" si="0"/>
        <v>1</v>
      </c>
      <c r="E21" s="80">
        <f t="shared" si="1"/>
        <v>0.78030414607237897</v>
      </c>
      <c r="F21" s="140">
        <f t="shared" si="2"/>
        <v>0.32990094699021733</v>
      </c>
      <c r="G21" s="140">
        <f>LognormPosterior(mu_policy,sigma_policy,$D21:$E21)</f>
        <v>0.62405286763824308</v>
      </c>
    </row>
    <row r="22" spans="1:8" ht="30" customHeight="1">
      <c r="A22" s="62" t="s">
        <v>279</v>
      </c>
      <c r="B22" s="92">
        <v>1</v>
      </c>
      <c r="C22" s="92">
        <v>100</v>
      </c>
      <c r="D22" s="138">
        <f t="shared" si="0"/>
        <v>10</v>
      </c>
      <c r="E22" s="80">
        <f t="shared" si="1"/>
        <v>0.78030414607237897</v>
      </c>
      <c r="F22" s="140">
        <f t="shared" si="2"/>
        <v>0.91744602369328643</v>
      </c>
      <c r="G22" s="140">
        <f>LognormPosterior(mu_policy,sigma_policy,$D22:$E22)</f>
        <v>1.6372722236599835</v>
      </c>
    </row>
    <row r="23" spans="1:8" ht="30" customHeight="1">
      <c r="A23" s="62" t="s">
        <v>251</v>
      </c>
      <c r="B23" s="44"/>
      <c r="C23" s="44"/>
      <c r="D23" s="141">
        <f>'AI Safety'!H26/10</f>
        <v>9.7766637805357065E+38</v>
      </c>
      <c r="E23" s="141">
        <f>'AI Safety'!I26</f>
        <v>5.2940810392801163</v>
      </c>
      <c r="F23" s="140">
        <f>ParetoPosterior(1,alpha,$D23:$E23)</f>
        <v>6.3112967095697741E+26</v>
      </c>
      <c r="G23" s="140">
        <f>LognormPosterior(mu_far_future,sigma_far_future,$D23:$E23)</f>
        <v>171474.9893022576</v>
      </c>
    </row>
    <row r="24" spans="1:8" ht="30" customHeight="1">
      <c r="A24" s="62" t="s">
        <v>252</v>
      </c>
      <c r="B24" s="44"/>
      <c r="C24" s="44"/>
      <c r="D24" s="141">
        <f>D23</f>
        <v>9.7766637805357065E+38</v>
      </c>
      <c r="E24" s="141">
        <f>E23</f>
        <v>5.2940810392801163</v>
      </c>
      <c r="F24" s="140">
        <f>ParetoPosterior(median,alpha,$D24:$E24)</f>
        <v>6.3112967095697288E+26</v>
      </c>
      <c r="G24" s="140">
        <f>LognormPosterior(mu_far_future,sigma_far_future,$D24:$E24)</f>
        <v>171474.9893022576</v>
      </c>
    </row>
    <row r="25" spans="1:8" ht="30" customHeight="1">
      <c r="A25" s="45" t="s">
        <v>273</v>
      </c>
      <c r="B25" s="3"/>
      <c r="C25" s="3"/>
      <c r="D25" s="3"/>
    </row>
    <row r="26" spans="1:8" ht="30" customHeight="1"/>
    <row r="27" spans="1:8" ht="30" customHeight="1"/>
    <row r="28" spans="1:8" ht="30" customHeight="1"/>
    <row r="29" spans="1:8" ht="30" customHeight="1"/>
    <row r="30" spans="1:8" ht="30" customHeight="1"/>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P48"/>
  <sheetViews>
    <sheetView tabSelected="1" workbookViewId="0">
      <selection activeCell="A3" sqref="A3"/>
    </sheetView>
  </sheetViews>
  <sheetFormatPr baseColWidth="10" defaultRowHeight="15" x14ac:dyDescent="0"/>
  <cols>
    <col min="1" max="1" width="21.6640625" customWidth="1"/>
    <col min="2" max="2" width="12.1640625" bestFit="1" customWidth="1"/>
    <col min="3" max="3" width="21.6640625" customWidth="1"/>
    <col min="4" max="4" width="10.83203125" customWidth="1"/>
    <col min="5" max="5" width="21.6640625" customWidth="1"/>
    <col min="7" max="8" width="10.83203125" customWidth="1"/>
    <col min="10" max="10" width="21.6640625" customWidth="1"/>
    <col min="13" max="14" width="10.83203125" customWidth="1"/>
  </cols>
  <sheetData>
    <row r="1" spans="1:13" ht="20">
      <c r="A1" s="6" t="s">
        <v>146</v>
      </c>
      <c r="C1" s="6" t="s">
        <v>79</v>
      </c>
      <c r="J1" s="6" t="s">
        <v>4</v>
      </c>
      <c r="M1" s="1"/>
    </row>
    <row r="2" spans="1:13" ht="30" customHeight="1">
      <c r="A2" s="24">
        <v>0</v>
      </c>
      <c r="B2" t="s">
        <v>147</v>
      </c>
      <c r="D2" t="s">
        <v>248</v>
      </c>
      <c r="E2" s="5" t="s">
        <v>143</v>
      </c>
      <c r="F2" s="5" t="s">
        <v>144</v>
      </c>
      <c r="G2" s="5" t="s">
        <v>145</v>
      </c>
      <c r="H2" s="3"/>
    </row>
    <row r="3" spans="1:13" s="44" customFormat="1" ht="30" customHeight="1">
      <c r="A3" s="39" t="s">
        <v>298</v>
      </c>
      <c r="C3" s="71" t="s">
        <v>80</v>
      </c>
      <c r="D3" s="72">
        <v>0.1</v>
      </c>
      <c r="E3" s="72">
        <v>0.1</v>
      </c>
      <c r="F3" s="72">
        <v>1</v>
      </c>
      <c r="G3" s="109">
        <v>10</v>
      </c>
      <c r="H3" s="71" t="s">
        <v>80</v>
      </c>
      <c r="I3" s="73" t="s">
        <v>189</v>
      </c>
      <c r="J3" s="74"/>
      <c r="K3" s="71" t="s">
        <v>3</v>
      </c>
      <c r="L3" s="75">
        <v>0.1</v>
      </c>
    </row>
    <row r="4" spans="1:13" s="44" customFormat="1" ht="30" customHeight="1">
      <c r="C4" s="71" t="s">
        <v>81</v>
      </c>
      <c r="D4" s="72">
        <f>sigma_global_poverty</f>
        <v>0.75</v>
      </c>
      <c r="E4" s="72">
        <v>0.75</v>
      </c>
      <c r="F4" s="72">
        <f>sigma_global_poverty</f>
        <v>0.75</v>
      </c>
      <c r="G4" s="72">
        <f>sigma_global_poverty</f>
        <v>0.75</v>
      </c>
      <c r="H4" s="71" t="s">
        <v>81</v>
      </c>
      <c r="I4" s="73" t="s">
        <v>190</v>
      </c>
      <c r="J4" s="74"/>
      <c r="K4" s="71" t="s">
        <v>2</v>
      </c>
      <c r="L4" s="72">
        <v>1.5</v>
      </c>
    </row>
    <row r="5" spans="1:13" ht="30" customHeight="1">
      <c r="C5" s="103" t="s">
        <v>191</v>
      </c>
      <c r="G5" s="103" t="s">
        <v>253</v>
      </c>
    </row>
    <row r="6" spans="1:13" ht="30" customHeight="1"/>
    <row r="7" spans="1:13" ht="30" customHeight="1">
      <c r="A7" s="76" t="s">
        <v>13</v>
      </c>
      <c r="B7" s="34"/>
      <c r="C7" s="34"/>
      <c r="D7" s="119" t="s">
        <v>271</v>
      </c>
      <c r="E7" s="34"/>
      <c r="F7" s="34"/>
      <c r="J7" s="6" t="s">
        <v>88</v>
      </c>
      <c r="L7" s="48" t="s">
        <v>65</v>
      </c>
    </row>
    <row r="8" spans="1:13" s="44" customFormat="1" ht="30" customHeight="1">
      <c r="A8" s="77" t="s">
        <v>5</v>
      </c>
      <c r="B8" s="78">
        <v>0.2</v>
      </c>
      <c r="C8" s="77" t="s">
        <v>12</v>
      </c>
      <c r="D8" s="78">
        <v>0.7</v>
      </c>
      <c r="E8" s="79" t="s">
        <v>244</v>
      </c>
      <c r="F8" s="79"/>
      <c r="J8" s="58" t="s">
        <v>90</v>
      </c>
      <c r="L8" s="66" t="s">
        <v>26</v>
      </c>
      <c r="M8" s="108">
        <v>20000000000</v>
      </c>
    </row>
    <row r="9" spans="1:13" s="44" customFormat="1" ht="30" customHeight="1">
      <c r="A9" s="77" t="s">
        <v>218</v>
      </c>
      <c r="B9" s="78">
        <v>0.4</v>
      </c>
      <c r="C9" s="77" t="s">
        <v>6</v>
      </c>
      <c r="D9" s="78">
        <v>0.8</v>
      </c>
      <c r="E9" s="77" t="s">
        <v>61</v>
      </c>
      <c r="F9" s="78">
        <v>0.3</v>
      </c>
      <c r="J9" s="59" t="s">
        <v>89</v>
      </c>
      <c r="L9" s="66" t="s">
        <v>95</v>
      </c>
      <c r="M9" s="92">
        <v>0.05</v>
      </c>
    </row>
    <row r="10" spans="1:13" s="44" customFormat="1" ht="30" customHeight="1">
      <c r="A10" s="80"/>
      <c r="B10" s="80"/>
      <c r="C10" s="80"/>
      <c r="D10" s="126" t="s">
        <v>232</v>
      </c>
      <c r="E10" s="77" t="s">
        <v>8</v>
      </c>
      <c r="F10" s="81">
        <v>0.4</v>
      </c>
      <c r="J10" s="60" t="s">
        <v>52</v>
      </c>
    </row>
    <row r="11" spans="1:13" s="44" customFormat="1" ht="30" customHeight="1">
      <c r="A11" s="79"/>
      <c r="B11" s="79"/>
      <c r="C11" s="79"/>
      <c r="D11" s="79"/>
      <c r="E11" s="77" t="s">
        <v>7</v>
      </c>
      <c r="F11" s="81">
        <v>0.3</v>
      </c>
      <c r="J11" s="61" t="s">
        <v>185</v>
      </c>
    </row>
    <row r="12" spans="1:13" s="44" customFormat="1" ht="30" customHeight="1">
      <c r="A12" s="77" t="s">
        <v>219</v>
      </c>
      <c r="B12" s="78">
        <v>0.4</v>
      </c>
      <c r="C12" s="77" t="s">
        <v>9</v>
      </c>
      <c r="D12" s="78">
        <v>0.05</v>
      </c>
      <c r="E12" s="80" t="s">
        <v>241</v>
      </c>
      <c r="F12" s="79"/>
      <c r="J12" s="44" t="s">
        <v>186</v>
      </c>
    </row>
    <row r="13" spans="1:13" s="44" customFormat="1" ht="30" customHeight="1">
      <c r="A13" s="79"/>
      <c r="B13" s="79"/>
      <c r="C13" s="77" t="s">
        <v>196</v>
      </c>
      <c r="D13" s="78">
        <v>0.3</v>
      </c>
      <c r="E13" s="79" t="s">
        <v>240</v>
      </c>
      <c r="F13" s="79"/>
      <c r="J13" s="62" t="s">
        <v>270</v>
      </c>
    </row>
    <row r="14" spans="1:13" s="44" customFormat="1" ht="30" customHeight="1">
      <c r="A14" s="79"/>
      <c r="B14" s="79"/>
      <c r="C14" s="77" t="s">
        <v>10</v>
      </c>
      <c r="D14" s="78">
        <v>0.64</v>
      </c>
      <c r="E14" s="79" t="s">
        <v>242</v>
      </c>
      <c r="F14" s="79"/>
      <c r="J14" s="144" t="s">
        <v>270</v>
      </c>
    </row>
    <row r="15" spans="1:13" s="44" customFormat="1" ht="30" customHeight="1">
      <c r="A15" s="79"/>
      <c r="B15" s="79"/>
      <c r="C15" s="77" t="s">
        <v>11</v>
      </c>
      <c r="D15" s="78">
        <v>0.01</v>
      </c>
      <c r="E15" s="79" t="s">
        <v>243</v>
      </c>
      <c r="F15" s="79"/>
      <c r="J15" s="145" t="s">
        <v>270</v>
      </c>
    </row>
    <row r="16" spans="1:13" ht="30" customHeight="1">
      <c r="D16" s="103" t="s">
        <v>231</v>
      </c>
    </row>
    <row r="17" spans="1:13" ht="30" customHeight="1"/>
    <row r="18" spans="1:13" ht="30" customHeight="1">
      <c r="A18" s="6" t="s">
        <v>37</v>
      </c>
      <c r="D18" s="39" t="s">
        <v>239</v>
      </c>
    </row>
    <row r="19" spans="1:13" ht="30" customHeight="1">
      <c r="A19" s="6"/>
      <c r="B19" s="39" t="s">
        <v>208</v>
      </c>
      <c r="D19" s="39" t="s">
        <v>203</v>
      </c>
    </row>
    <row r="20" spans="1:13" ht="30" customHeight="1">
      <c r="B20" s="44" t="s">
        <v>0</v>
      </c>
      <c r="C20" s="44" t="s">
        <v>1</v>
      </c>
      <c r="D20" s="45" t="s">
        <v>0</v>
      </c>
      <c r="E20" s="44" t="s">
        <v>1</v>
      </c>
      <c r="F20" s="44" t="s">
        <v>60</v>
      </c>
      <c r="G20" s="104" t="s">
        <v>204</v>
      </c>
      <c r="H20" s="44" t="s">
        <v>206</v>
      </c>
      <c r="I20" s="44" t="s">
        <v>205</v>
      </c>
      <c r="J20" s="44" t="s">
        <v>207</v>
      </c>
      <c r="K20" s="44" t="s">
        <v>156</v>
      </c>
      <c r="L20" s="44" t="s">
        <v>158</v>
      </c>
      <c r="M20" s="44" t="s">
        <v>27</v>
      </c>
    </row>
    <row r="21" spans="1:13" ht="30" customHeight="1">
      <c r="A21" s="62" t="s">
        <v>221</v>
      </c>
      <c r="B21" s="106">
        <v>1</v>
      </c>
      <c r="C21" s="45">
        <f>B21</f>
        <v>1</v>
      </c>
      <c r="D21" s="106">
        <v>1</v>
      </c>
      <c r="E21" s="45">
        <v>1</v>
      </c>
      <c r="F21" s="92">
        <v>1</v>
      </c>
      <c r="G21" s="44">
        <f t="shared" ref="G21" si="0">GEOMEAN(B21,C21)</f>
        <v>1</v>
      </c>
      <c r="H21" s="44">
        <f t="shared" ref="H21" si="1">LogVariance(B21,C21)</f>
        <v>0</v>
      </c>
      <c r="I21" s="44">
        <f t="shared" ref="I21" si="2">GEOMEAN(D21,E21)</f>
        <v>1</v>
      </c>
      <c r="J21" s="44">
        <f t="shared" ref="J21" si="3">LogVariance(D21,E21)</f>
        <v>0</v>
      </c>
      <c r="K21" s="105">
        <f>G21*I21</f>
        <v>1</v>
      </c>
      <c r="L21" s="45">
        <f>H21+J21</f>
        <v>0</v>
      </c>
      <c r="M21" s="39" t="s">
        <v>238</v>
      </c>
    </row>
    <row r="22" spans="1:13" s="44" customFormat="1" ht="30" customHeight="1">
      <c r="A22" s="64" t="s">
        <v>220</v>
      </c>
      <c r="B22" s="65">
        <v>0.6</v>
      </c>
      <c r="C22" s="92">
        <f t="shared" ref="C22:C29" si="4">B22</f>
        <v>0.6</v>
      </c>
      <c r="D22" s="106">
        <v>1</v>
      </c>
      <c r="E22" s="45">
        <v>1</v>
      </c>
      <c r="F22" s="92">
        <v>1</v>
      </c>
      <c r="G22" s="44">
        <f t="shared" ref="G22:G30" si="5">GEOMEAN(B22,C22)</f>
        <v>0.6</v>
      </c>
      <c r="H22" s="44">
        <f t="shared" ref="H22:H30" si="6">LogVariance(B22,C22)</f>
        <v>0</v>
      </c>
      <c r="I22" s="44">
        <f t="shared" ref="I22:I30" si="7">GEOMEAN(D22,E22)</f>
        <v>1</v>
      </c>
      <c r="J22" s="44">
        <f t="shared" ref="J22:J30" si="8">LogVariance(D22,E22)</f>
        <v>0</v>
      </c>
      <c r="K22" s="105">
        <f>G22*I22</f>
        <v>0.6</v>
      </c>
      <c r="L22" s="45">
        <f>H22+J22</f>
        <v>0</v>
      </c>
      <c r="M22" s="39" t="s">
        <v>222</v>
      </c>
    </row>
    <row r="23" spans="1:13" s="44" customFormat="1" ht="30" customHeight="1">
      <c r="A23" s="64" t="s">
        <v>38</v>
      </c>
      <c r="B23" s="65">
        <v>6</v>
      </c>
      <c r="C23" s="92">
        <f t="shared" si="4"/>
        <v>6</v>
      </c>
      <c r="D23" s="65">
        <v>0.3</v>
      </c>
      <c r="E23" s="92">
        <f>D23</f>
        <v>0.3</v>
      </c>
      <c r="F23" s="92">
        <v>-1</v>
      </c>
      <c r="G23" s="44">
        <f t="shared" si="5"/>
        <v>6</v>
      </c>
      <c r="H23" s="44">
        <f t="shared" si="6"/>
        <v>0</v>
      </c>
      <c r="I23" s="44">
        <f t="shared" si="7"/>
        <v>0.3</v>
      </c>
      <c r="J23" s="44">
        <f t="shared" si="8"/>
        <v>0</v>
      </c>
      <c r="K23" s="105">
        <f t="shared" ref="K23:K30" si="9">G23*I23</f>
        <v>1.7999999999999998</v>
      </c>
      <c r="L23" s="45">
        <f t="shared" ref="L23:L30" si="10">H23+J23</f>
        <v>0</v>
      </c>
      <c r="M23" s="39" t="s">
        <v>149</v>
      </c>
    </row>
    <row r="24" spans="1:13" s="44" customFormat="1" ht="30" customHeight="1">
      <c r="A24" s="66" t="s">
        <v>116</v>
      </c>
      <c r="B24" s="65">
        <v>1</v>
      </c>
      <c r="C24" s="92">
        <f t="shared" si="4"/>
        <v>1</v>
      </c>
      <c r="D24" s="65">
        <f>D23</f>
        <v>0.3</v>
      </c>
      <c r="E24" s="92">
        <f t="shared" ref="E24:E26" si="11">D24</f>
        <v>0.3</v>
      </c>
      <c r="F24" s="92">
        <v>1</v>
      </c>
      <c r="G24" s="44">
        <f t="shared" si="5"/>
        <v>1</v>
      </c>
      <c r="H24" s="44">
        <f t="shared" si="6"/>
        <v>0</v>
      </c>
      <c r="I24" s="44">
        <f t="shared" si="7"/>
        <v>0.3</v>
      </c>
      <c r="J24" s="44">
        <f t="shared" si="8"/>
        <v>0</v>
      </c>
      <c r="K24" s="105">
        <f t="shared" si="9"/>
        <v>0.3</v>
      </c>
      <c r="L24" s="45">
        <f t="shared" si="10"/>
        <v>0</v>
      </c>
      <c r="M24" s="39"/>
    </row>
    <row r="25" spans="1:13" s="44" customFormat="1" ht="30" customHeight="1">
      <c r="A25" s="64" t="s">
        <v>39</v>
      </c>
      <c r="B25" s="65">
        <v>2</v>
      </c>
      <c r="C25" s="92">
        <f t="shared" si="4"/>
        <v>2</v>
      </c>
      <c r="D25" s="65">
        <v>0.2</v>
      </c>
      <c r="E25" s="92">
        <f t="shared" si="11"/>
        <v>0.2</v>
      </c>
      <c r="F25" s="92">
        <v>-1</v>
      </c>
      <c r="G25" s="44">
        <f t="shared" si="5"/>
        <v>2</v>
      </c>
      <c r="H25" s="44">
        <f t="shared" si="6"/>
        <v>0</v>
      </c>
      <c r="I25" s="44">
        <f t="shared" si="7"/>
        <v>0.2</v>
      </c>
      <c r="J25" s="44">
        <f t="shared" si="8"/>
        <v>0</v>
      </c>
      <c r="K25" s="105">
        <f t="shared" si="9"/>
        <v>0.4</v>
      </c>
      <c r="L25" s="45">
        <f t="shared" si="10"/>
        <v>0</v>
      </c>
      <c r="M25" s="39"/>
    </row>
    <row r="26" spans="1:13" s="44" customFormat="1" ht="30" customHeight="1">
      <c r="A26" s="64" t="s">
        <v>40</v>
      </c>
      <c r="B26" s="65">
        <v>4</v>
      </c>
      <c r="C26" s="92">
        <f t="shared" si="4"/>
        <v>4</v>
      </c>
      <c r="D26" s="65">
        <v>0.01</v>
      </c>
      <c r="E26" s="92">
        <f t="shared" si="11"/>
        <v>0.01</v>
      </c>
      <c r="F26" s="92">
        <v>-1</v>
      </c>
      <c r="G26" s="44">
        <f t="shared" si="5"/>
        <v>4</v>
      </c>
      <c r="H26" s="44">
        <f t="shared" si="6"/>
        <v>0</v>
      </c>
      <c r="I26" s="44">
        <f t="shared" si="7"/>
        <v>0.01</v>
      </c>
      <c r="J26" s="44">
        <f t="shared" si="8"/>
        <v>0</v>
      </c>
      <c r="K26" s="105">
        <f t="shared" si="9"/>
        <v>0.04</v>
      </c>
      <c r="L26" s="45">
        <f t="shared" si="10"/>
        <v>0</v>
      </c>
      <c r="M26" s="39" t="s">
        <v>142</v>
      </c>
    </row>
    <row r="27" spans="1:13" s="44" customFormat="1" ht="30" customHeight="1">
      <c r="A27" s="64" t="s">
        <v>42</v>
      </c>
      <c r="B27" s="65">
        <v>1000</v>
      </c>
      <c r="C27" s="92">
        <f t="shared" si="4"/>
        <v>1000</v>
      </c>
      <c r="D27" s="106">
        <f>D22</f>
        <v>1</v>
      </c>
      <c r="E27" s="45">
        <v>1</v>
      </c>
      <c r="F27" s="45">
        <v>1</v>
      </c>
      <c r="G27" s="44">
        <f t="shared" si="5"/>
        <v>1000</v>
      </c>
      <c r="H27" s="44">
        <f t="shared" si="6"/>
        <v>0</v>
      </c>
      <c r="I27" s="44">
        <f t="shared" si="7"/>
        <v>1</v>
      </c>
      <c r="J27" s="44">
        <f t="shared" si="8"/>
        <v>0</v>
      </c>
      <c r="K27" s="105">
        <f t="shared" si="9"/>
        <v>1000</v>
      </c>
      <c r="L27" s="45">
        <f t="shared" si="10"/>
        <v>0</v>
      </c>
      <c r="M27" s="39" t="s">
        <v>45</v>
      </c>
    </row>
    <row r="28" spans="1:13" s="44" customFormat="1" ht="30" customHeight="1">
      <c r="A28" s="64" t="s">
        <v>193</v>
      </c>
      <c r="B28" s="65">
        <v>1</v>
      </c>
      <c r="C28" s="92">
        <f t="shared" si="4"/>
        <v>1</v>
      </c>
      <c r="D28" s="106">
        <v>1</v>
      </c>
      <c r="E28" s="45">
        <v>1</v>
      </c>
      <c r="F28" s="92">
        <v>1</v>
      </c>
      <c r="G28" s="44">
        <f t="shared" si="5"/>
        <v>1</v>
      </c>
      <c r="H28" s="44">
        <f t="shared" si="6"/>
        <v>0</v>
      </c>
      <c r="I28" s="44">
        <f t="shared" si="7"/>
        <v>1</v>
      </c>
      <c r="J28" s="44">
        <f t="shared" si="8"/>
        <v>0</v>
      </c>
      <c r="K28" s="105">
        <f t="shared" si="9"/>
        <v>1</v>
      </c>
      <c r="L28" s="45">
        <f t="shared" si="10"/>
        <v>0</v>
      </c>
    </row>
    <row r="29" spans="1:13" s="44" customFormat="1" ht="30" customHeight="1">
      <c r="A29" s="64" t="s">
        <v>43</v>
      </c>
      <c r="B29" s="65">
        <v>0.1</v>
      </c>
      <c r="C29" s="92">
        <f t="shared" si="4"/>
        <v>0.1</v>
      </c>
      <c r="D29" s="106">
        <v>1</v>
      </c>
      <c r="E29" s="45">
        <v>1</v>
      </c>
      <c r="F29" s="92">
        <v>-1</v>
      </c>
      <c r="G29" s="44">
        <f t="shared" si="5"/>
        <v>0.1</v>
      </c>
      <c r="H29" s="44">
        <f t="shared" si="6"/>
        <v>0</v>
      </c>
      <c r="I29" s="44">
        <f t="shared" si="7"/>
        <v>1</v>
      </c>
      <c r="J29" s="44">
        <f t="shared" si="8"/>
        <v>0</v>
      </c>
      <c r="K29" s="105">
        <f t="shared" si="9"/>
        <v>0.1</v>
      </c>
      <c r="L29" s="45">
        <f t="shared" si="10"/>
        <v>0</v>
      </c>
    </row>
    <row r="30" spans="1:13" s="44" customFormat="1" ht="30" customHeight="1">
      <c r="A30" s="64" t="s">
        <v>44</v>
      </c>
      <c r="B30" s="65">
        <f>B27</f>
        <v>1000</v>
      </c>
      <c r="C30" s="92">
        <f>C27</f>
        <v>1000</v>
      </c>
      <c r="D30" s="106">
        <v>1</v>
      </c>
      <c r="E30" s="45">
        <v>1</v>
      </c>
      <c r="F30" s="45">
        <v>-1</v>
      </c>
      <c r="G30" s="44">
        <f t="shared" si="5"/>
        <v>1000</v>
      </c>
      <c r="H30" s="44">
        <f t="shared" si="6"/>
        <v>0</v>
      </c>
      <c r="I30" s="44">
        <f t="shared" si="7"/>
        <v>1</v>
      </c>
      <c r="J30" s="44">
        <f t="shared" si="8"/>
        <v>0</v>
      </c>
      <c r="K30" s="105">
        <f t="shared" si="9"/>
        <v>1000</v>
      </c>
      <c r="L30" s="45">
        <f t="shared" si="10"/>
        <v>0</v>
      </c>
    </row>
    <row r="31" spans="1:13" s="44" customFormat="1" ht="30" customHeight="1"/>
    <row r="32" spans="1:13" s="44" customFormat="1" ht="30" customHeight="1"/>
    <row r="33" spans="1:16" s="44" customFormat="1" ht="30" customHeight="1">
      <c r="A33" s="40" t="s">
        <v>29</v>
      </c>
      <c r="J33" s="48" t="s">
        <v>31</v>
      </c>
    </row>
    <row r="34" spans="1:16" s="44" customFormat="1" ht="30" customHeight="1">
      <c r="A34" s="53" t="s">
        <v>36</v>
      </c>
      <c r="E34" s="53" t="s">
        <v>28</v>
      </c>
    </row>
    <row r="35" spans="1:16" s="44" customFormat="1" ht="30" customHeight="1">
      <c r="B35" s="44" t="s">
        <v>0</v>
      </c>
      <c r="C35" s="44" t="s">
        <v>1</v>
      </c>
      <c r="D35" s="44" t="s">
        <v>27</v>
      </c>
      <c r="F35" s="44" t="s">
        <v>0</v>
      </c>
      <c r="G35" s="44" t="s">
        <v>1</v>
      </c>
      <c r="H35" s="44" t="s">
        <v>27</v>
      </c>
      <c r="K35" s="54" t="s">
        <v>156</v>
      </c>
      <c r="L35" s="54" t="s">
        <v>157</v>
      </c>
      <c r="O35" s="54" t="s">
        <v>156</v>
      </c>
      <c r="P35" s="54" t="s">
        <v>157</v>
      </c>
    </row>
    <row r="36" spans="1:16" s="44" customFormat="1" ht="30" customHeight="1">
      <c r="A36" s="67" t="s">
        <v>14</v>
      </c>
      <c r="B36" s="68">
        <v>100000000000</v>
      </c>
      <c r="C36" s="68">
        <v>100000000000000</v>
      </c>
      <c r="D36" s="39" t="s">
        <v>33</v>
      </c>
      <c r="E36" s="67" t="s">
        <v>14</v>
      </c>
      <c r="F36" s="68">
        <v>10000000000</v>
      </c>
      <c r="G36" s="68">
        <v>100000000000000</v>
      </c>
      <c r="H36" s="39" t="s">
        <v>33</v>
      </c>
      <c r="J36" s="55" t="str">
        <f>A36</f>
        <v>accessible stars</v>
      </c>
      <c r="K36" s="44">
        <f>SQRT(B36*C36)</f>
        <v>3162277660168.3794</v>
      </c>
      <c r="L36" s="49">
        <f>LogVariance(B36,C36)</f>
        <v>1.1704562191085683</v>
      </c>
      <c r="N36" s="55" t="str">
        <f>E36</f>
        <v>accessible stars</v>
      </c>
      <c r="O36" s="44">
        <f>SQRT(F36*G36)</f>
        <v>1000000000000</v>
      </c>
      <c r="P36" s="49">
        <f>LogVariance(F36,G36)</f>
        <v>1.5606082921447579</v>
      </c>
    </row>
    <row r="37" spans="1:16" s="44" customFormat="1" ht="30" customHeight="1">
      <c r="A37" s="67" t="s">
        <v>16</v>
      </c>
      <c r="B37" s="68">
        <v>100000000000</v>
      </c>
      <c r="C37" s="68">
        <v>1000000000000</v>
      </c>
      <c r="D37" s="39" t="s">
        <v>32</v>
      </c>
      <c r="E37" s="69" t="s">
        <v>16</v>
      </c>
      <c r="F37" s="70">
        <v>100000000000</v>
      </c>
      <c r="G37" s="70">
        <v>1000000000000</v>
      </c>
      <c r="H37" s="41" t="s">
        <v>32</v>
      </c>
      <c r="J37" s="55" t="str">
        <f t="shared" ref="J37:J38" si="12">A37</f>
        <v>years of future</v>
      </c>
      <c r="K37" s="44">
        <f t="shared" ref="K37:K39" si="13">SQRT(B37*C37)</f>
        <v>316227766016.83789</v>
      </c>
      <c r="L37" s="49">
        <f t="shared" ref="L37:L39" si="14">LogVariance(B37,C37)</f>
        <v>0.39015207303618948</v>
      </c>
      <c r="M37" s="49"/>
      <c r="N37" s="55" t="str">
        <f t="shared" ref="N37:N41" si="15">E37</f>
        <v>years of future</v>
      </c>
      <c r="O37" s="44">
        <f t="shared" ref="O37:O41" si="16">SQRT(F37*G37)</f>
        <v>316227766016.83789</v>
      </c>
      <c r="P37" s="49">
        <f t="shared" ref="P37:P42" si="17">LogVariance(F37,G37)</f>
        <v>0.39015207303618948</v>
      </c>
    </row>
    <row r="38" spans="1:16" s="44" customFormat="1" ht="30" customHeight="1">
      <c r="A38" s="67" t="s">
        <v>15</v>
      </c>
      <c r="B38" s="68">
        <v>1E+20</v>
      </c>
      <c r="C38" s="68">
        <v>1.0000000000000001E+25</v>
      </c>
      <c r="D38" s="39" t="s">
        <v>33</v>
      </c>
      <c r="E38" s="67" t="s">
        <v>17</v>
      </c>
      <c r="F38" s="68">
        <v>10000000000</v>
      </c>
      <c r="G38" s="68">
        <v>1000000000000</v>
      </c>
      <c r="H38" s="39"/>
      <c r="J38" s="55" t="str">
        <f t="shared" si="12"/>
        <v>usable wattage</v>
      </c>
      <c r="K38" s="44">
        <f t="shared" si="13"/>
        <v>3.1622776601683796E+22</v>
      </c>
      <c r="L38" s="49">
        <f t="shared" si="14"/>
        <v>1.9507603651809475</v>
      </c>
      <c r="N38" s="55" t="str">
        <f t="shared" si="15"/>
        <v>humans per star</v>
      </c>
      <c r="O38" s="44">
        <f t="shared" si="16"/>
        <v>100000000000</v>
      </c>
      <c r="P38" s="49">
        <f t="shared" si="17"/>
        <v>0.78030414607237897</v>
      </c>
    </row>
    <row r="39" spans="1:16" s="44" customFormat="1" ht="30" customHeight="1">
      <c r="A39" s="67" t="s">
        <v>41</v>
      </c>
      <c r="B39" s="68">
        <v>0.1</v>
      </c>
      <c r="C39" s="68">
        <v>0.1</v>
      </c>
      <c r="D39" s="39" t="s">
        <v>33</v>
      </c>
      <c r="E39" s="67" t="s">
        <v>18</v>
      </c>
      <c r="F39" s="68">
        <v>10000000000</v>
      </c>
      <c r="G39" s="68">
        <v>1000000000000</v>
      </c>
      <c r="H39" s="39"/>
      <c r="J39" s="55" t="str">
        <f>A39</f>
        <v>brains per watt</v>
      </c>
      <c r="K39" s="44">
        <f t="shared" si="13"/>
        <v>0.1</v>
      </c>
      <c r="L39" s="49">
        <f t="shared" si="14"/>
        <v>0</v>
      </c>
      <c r="N39" s="55" t="str">
        <f t="shared" si="15"/>
        <v>factory farmed animals per star</v>
      </c>
      <c r="O39" s="44">
        <f t="shared" si="16"/>
        <v>100000000000</v>
      </c>
      <c r="P39" s="49">
        <f t="shared" si="17"/>
        <v>0.78030414607237897</v>
      </c>
    </row>
    <row r="40" spans="1:16" s="44" customFormat="1" ht="30" customHeight="1">
      <c r="A40" s="55"/>
      <c r="B40" s="56"/>
      <c r="C40" s="56"/>
      <c r="E40" s="67" t="s">
        <v>19</v>
      </c>
      <c r="F40" s="68">
        <v>10000000000000</v>
      </c>
      <c r="G40" s="68">
        <v>1E+16</v>
      </c>
      <c r="H40" s="39" t="s">
        <v>34</v>
      </c>
      <c r="J40" s="55"/>
      <c r="L40" s="49"/>
      <c r="N40" s="55" t="str">
        <f t="shared" si="15"/>
        <v>wild vertebrates per star</v>
      </c>
      <c r="O40" s="44">
        <f t="shared" si="16"/>
        <v>316227766016837.94</v>
      </c>
      <c r="P40" s="49">
        <f t="shared" si="17"/>
        <v>1.1704562191085683</v>
      </c>
    </row>
    <row r="41" spans="1:16" s="44" customFormat="1" ht="30" customHeight="1">
      <c r="A41" s="55"/>
      <c r="B41" s="56"/>
      <c r="C41" s="56"/>
      <c r="E41" s="67" t="s">
        <v>54</v>
      </c>
      <c r="F41" s="68">
        <v>1E+17</v>
      </c>
      <c r="G41" s="68">
        <v>1E+21</v>
      </c>
      <c r="H41" s="39" t="s">
        <v>35</v>
      </c>
      <c r="J41" s="55"/>
      <c r="L41" s="49"/>
      <c r="N41" s="55" t="str">
        <f t="shared" si="15"/>
        <v>insects per star</v>
      </c>
      <c r="O41" s="44">
        <f t="shared" si="16"/>
        <v>1E+19</v>
      </c>
      <c r="P41" s="49">
        <f t="shared" si="17"/>
        <v>1.5606082921447579</v>
      </c>
    </row>
    <row r="42" spans="1:16" s="44" customFormat="1" ht="30" customHeight="1">
      <c r="E42" s="67" t="s">
        <v>58</v>
      </c>
      <c r="F42" s="68">
        <v>1E-3</v>
      </c>
      <c r="G42" s="68">
        <v>1</v>
      </c>
      <c r="H42" s="39"/>
      <c r="N42" s="55" t="str">
        <f>E42</f>
        <v>simulations per insect</v>
      </c>
      <c r="O42" s="44">
        <f>SQRT(F42*G42)</f>
        <v>3.1622776601683791E-2</v>
      </c>
      <c r="P42" s="49">
        <f t="shared" si="17"/>
        <v>1.1704562191085683</v>
      </c>
    </row>
    <row r="45" spans="1:16" ht="20">
      <c r="A45" s="6" t="s">
        <v>20</v>
      </c>
    </row>
    <row r="46" spans="1:16">
      <c r="A46">
        <v>1</v>
      </c>
      <c r="B46" t="s">
        <v>25</v>
      </c>
      <c r="C46" t="s">
        <v>21</v>
      </c>
    </row>
    <row r="47" spans="1:16">
      <c r="A47">
        <v>2</v>
      </c>
      <c r="B47" t="s">
        <v>122</v>
      </c>
      <c r="C47" t="s">
        <v>22</v>
      </c>
    </row>
    <row r="48" spans="1:16">
      <c r="A48">
        <v>3</v>
      </c>
      <c r="B48" t="s">
        <v>23</v>
      </c>
      <c r="C48" t="s">
        <v>24</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W63"/>
  <sheetViews>
    <sheetView workbookViewId="0">
      <selection activeCell="L19" sqref="L19"/>
    </sheetView>
  </sheetViews>
  <sheetFormatPr baseColWidth="10" defaultRowHeight="15" customHeight="1" x14ac:dyDescent="0"/>
  <cols>
    <col min="1" max="1" width="21.6640625" style="5" customWidth="1"/>
    <col min="2" max="2" width="12.1640625" bestFit="1" customWidth="1"/>
    <col min="5" max="5" width="10.83203125" customWidth="1"/>
    <col min="6" max="6" width="21.6640625" customWidth="1"/>
    <col min="7" max="7" width="12.1640625" bestFit="1" customWidth="1"/>
    <col min="11" max="11" width="21.6640625" customWidth="1"/>
    <col min="12" max="12" width="12.83203125" bestFit="1" customWidth="1"/>
    <col min="13" max="14" width="12.1640625" bestFit="1" customWidth="1"/>
    <col min="17" max="17" width="12.83203125" bestFit="1" customWidth="1"/>
    <col min="18" max="18" width="12.1640625" bestFit="1" customWidth="1"/>
  </cols>
  <sheetData>
    <row r="1" spans="1:18" s="12" customFormat="1" ht="30" customHeight="1">
      <c r="A1" s="11" t="s">
        <v>51</v>
      </c>
      <c r="F1" s="11" t="s">
        <v>46</v>
      </c>
      <c r="K1" s="11" t="s">
        <v>59</v>
      </c>
      <c r="L1" s="12" t="s">
        <v>224</v>
      </c>
    </row>
    <row r="2" spans="1:18" ht="45">
      <c r="B2" s="110" t="s">
        <v>156</v>
      </c>
      <c r="C2" s="110" t="s">
        <v>157</v>
      </c>
      <c r="D2" s="5" t="s">
        <v>27</v>
      </c>
      <c r="E2" s="5"/>
      <c r="F2" s="5"/>
      <c r="G2" s="110" t="s">
        <v>156</v>
      </c>
      <c r="H2" s="110" t="s">
        <v>157</v>
      </c>
      <c r="I2" s="5" t="s">
        <v>27</v>
      </c>
      <c r="L2" s="3" t="s">
        <v>160</v>
      </c>
      <c r="M2" s="3" t="s">
        <v>158</v>
      </c>
      <c r="O2" t="s">
        <v>161</v>
      </c>
      <c r="Q2" s="3"/>
      <c r="R2" s="3"/>
    </row>
    <row r="3" spans="1:18">
      <c r="A3" s="5" t="s">
        <v>14</v>
      </c>
      <c r="B3" s="8">
        <f>VLOOKUP($A3,Globals!$J$36:$L$40,2,FALSE)</f>
        <v>3162277660168.3794</v>
      </c>
      <c r="C3" s="8">
        <f>VLOOKUP($A3,Globals!$J$36:$L$40,3,FALSE)</f>
        <v>1.1704562191085683</v>
      </c>
      <c r="D3" s="5"/>
      <c r="E3" s="5"/>
      <c r="F3" s="5" t="s">
        <v>14</v>
      </c>
      <c r="G3" s="5">
        <f>VLOOKUP($F3,Globals!$N$36:$P$42,2,FALSE)</f>
        <v>1000000000000</v>
      </c>
      <c r="H3" s="5">
        <f>VLOOKUP($F3,Globals!$N$36:$P$42,3,FALSE)</f>
        <v>1.5606082921447579</v>
      </c>
      <c r="I3" s="5"/>
      <c r="K3" s="15" t="s">
        <v>183</v>
      </c>
      <c r="L3" s="14">
        <f>G10*O3</f>
        <v>1.2649110640673517E+34</v>
      </c>
      <c r="M3" s="14">
        <f>H10</f>
        <v>2.7310645112533267</v>
      </c>
      <c r="N3" t="s">
        <v>70</v>
      </c>
      <c r="O3">
        <f>p_biological</f>
        <v>0.4</v>
      </c>
      <c r="Q3" s="3"/>
      <c r="R3" s="3"/>
    </row>
    <row r="4" spans="1:18">
      <c r="A4" s="5" t="s">
        <v>16</v>
      </c>
      <c r="B4" s="8">
        <f>VLOOKUP($A4,Globals!$J$36:$L$40,2,FALSE)</f>
        <v>316227766016.83789</v>
      </c>
      <c r="C4" s="8">
        <f>VLOOKUP($A4,Globals!$J$36:$L$40,3,FALSE)</f>
        <v>0.39015207303618948</v>
      </c>
      <c r="D4" s="5"/>
      <c r="E4" s="5"/>
      <c r="F4" s="5" t="s">
        <v>16</v>
      </c>
      <c r="G4" s="5">
        <f>VLOOKUP($F4,Globals!$N$36:$P$42,2,FALSE)</f>
        <v>316227766016.83789</v>
      </c>
      <c r="H4" s="5">
        <f>VLOOKUP($F4,Globals!$N$36:$P$42,3,FALSE)</f>
        <v>0.39015207303618948</v>
      </c>
      <c r="I4" s="5"/>
      <c r="K4" s="15" t="s">
        <v>177</v>
      </c>
      <c r="L4" s="14">
        <f>B11*O4</f>
        <v>6.3245553203367595E+46</v>
      </c>
      <c r="M4" s="14">
        <f>C11</f>
        <v>3.5113686573257055</v>
      </c>
      <c r="N4" t="s">
        <v>74</v>
      </c>
      <c r="O4">
        <f>p_computronium*p_hedonium</f>
        <v>2.0000000000000004E-2</v>
      </c>
      <c r="Q4" s="3"/>
      <c r="R4" s="3"/>
    </row>
    <row r="5" spans="1:18">
      <c r="A5" s="5" t="s">
        <v>15</v>
      </c>
      <c r="B5" s="8">
        <f>VLOOKUP($A5,Globals!$J$36:$L$40,2,FALSE)</f>
        <v>3.1622776601683796E+22</v>
      </c>
      <c r="C5" s="8">
        <f>VLOOKUP($A5,Globals!$J$36:$L$40,3,FALSE)</f>
        <v>1.9507603651809475</v>
      </c>
      <c r="D5" s="5"/>
      <c r="E5" s="5"/>
      <c r="F5" s="5"/>
      <c r="G5" s="5"/>
      <c r="H5" s="5"/>
      <c r="I5" s="5"/>
      <c r="K5" s="15" t="s">
        <v>194</v>
      </c>
      <c r="L5" s="14">
        <f>B16*O5</f>
        <v>3.7947331922020553E+44</v>
      </c>
      <c r="M5" s="14">
        <f>C16</f>
        <v>3.5113686573257055</v>
      </c>
      <c r="N5" t="s">
        <v>195</v>
      </c>
      <c r="O5">
        <f>p_computronium*p_ems</f>
        <v>0.12</v>
      </c>
      <c r="Q5" s="3"/>
      <c r="R5" s="3"/>
    </row>
    <row r="6" spans="1:18">
      <c r="A6" s="5" t="s">
        <v>41</v>
      </c>
      <c r="B6" s="8">
        <f>VLOOKUP($A6,Globals!$J$36:$L$40,2,FALSE)</f>
        <v>0.1</v>
      </c>
      <c r="C6" s="8">
        <f>VLOOKUP($A6,Globals!$J$36:$L$40,3,FALSE)</f>
        <v>0</v>
      </c>
      <c r="D6" s="5"/>
      <c r="E6" s="5"/>
      <c r="F6" s="5"/>
      <c r="G6" s="5"/>
      <c r="H6" s="5"/>
      <c r="I6" s="5"/>
      <c r="K6" s="30" t="s">
        <v>152</v>
      </c>
      <c r="L6" s="31" t="str">
        <f>WriteArray(SumLognormDists(L3:M5))</f>
        <v>0,0,0,0,0,0,0,0,0,0,0,0,0,0,0,0,0,0,0,0,0,0,0,0,0,0,0,0,0,0,0,0,0,0,0,0,0,0,0,0,0,0,0,0,0,0,0,0,0,0,0,0,0,0,0,0,0,0,0,0,0,0,0,0,0,0,0,0,0,0,0,0,0,0,0,0,0,0,0,0,0,0,0,0,0,0,0,0,0,0,0,0,0,0,0,0,0,0,0,0,0,0,0,0,0,0,0,0,0,0,0,0,0,0,0,0,0,0,0,0,0,0,0,0,0,0,0,0,0,0,0,0,0,0,0,0,0,0,0,0,0,0,0,0,0,0,0,0,0,0,0,0,0,0,0,0,0,0,0,0,0,0,0,0,0,0,0,0,0,0,0,0,0,0,0,0,0,0,0,0,0,0,0,0,0,0,0,0,0,0,0,0,0,0,0,0,0,0,0,0,0,0,0,0,0,0,0,0,0,0,0,0,0,0,0,0,0,0,0,0,0,0,0,0,0,0,1.13635098543487E-322,2.86064008942082E-321,7.82352950189614E-320,2.11846949820747E-318,5.68639568578572E-317,1.51301249366545E-315,3.99059549783592E-314,1.0433324472202E-312,2.70394320981619E-311,6.94644010594307E-310,1.76895560463227E-308,4.46541176037963E-307,1.11736756867045E-305,2.77153658531431E-304,6.81451898459864E-303,1.6608861527923E-301,4.01268089437394E-300,9.60991438100703E-299,2.28136397995568E-297,5.36858512152124E-296,1.25232007297173E-294,2.89575029608221E-293,6.63738761782539E-292,1.5080772577042E-290,3.39656847252815E-289,7.58311367516393E-288,1.67820574353692E-286,3.6815721859586E-285,8.00593305265291E-284,1.72576295090038E-282,3.68757547915183E-281,7.81072456039602E-280,1.63995674136441E-278,3.41321907911449E-277,7.04184850557139E-276,1.44012427243931E-274,2.91947043203558E-273,5.86676982584578E-272,1.16865121604437E-270,2.30760631137015E-269,4.5167858295317E-268,8.76371602759129E-267,1.6855364708136E-265,3.21350597675842E-264,6.07311090765411E-263,1.1377176542422E-261,2.11275437254966E-260,3.8891508739597E-259,7.09662549104884E-258,1.28363142232467E-256,2.30154883377474E-255,4.09064220204129E-254,7.20699608473339E-253,1.25866053246326E-251,2.17898642733486E-250,3.73931511233738E-249,6.36093972133308E-248,1.07261093049367E-246,1.79289529412761E-245,2.97070450717936E-244,4.87928122966043E-243,7.9440901241208E-242,1.28210750027486E-240,2.05114676075606E-239,3.25282798181098E-238,5.11349195645254E-237,7.96831009631858E-236,1.23085557902705E-234,1.88469138253562E-233,2.86065654617939E-232,4.30411210943053E-231,6.41939155779687E-230,9.49066511989435E-229,1.39088741818603E-227,2.02059795906074E-226,2.90978231753178E-225,4.15368737946381E-224,5.87759811456185E-223,8.24439517560952E-222,1.14633249868025E-220,1.57999371864224E-219,2.15870415430957E-218,2.92364048114799E-217,3.92507482051674E-216,5.22354221862718E-215,6.89089349844723E-214,9.01113070565203E-213,1.16809032721234E-211,1.50095274089361E-210,1.91183816403757E-209,2.41395305282527E-208,3.02134392063936E-207,3.74856657095168E-206,4.61024579149739E-205,5.62052378421719E-204,6.79240272944722E-203,8.1369952929132E-202,9.66270615266211E-201,1.13743771428874E-199,1.32724376195127E-198,1.53521092760941E-197,1.76027199653617E-196,2.00071832453399E-195,2.25416986472696E-194,2.51757215763064E-193,2.78722411564927E-192,3.05883894658309E-191,3.32763871482049E-190,3.58848094230027E-189,3.83601344815717E-188,4.06485148528055E-187,4.26976933358801E-186,4.44589702724598E-185,4.58891197621194E-184,4.69521500093815E-183,4.76208078900544E-182,4.78777399809105E-181,4.77162410117319E-180,4.71405446765164E-179,4.61656391969309E-178,4.48166188538636E-177,4.31276106514849E-176,4.11403401943114E-175,3.89024208698113E-174,3.64654641224492E-173,3.38831151437109E-172,3.12091174873639E-171,2.84955023797298E-170,2.57909848185594E-169,2.3139630363124E-168,2.05798355098381E-167,1.81436425195147E-166,1.58563882406278E-165,1.37366673628575E-164,1.17965748074925E-163,1.00421803822554E-162,8.47418173780762E-162,7.08867899636641E-161,5.8780157675713E-160,4.83163594757403E-159,3.93691287294463E-158,3.17991616254469E-157,2.54609104156465E-156,2.02083431144533E-155,1.58995976354081E-154,1.240053265188E-153,9.58723689340079E-153,7.34760199763759E-152,5.58209176324444E-151,4.20385415723267E-150,3.13832395395287E-149,2.32245606200353E-148,1.70371516590022E-147,1.23892885203306E-146,8.93091153352558E-146,6.38183250482099E-145,4.52059252402307E-144,3.1742843277846E-143,2.20951495945469E-142,1.52457532439347E-141,1.04280188391803E-140,7.07059355480371E-140,4.75238100193125E-139,3.16641701589543E-138,2.09134953402173E-137,1.36926329163255E-136,8.88687992773954E-136,5.71760099875965E-135,3.64653801937232E-134,2.30542076743331E-133,1.44484879041487E-132,8.97630354890321E-132,5.5280987344713E-131,3.3748725613747E-130,2.04240794945026E-129,1.22526869432837E-128,7.28658643797108E-128,4.29557250619199E-127,2.51028106457731E-126,1.4542136845994E-125,8.3510081262885E-125,4.75395002961505E-124,2.6827214030903E-123,1.50072813289325E-122,8.32212430289838E-122,4.57480237181846E-121,2.49296789924204E-120,1.34668955979793E-119,7.21149009638124E-119,3.82815486279076E-118,2.01447190889922E-117,1.05084927824309E-116,5.43409733668738E-116,2.78562364988167E-115,1.41555189077787E-114,7.13079184698364E-114,3.56089056946709E-113,1.76274176937749E-112,8.65024216128166E-112,4.20801854780194E-111,2.02925744713793E-110,9.70078979741799E-110,4.59714082601379E-109,2.15963134033363E-108,1.00573339822909E-107,4.64299168152043E-107,2.12483431883129E-106,9.6397268992278E-106,4.33528092385294E-105,1.93278251591637E-104,8.54205455143742E-104,3.74244726280357E-103,1.62541187850679E-102,6.99819378670148E-102,2.98692079278007E-101,1.26379628631318E-100,5.30086201661697E-100,2.20410570271397e-99,9.08521644341907e-99,3.7124066039263e-98,1.50381239397126e-97,6.03879274943298e-97,2.40394993725868e-96,9.48680645691029e-96,3.71137209495135e-95,1.43935961171842e-94,5.53381983074269e-94,2.10912418443124e-93,7.9689532268062e-93,2.98485310972573e-92,1.10832669006579e-91,4.07977637839255e-91,1.48877571584062e-90,5.38576213105297e-90,1.93148204750819e-89,6.86689575746542e-89,2.42023299069653e-88,8.45632236002437e-88,2.92910014952962e-87,1.0058100537293e-86,3.4239508817523e-86,1.15549918122569e-85,3.86583310698292e-85,1.28217912854176e-84,4.21587057273355e-84,1.37423069055931e-83,4.44085599021601e-83,1.42268678643702e-82,4.51843854685521e-82,1.42267229422456e-81,4.44078495713063e-81,1.37421276400079e-80,4.21588345510781e-80,1.28222619747782e-79,3.86619008192174e-79,1.1557006941147e-78,3.42493474219751e-78,1.00624829229285e-77,2.93092798911369e-77,8.46356864222436e-77,2.42298963072703e-76,6.87702452122621e-76,1.93509340884731e-75,5.39830030875487e-75,1.49302589735601e-74,4.0938726238868e-74,1.11290869497491e-73,2.99947024537064e-73,8.01476944269855e-73,2.12324766720113e-72,5.57667291259529e-72,1.4521664260505e-71,3.74909270817335e-71,9.59635857267591e-71,2.4353380228352e-70,6.1275461452771e-70,1.52858863332865e-69,3.78071173330946e-69,9.2712372721562e-69,2.25416336013681e-68,5.43399318971091e-68,1.2987972114847e-67,3.07790203798312e-67,7.23206226898289e-67,1.6848695017325e-66,3.89197521488814e-66,8.91408135023121e-66,2.02436589323112e-65,4.55838079729042e-65,1.01775857932252e-64,2.25317569880461e-64,4.94612556785346e-64,1.0766110388884e-63,2.32370022906536e-63,4.9731674408475e-63,1.05541208517932e-62,2.22101508512735e-62,4.63474732344048e-62,9.59070555415992e-62,1.96802234538477e-61,4.00469735774887e-61,8.08118481141418e-61,1.61715525841842e-60,3.20926553290401e-60,6.31601286069491e-60,1.2327363440303e-59,2.38612904758409e-59,4.58058728027313e-59,8.72085721194632e-59,1.64670401907986e-58,3.08388498844025e-58,5.72816204824828e-58,1.0552989392235e-57,1.92835836087207e-57,3.49511412844985e-57,6.28356458521066e-57,1.12055210440027e-56,1.98221086888595e-56,3.4783277129574e-56,6.05487902697124e-56,1.04560279991342e-55,1.79129353157351e-55,3.04451770734025e-55,5.13375904218952e-55,8.58878510244555e-55,1.42567942750306e-54,2.34812443474285e-54,3.83747174715036e-54,6.22315353743213e-54,1.00146109511097e-53,1.59931318059553e-53,2.53470300219932e-53,3.98688467415919e-53,6.22404676126822e-53,9.64416861925456e-53,1.48330465079027e-52,2.26459747328146e-52,3.43217077111396e-52,5.16400556812546e-52,7.71378970763851e-52,1.14402650440839e-51,1.68467468319205e-51,2.46338721925991e-51,3.57693852959507e-51,5.15796466366462e-51,7.38685672017871e-51,1.0507081393274e-50,1.48447400724423e-50,2.0833314821391e-50,2.90446930748966e-50,4.02277078183754e-50,5.53555691565589e-50,7.56836870721485e-50,1.02819481871333e-49,1.3880583373671e-49,1.86219818755305e-49,2.48288296090488e-49,3.29021727873667e-49,4.33367306738116e-49,5.67382012097138e-49,7.38425592574169e-49,9.55372658331611e-49,1.22884204803897e-48,1.57144040264366e-48,1.99801543359715e-48,2.52591273109858e-48,3.17522814813604e-48,3.96904586660832e-48,4.93365027066616e-48,6.09869780892244e-48,7.4973332318182e-48,9.16623307324851e-48,1.11455581527835e-47,1.34787963634616e-47,1.62124772404274e-47,1.93957409315968e-47,2.30797463494221e-47,2.73169065789309e-47,3.2159944114399e-47,3.76607642019809e-47,4.38691514172561e-47,5.08313024669992e-47,5.8588216853222e-47,6.71739761711827e-47,7.6613952049698e-47,8.69229916322825e-47,9.81036375415763e-47,1.10144445940316e-46,1.23018471074204e-46,1.3668198706364e-46,1.51073517278795e-46,1.66113238064876e-46,1.81702816694902e-46,1.97725733190048e-46,2.14048122216658e-46,2.30520154987351e-46,2.4697796249117e-46,2.63246081156417e-46,2.79140381056965e-46,2.94471415962488e-46,3.09048114917286e-46,3.22681717626721e-46,3.35189841693454e-46,3.46400559521235e-46,3.5615635716513e-46,3.64317847009665e-46,3.70767111103919e-46,3.75410562205877e-46,3.78181224741074e-46,3.79040357352331e-46,3.7797836166435e-46,3.75014947275369e-46,3.70198549652914e-46,3.63605024319746e-46,3.55335666240757e-46,3.45514626505181e-46,3.34285818220705e-46,3.21809419167446e-46,3.08258089603336e-46,2.93813029331109e-46,2.78659998662697e-46,2.62985423444886e-46,2.46972695276445e-46,2.30798765093524e-46,2.14631112227562e-46,1.9862515275604e-46,1.82922131428582e-46,1.67647521612271e-46,1.5290993845678e-46,1.38800552628762e-46,1.25392976167043e-46,1.127435787689e-46,1.00892182464942e-46,8.98630753360114e-47,7.96662806669459e-47,7.02990165698513e-47,6.17472823731745e-47,5.39875115977127e-47,4.6988236699228e-47,4.07117174886522e-47,3.51154927794185e-47,3.01538229115532e-47,2.57789989585089e-47,2.19425022854621e-47,1.8596005412477e-47,1.56922116281701e-47,1.31855363551051e-47,1.10326378092499e-47,9.1928080039978e-48,7.62823765648457e-48,6.30417013227011e-48,5.18896031540952e-48,4.25405433503477e-48,3.47390554684465e-48,2.82584118965706e-48,2.28989283922713e-48,1.84860227908291e-48,1.48681280224363e-48,1.1914543332372e-48,9.51329184746031e-49,7.56903788757621e-49,6.00110404026256e-49,4.74161621884234e-49,3.73379481111031e-49,2.93040160230379e-49,2.29234535420601e-49,1.78744362027221e-49,1.38933441812095e-49,1.07652859011533e-49,8.31591878457738e-50,6.40444745486053e-50,4.91767616062353e-50,3.76499356423776e-50,2.87417300690788e-50,2.18787880306791e-50,1.66077810569341e-50,1.25716768194495e-50,9.49034974230901e-51,7.14482671465011e-51,5.36455380189723e-51,4.01715669548026e-51,3.00024654318905e-51,2.23489326469265e-51,1.66045045295554e-51,1.23046980147957e-51,9.09489211623141e-52,6.70517989612545e-52,4.93075570543631e-52,3.61667752784038e-52,2.64607216010584e-52,1.93103810492801e-52,1.40565366351326e-52,1.02062135841968e-52,7.3917938097041e-53,5.33990471689049e-53,3.8478211841441e-53,2.76562243479488e-53,1.98274195097712e-53,1.41785966396764e-53,1.01132867890507e-53,7.19517839827817e-54,5.10597901460176e-54,3.61412094857935e-54,2.55158758418677e-54,1.7968025186614e-54,1.26203156917051e-54,8.84133914384424e-55,6.1779136612523e-55,4.30565882690708e-55,2.99301909269841e-55,2.07515058467585e-55,1.43502093193778e-55,9.89768548481437e-56,6.80885737955796e-56,4.67173776356726e-56,3.19701622013955e-56,2.18208665761572e-56,1.48545192354463e-56,1.0085638852471e-56,6.82975702487494e-57,4.61278286723027e-57,3.10724603015574e-57,2.08757533870554e-57,1.39881935402978e-57,9.34831191035877e-58,6.23097521048733e-58,4.14218364312726e-58,2.74632827520194e-58,1.8160367802717e-58,1.1976923783763e-58,7.87796025883587e-59,5.16808413870215e-59,3.38136556858719e-59,2.20648479796608e-59,1.43600366671258e-59,9.32084990395643e-60,6.03393217036084e-60,3.89573932178794e-60,2.50855452610024e-60,1.61102043861993e-60,1.0318630986501e-60,6.59153156846898e-61,4.19946078274399e-61,2.66835368763067e-61,1.69096912481668e-61,1.06873527435603e-61,6.73669009671549e-62,4.23511048658659e-62,2.65536650896473e-62,1.66044910981915e-62,1.03554233738083e-62,6.44096854926495e-63,3.99553898826191e-63,2.47195350152447e-63,1.52526679294999e-63,9.38624310619646e-64,5.76073802771838e-64,3.52618167607065e-64,2.15263980433103e-64,1.31062386627472e-64,7.9583806292419e-65,4.81960205297179e-65,2.91096786386247e-65,1.75349010169937e-65,1.05343763453081e-65,6.3118093776269e-66,3.77171081511345e-66,2.24782401280148e-66,1.33605880679228e-66,7.92005387435591e-67,4.6824154073478e-67,2.76090166647383e-67,1.62357025687972e-67,9.52204743596949e-68,5.56965969706194e-68,3.24912192953825e-68,1.89035056201552e-68,1.09687629660382e-68,6.34763403740638e-69,3.66357433048459e-69,2.10880782834755e-69,1.21062000801363e-69,6.93134489319546e-70,3.95791048680014e-70,2.25399631348948e-70,1.28020402819634e-70,7.25176818240496e-71,4.09682443141471e-71,2.30828533802935e-71,1.29709061557228e-71,7.26925343591449e-72,4.06301062778693e-72,2.26487765800589e-72,1.25915781680829e-72,6.98158775461123e-73,3.86070699557792e-73,2.12920795168561e-73,1.17113753951113e-73,6.42445514358598e-74,3.51482145008445e-74,1.91782420137417e-74,1.04364518409492e-74,5.66415979236332e-75,3.06589063017962e-75,1.65506994072364e-75,8.91075636824956e-76,4.78466249038064e-76,2.5622798493787e-76,1.36848588976681e-76,7.2894135779053e-77,3.87242806935604e-77,2.05169416737189e-77,1.08412754924138e-77,5.71329469927442e-78,3.00283422345871e-78,1.5740356692565e-78,8.22879534757439e-79,4.29038661686055e-79,2.23097688404828e-79,1.1569968656167e-79,5.98422291515546e-80,3.08689465957507e-80,1.58808710748401e-80,8.14826777551461e-81,4.16960318326005e-81,2.12795586827397e-81,1.0831010202129e-81,5.49811435095688e-82,2.78353717052822e-82,1.40546079135731e-82,7.07748397699645e-83,3.55449170472514e-83,1.78038761260185e-83,8.89385552710521e-84,4.43102319604151e-84,2.20169127952906e-84,1.09105656223265e-84,5.39233112732986e-85,2.65793455651084e-85,1.30662347457495e-85,6.40612001775708e-86,3.13240657075926e-86,1.52756472911341e-86,7.42949949853118e-87,3.60377719379435e-87,1.74339078495822e-87,8.41143315323492e-88,4.04747045662637e-88,1.94238723056639e-88,9.29664779884358e-89,4.43767383184398e-89,2.11262694737036e-89,1.00306410085555e-89,4.74977454281649e-90,2.24313668857696e-90,1.05651803972808e-90,4.96291148834333e-91,2.32506220811092e-91,1.08635322682118e-91,5.06227780267136e-92,2.35266083945856e-92,1.09046343253532e-92,5.04082154653525e-93,2.32396708428252e-93,1.06855542933911e-93,4.9000732355524e-94,2.24102406095284e-94,1.0221835804257e-94,4.64996532269044e-95,2.10964295750994e-95,9.54567488114452e-96,4.3076732076934e-96,1.93872982614303e-96,8.70222416569284e-97,3.89566562242997e-97,1.73928804283039e-97,7.74461408080351e-98,3.43927167753575e-98,1.52325150801759e-98,6.72845235950686e-99,2.96412953151794e-99,1.30231968821093e-99,5.7065872995107E-100,2.49386968553117E-100,1.08694977774065E-100,4.72480219350596E-101,2.04831250133127E-101,8.85619623680035E-102,3.81888585590215E-102,1.64234561588149E-102,7.0441868013847E-103,3.01325304497574E-103,1.28551981398115E-103,5.46966057570161E-104,2.32102815885366E-104,9.82288077861341E-105,4.14606176412797E-105,1.74530403567168E-105,7.3273147800859E-106,3.0680118748107E-106,1.28117263580151E-106,5.33576510887441E-107,2.21627772879917E-107,9.18100222265404E-108,3.79310123222419E-108,1.56292164314097E-108,6.42271140008061E-109,2.63231610534275E-109,1.07595994691401E-109,4.38624210400981E-110,1.78331279138316E-110,7.23104194351842E-111,2.92423766931364E-111,1.17940478266733E-111,4.74407484995703E-112,1.90317450442848E-112,7.61454785363018E-113,3.03842177789231E-113,1.20917853947002E-113,4.79922633239557E-114,1.899723799553E-114,7.49977312710077E-115,2.95286926076424E-115,1.15952133080655E-115,4.54100203560607E-116,1.7736302258928E-116,6.90896347410151E-117,2.68411514541931E-117,1.03998678104271E-117,4.01876791471053E-118,1.54880400837618E-118,5.95303494891055E-119,2.28201676695276E-119,8.72444201295931E-120,3.32655662485191E-120,1.26500024895317E-120,4.79760769158467E-121,1.81466842981475E-121,6.84554872511953E-122,2.57547701781913E-122,9.66374634865204E-123,3.6163611588844E-123,1.34969767753894E-123,5.02388437599878E-124,1.86501015635404E-124,6.90496048117482E-125,2.54964446233896E-125,9.38937060452993E-126,3.44851221842059E-126,1.26318071717969E-126,4.61463798181195E-127,1.68131162479412E-127,6.10938122235361E-128,2.2140359392631E-128,8.00222092786184E-129,2.88452853120459E-129,1.03699716988932E-129,3.71808003275748E-130,1.32953056864662E-130,4.74150650706761E-131,1.68644741972104E-131,5.98229313900719E-132,2.11641585105372E-132,7.46745736179583E-133,2.62774324307614E-133,9.22213626641919E-134,3.22788885718219E-134,1.12679274169317E-134,3.92290634044882E-135,1.36210400114057E-135,4.71683873601944E-136,1.62903426262141E-136,5.61109781427185E-137,1.92754218211453E-137,6.60386783126724E-138,</v>
      </c>
      <c r="M6" s="31" t="s">
        <v>148</v>
      </c>
      <c r="Q6" s="3"/>
      <c r="R6" s="3"/>
    </row>
    <row r="7" spans="1:18">
      <c r="B7" s="5"/>
      <c r="C7" s="5"/>
      <c r="D7" s="5"/>
      <c r="E7" s="5"/>
      <c r="F7" s="10" t="s">
        <v>50</v>
      </c>
      <c r="G7" s="5"/>
      <c r="H7" s="5"/>
      <c r="I7" s="5"/>
      <c r="K7" s="3" t="s">
        <v>155</v>
      </c>
      <c r="L7" s="3">
        <f>STupidExcelMean(L6)</f>
        <v>7.0620256985400632E+50</v>
      </c>
      <c r="M7" s="3">
        <f>STupidExcelVariance(L6,L7)</f>
        <v>5.959747492242024E+109</v>
      </c>
      <c r="N7" t="s">
        <v>150</v>
      </c>
      <c r="Q7" s="3"/>
      <c r="R7" s="3"/>
    </row>
    <row r="8" spans="1:18">
      <c r="B8" s="5"/>
      <c r="C8" s="5"/>
      <c r="D8" s="5"/>
      <c r="E8" s="5"/>
      <c r="F8" s="5" t="s">
        <v>17</v>
      </c>
      <c r="G8" s="5">
        <f>VLOOKUP($F8,Globals!$N$36:$P$42,2,FALSE)</f>
        <v>100000000000</v>
      </c>
      <c r="H8" s="5">
        <f>VLOOKUP($F8,Globals!$N$36:$P$42,3,FALSE)</f>
        <v>0.78030414607237897</v>
      </c>
      <c r="I8" s="5"/>
      <c r="Q8" s="3"/>
      <c r="R8" s="3"/>
    </row>
    <row r="9" spans="1:18" ht="30">
      <c r="A9" s="10" t="s">
        <v>47</v>
      </c>
      <c r="B9" s="5"/>
      <c r="C9" s="5"/>
      <c r="D9" s="5"/>
      <c r="E9" s="5"/>
      <c r="F9" s="5" t="s">
        <v>221</v>
      </c>
      <c r="G9" s="5">
        <f>VLOOKUP(F9,Globals!$A$21:$L$30,11,FALSE)</f>
        <v>1</v>
      </c>
      <c r="H9" s="5">
        <f>VLOOKUP(F9,Globals!$A$21:$L$30,12,FALSE)</f>
        <v>0</v>
      </c>
      <c r="I9" s="12" t="s">
        <v>223</v>
      </c>
      <c r="K9" s="15" t="s">
        <v>182</v>
      </c>
      <c r="L9" s="14">
        <f>G16*O9</f>
        <v>5.4644157967709579E+33</v>
      </c>
      <c r="M9" s="14">
        <f>H16</f>
        <v>2.7310645112533267</v>
      </c>
      <c r="N9" t="s">
        <v>62</v>
      </c>
      <c r="O9">
        <f>p_biological*p_not_care_about_animals*p_factory_farming</f>
        <v>9.6000000000000016E-2</v>
      </c>
      <c r="Q9" s="3"/>
      <c r="R9" s="3"/>
    </row>
    <row r="10" spans="1:18">
      <c r="A10" s="5" t="s">
        <v>42</v>
      </c>
      <c r="B10" s="5">
        <f>VLOOKUP(A10,Globals!$A$21:$L$30,11,FALSE)</f>
        <v>1000</v>
      </c>
      <c r="C10" s="5">
        <f>VLOOKUP(A10,Globals!$A$21:$L$30,12,FALSE)</f>
        <v>0</v>
      </c>
      <c r="D10" s="5"/>
      <c r="E10" s="5"/>
      <c r="F10" s="17" t="s">
        <v>52</v>
      </c>
      <c r="G10" s="111">
        <f>PRODUCT(G$3:G$4)*PRODUCT(G8:G9)</f>
        <v>3.1622776601683788E+34</v>
      </c>
      <c r="H10" s="111">
        <f>SUM(H$3:H$4)+SUM(H8:H9)</f>
        <v>2.7310645112533267</v>
      </c>
      <c r="I10" s="5"/>
      <c r="K10" s="15" t="s">
        <v>179</v>
      </c>
      <c r="L10" s="14">
        <f>G22*O10</f>
        <v>5.1200000000000003E+36</v>
      </c>
      <c r="M10" s="14">
        <f>H22</f>
        <v>3.1212165842895159</v>
      </c>
      <c r="N10" t="s">
        <v>71</v>
      </c>
      <c r="O10">
        <f>p_biological*p_not_care_about_animals*p_spread_was</f>
        <v>0.12800000000000003</v>
      </c>
      <c r="Q10" s="3"/>
      <c r="R10" s="3"/>
    </row>
    <row r="11" spans="1:18">
      <c r="A11" s="16" t="s">
        <v>52</v>
      </c>
      <c r="B11" s="111">
        <f>PRODUCT($B$3:$B$6)*B10</f>
        <v>3.1622776601683793E+48</v>
      </c>
      <c r="C11" s="111">
        <f>SUM(C$3:C$6)+C10</f>
        <v>3.5113686573257055</v>
      </c>
      <c r="D11" s="5"/>
      <c r="E11" s="5"/>
      <c r="F11" s="5"/>
      <c r="G11" s="5"/>
      <c r="H11" s="5"/>
      <c r="I11" s="5"/>
      <c r="K11" s="15" t="s">
        <v>180</v>
      </c>
      <c r="L11" s="14">
        <f>G28*O11</f>
        <v>1.6190861620062103E+40</v>
      </c>
      <c r="M11" s="14">
        <f>H28</f>
        <v>3.5113686573257055</v>
      </c>
      <c r="N11" t="s">
        <v>72</v>
      </c>
      <c r="O11">
        <f>p_biological*p_not_care_about_animals*p_spread_was</f>
        <v>0.12800000000000003</v>
      </c>
      <c r="Q11" s="3"/>
      <c r="R11" s="3"/>
    </row>
    <row r="12" spans="1:18">
      <c r="B12" s="8"/>
      <c r="C12" s="5"/>
      <c r="D12" s="5"/>
      <c r="E12" s="5"/>
      <c r="F12" s="5"/>
      <c r="G12" s="5"/>
      <c r="H12" s="5"/>
      <c r="I12" s="5"/>
      <c r="K12" s="15" t="s">
        <v>181</v>
      </c>
      <c r="L12" s="14">
        <f>G35*O12</f>
        <v>3.8399999999999992E+38</v>
      </c>
      <c r="M12" s="14">
        <f>H35</f>
        <v>4.6818248764342734</v>
      </c>
      <c r="N12" t="s">
        <v>73</v>
      </c>
      <c r="O12">
        <f>p_biological*p_not_care_about_animals*p_suffering_simulations</f>
        <v>9.6000000000000016E-2</v>
      </c>
      <c r="Q12" s="3"/>
      <c r="R12" s="3"/>
    </row>
    <row r="13" spans="1:18" ht="30">
      <c r="B13" s="5"/>
      <c r="C13" s="5"/>
      <c r="D13" s="5"/>
      <c r="E13" s="5"/>
      <c r="F13" s="10" t="s">
        <v>53</v>
      </c>
      <c r="G13" s="5"/>
      <c r="H13" s="5"/>
      <c r="I13" s="5"/>
      <c r="K13" s="15" t="s">
        <v>184</v>
      </c>
      <c r="L13" s="14">
        <f>B21*O13</f>
        <v>8.0954308100310524E+43</v>
      </c>
      <c r="M13" s="14">
        <f>C21</f>
        <v>3.5113686573257055</v>
      </c>
      <c r="N13" t="s">
        <v>75</v>
      </c>
      <c r="O13">
        <f>p_computronium*p_paperclip</f>
        <v>0.25600000000000001</v>
      </c>
      <c r="Q13" s="3"/>
      <c r="R13" s="3"/>
    </row>
    <row r="14" spans="1:18" ht="30">
      <c r="A14" s="10" t="s">
        <v>192</v>
      </c>
      <c r="B14" s="5"/>
      <c r="C14" s="5"/>
      <c r="D14" s="5"/>
      <c r="E14" s="5"/>
      <c r="F14" s="5" t="s">
        <v>18</v>
      </c>
      <c r="G14" s="5">
        <f>VLOOKUP($F14,Globals!$N$36:$P$42,2,FALSE)</f>
        <v>100000000000</v>
      </c>
      <c r="H14" s="5">
        <f>VLOOKUP($F14,Globals!$N$36:$P$42,3,FALSE)</f>
        <v>0.78030414607237897</v>
      </c>
      <c r="I14" s="5"/>
      <c r="K14" s="15" t="s">
        <v>178</v>
      </c>
      <c r="L14" s="14">
        <f>B26*O14</f>
        <v>1.2649110640673518E+46</v>
      </c>
      <c r="M14" s="14">
        <f>C26</f>
        <v>3.5113686573257055</v>
      </c>
      <c r="N14" t="s">
        <v>76</v>
      </c>
      <c r="O14">
        <f>p_computronium*p_dolorium</f>
        <v>4.0000000000000001E-3</v>
      </c>
    </row>
    <row r="15" spans="1:18" ht="30">
      <c r="A15" s="5" t="s">
        <v>193</v>
      </c>
      <c r="B15" s="5">
        <f>VLOOKUP(A15,Globals!$A$21:$L$30,11,FALSE)</f>
        <v>1</v>
      </c>
      <c r="C15" s="5">
        <f>VLOOKUP(A15,Globals!$A$21:$L$30,12,FALSE)</f>
        <v>0</v>
      </c>
      <c r="D15" s="5"/>
      <c r="E15" s="5"/>
      <c r="F15" s="5" t="s">
        <v>38</v>
      </c>
      <c r="G15" s="5">
        <f>VLOOKUP(F15,Globals!$A$21:$L$30,11,FALSE)</f>
        <v>1.7999999999999998</v>
      </c>
      <c r="H15" s="5">
        <f>VLOOKUP(F15,Globals!$A$21:$L$30,12,FALSE)</f>
        <v>0</v>
      </c>
      <c r="I15" s="5"/>
      <c r="K15" s="30" t="s">
        <v>153</v>
      </c>
      <c r="L15" s="31" t="str">
        <f>WriteArray(SumLognormDists(L9:M14))</f>
        <v>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9.88131291682493E-324,1.65511991356818E-321,1.50823419705957E-319,1.35353186796812E-317,1.19492797164064E-315,1.037740102434E-313,8.86562697587412E-312,7.45082692682814E-310,6.15990267145451E-308,5.00976976516223E-306,4.00808033345294E-304,3.15449608618438E-302,2.44229819295948E-300,1.86012744042723E-298,1.39367729648458E-296,1.02720580706597E-294,7.4478105982605E-293,5.31221817479397E-291,3.7273443024277E-289,2.57276225907731E-287,1.74693420845892E-285,1.16689130409608E-283,7.66763505243298E-282,4.95644006577536E-280,3.15178001986759E-278,1.97160437737588E-276,1.21328187737312E-274,7.3448331760612E-273,4.37401914498721E-271,2.5624663643545E-269,1.47677609015906E-267,8.37240741039476E-266,4.66944771488883E-264,2.56188944965233E-262,1.38272305385877E-260,7.34159158398051E-259,3.83464961613669E-257,1.97034309785416E-255,9.95953326454189E-254,4.95241848280898E-252,2.42257464454181E-250,1.16578576330976E-248,5.51877063112748E-247,2.57008940260374E-245,1.17743429669497E-243,5.30649765090505E-242,2.35267748332504E-240,1.02612490032202E-238,4.402726996298E-237,1.85834900243192E-235,7.7164418772857E-234,3.15203831235778E-232,1.26663293769558E-230,5.00720377102881E-229,1.94726592283171E-227,7.44973950131394E-226,2.80377432180676E-224,1.03808158852786E-222,3.7810003510846E-221,1.35478092554428E-219,4.77550046523447E-218,1.65598543636278E-216,5.64913928014286E-215,1.89581759470971E-213,6.25892386460975E-212,2.03278758208499E-210,6.49492147263336E-209,2.04148293686405E-207,6.31259493467192E-206,1.92026332903353E-204,5.74651753840132E-203,1.69176547221798E-201,4.8996769376538E-200,1.39600509486552E-198,3.91290439871028E-197,1.07895805157138E-195,2.92686971717218E-194,7.81081146984214E-193,2.05061100519366E-191,5.29621021284006E-190,1.3456818396191E-188,3.36368459362755E-187,8.27150041611796E-186,2.00101316522132E-184,4.76225545851518E-183,1.11499521112169E-181,2.56821497719651E-180,5.81953520107089E-179,1.29731153571805E-177,2.84511500321573E-176,6.13840382697608E-175,1.30290183935935E-173,2.72062750959737E-172,5.58892348629727E-171,1.12950845816371E-169,2.24570971512961E-168,4.3925946392946E-167,8.45264437527745E-166,1.60017919720911E-164,2.98023010277142E-163,5.4605544322807E-162,9.84305866576785E-161,1.74554250974853E-159,3.04535870492488E-158,5.22702772894423E-157,8.82632971740026E-156,1.46627410161497E-154,2.39640682322359E-153,3.85315964884546E-152,6.09516197175173E-151,9.48562653485482E-150,1.45231245504074E-148,2.18760109213211E-147,3.24183573554685E-146,4.72638910757842E-145,6.77929197603103E-144,9.56657375790044E-143,1.32814828491641E-141,1.81407658178692E-140,2.43772352486653E-139,3.22280440336333E-138,4.19184314161784E-137,5.36412138946361E-136,6.75329335404305E-135,8.36482848861303E-134,1.01935124436574E-132,1.2221290584028E-131,1.44157653946909E-130,1.67296483491657E-129,1.91014115139938E-128,2.14572838513798E-127,2.37145991095451E-126,2.57863413681019E-125,2.75865719825042E-124,2.90362822998763E-123,3.00691236562936E-122,3.06364380645108E-121,3.0711058795133E-120,3.02894674184177E-119,2.93920687608649E-118,2.80615538618953E-117,2.6359533808336E-116,2.43618139916839E-115,2.21528131257443E-114,1.98196973821585E-113,1.74467917410341E-112,1.51107543199948E-111,1.28768711199504E-110,1.07966707770943E-109,8.90689606549043E-109,7.22972340093838E-108,5.77401027367619E-107,4.53728274281573E-106,3.50815240818241E-105,2.66886943427088E-104,1.99776531889844E-103,1.4714039997016E-102,1.06633048905054E-101,7.60372362183646E-101,5.3350396273841E-100,3.68322372528973e-99,2.5020733059201e-98,1.67246048046668e-97,1.10001371061638e-96,7.11916892312491e-96,4.53369296868987e-95,2.84098696211688e-94,1.75179589617764e-93,1.06291315587697e-92,6.34621887799314e-92,3.72853617027447e-91,2.1556134351234e-90,1.22635403965311e-89,6.86557113056291e-89,3.78230686014733e-88,2.05049969140282e-87,1.09392917024057e-86,5.74313537356125e-86,2.96717520357736e-85,1.50860546930118e-84,7.54832707843055e-84,3.71682937933672e-83,1.80113350603389e-82,8.58964441416351e-82,4.03148696621056e-81,1.86217755448897e-80,8.46540616226473e-80,3.78748314214068e-79,1.66776675340499e-78,7.22781960891906e-78,3.08299333418392e-77,1.29430689755074e-76,5.34820047102015e-76,2.17515589097791e-75,8.70747431962979e-75,3.43099575653056e-74,1.3307045651014e-73,5.08023963081128e-73,1.90913095912232e-72,7.06227132955703e-72,2.57169068802344e-71,9.21865464872698e-71,3.25311941351838e-70,1.13012279286103e-69,3.86504296375778e-69,1.30135673161219e-68,4.31382409539761e-68,1.40787352400949e-67,4.52388484835887e-67,1.43125870173635e-66,4.45857342813485e-66,1.36759617326848e-65,4.13064150805428e-65,1.22853872925871e-64,3.5982101580739e-64,1.03782879490963e-63,2.94796432562122e-63,8.24693321197427e-63,2.2722366553097e-62,6.1662799559665e-62,1.64823818972783e-61,4.33973245186951e-61,1.12556901747132e-60,2.87586313046717e-60,7.23890238233208e-60,1.79517994984605e-59,4.38628858412282e-59,1.05600118475275e-58,2.5051546141272e-58,5.85643638220294e-58,1.34923579127944e-57,3.06355376413362e-57,6.85606684677764e-57,1.51239795267574e-56,3.28873747457364e-56,7.05011151849026e-56,1.49004355210164e-55,3.10507184474886e-55,6.38040943087489e-55,1.29290048075139e-54,2.5837928638239e-54,5.09288257259189e-54,9.90196134967001e-54,1.89919468647121e-53,3.59375431321573e-53,6.70963139741089e-53,1.23612340824631e-52,2.24739862636148e-52,4.03270442438352e-52,7.14256453295333e-52,1.24881328775169e-51,2.1556138264044e-51,3.67383387072333e-51,6.18284759377503e-51,1.02759913905644e-50,1.68682889823192e-50,2.73512131312173e-50,4.3811357782151e-50,6.93342441171432e-50,1.08419214746048e-49,1.67536171341728e-49,2.55859297789649e-49,3.86216199448427e-49,5.76292187041693e-49,8.50127656274902e-49,1.23994043502817e-48,1.78829331376661e-48,2.55060855743029e-48,3.59800510995367e-48,5.02040003317343e-48,6.92977379112567e-48,9.46345057940091e-48,1.27871924271677e-47,1.70978529165571e-47,2.26252879123119e-47,2.96331825078647e-47,3.84184319167631e-47,4.93087157654945e-47,6.26579360111279e-47,7.88392528902199e-47,9.82355530096574e-47,1.21227318035919e-46,1.48178027050657e-46,1.79417412439985e-46,2.1522308657236e-46,2.55801249975878e-46,3.0126736482771e-46,3.51627813356836e-46,4.06763643337035e-46,4.66417519043196e-46,5.3018493698556e-46,5.97510628107097e-46,6.67690854974914e-46,7.39882033449752e-46,8.13115779176802e-46,8.86320120920745e-46,9.58346259696295e-46,1.02799991076074e-45,1.0940759700715e-45,1.15539502009831e-45,1.21084004937269e-45,1.25939171690366e-45,1.30016055027377e-45,1.33241462089734e-45,1.3556014803858e-45,1.36936345085569e-45,1.37354571734725e-45,1.36819704762249e-45,1.35356333818942e-45,1.33007453158722e-45,1.2983257481195e-45,1.25905370933379e-45,1.21310969017339e-45,1.16143031738202e-45,1.10500753473865e-45,1.04485898754583e-45,9.8199995020246e-46,9.17417745348572e-46,8.52049396301154e-46,7.86763031954924e-46,7.22343339794679e-46,6.59481151139028e-46,5.98767053697527e-46,5.40688767578459e-46,4.85631896646001e-46,4.33883579354306e-46,3.85638511125577e-46,3.41006791183479e-46,3.00023056185447e-46,2.62656395744339e-46,2.28820595282195e-46,1.98384313923644e-46,1.71180873999706e-46,1.47017409521155e-46,1.25683189825571e-46,1.06956998512591e-46,9.06135046425247e-47,7.64286116844453e-47,6.41838092763753e-47,5.36695835083773e-47,4.46879636234368e-47,3.70542975427621e-47,3.05983564612214e-47,2.51648710294806e-47,2.06135994666341e-47,1.68190224110226e-47,1.36697514073344e-47,1.10677285151023e-47,8.92728434244688e-48,7.17411145559834e-48,5.74420005122815e-48,4.58277334307499e-48,3.64325153547408e-48,2.88626566984883e-48,2.2787360954428e-48,1.79302483216832e-48,1.40616661631845e-48,1.09917987262285e-48,8.56456142480168e-49,6.65224511537132e-49,5.15086210564976e-49,3.97613705020561e-49,3.06008140776757e-49,2.34808885710729e-49,1.79649019531083e-49,1.37050909302275e-49,1.04256408878406e-49,7.90866909520521e-50,5.98272245354776e-50,4.51339209638391e-50,3.39569679139695e-50,2.54793396355429e-50,1.90674037869002e-50,1.42314361065452e-50,1.05942018007638e-50,7.86606736665036e-51,5.82537051861183e-51,4.30300186715018e-51,3.17034351102711e-51,2.32987050360864e-51,1.7078550186482e-51,1.24872360572322e-51,9.10708579119571e-52,6.62508405054541e-52,4.80731682069634e-52,3.4794734765112e-52,2.5120216035903e-52,1.80897063652924e-52,1.29938219589017e-52,9.30975451332952e-53,6.65325133272435e-53,4.74266335768158e-53,3.37210810039349e-53,2.39149540619577e-53,1.69170436788863e-53,1.19361478877042e-53,8.40014221815481e-54,5.89643811245252e-54,4.12830199408646e-54,2.88290126855457e-54,2.00799537130841e-54,1.39498122579745e-54,9.66595764084036e-55,6.68021595848024e-55,4.604722899252e-55,3.16579106218247e-55,2.17082687476097e-55,1.48467310510464e-55,1.01273961230279e-55,6.89008729046033e-56,4.67530943348211e-56,3.16412412664788e-56,2.13576298805269e-56,1.43783128815562e-56,9.65421871963898e-57,6.46516667466727e-57,4.31812111629817e-57,2.87648147240584e-57,1.91108157821098e-57,1.26633035414806e-57,8.36882064428041e-58,5.51607679791252e-58,3.62613972824275e-58,2.37742254654325e-58,1.55458791902506e-58,1.01384312293129e-58,6.59435482539672e-59,4.27779032849409e-59,2.76765456111727e-59,1.78586687299427e-59,1.14929287076103e-59,7.37660324041671e-60,4.72199895448178e-60,3.01466310068647e-60,1.91952966072805e-60,1.21897201773223e-60,7.72031911461321e-61,4.87662240587363e-61,3.07216925719092e-61,1.93024778449037e-61,1.20954685543272e-61,7.55916541366259e-62,4.71157748999171e-62,2.92886931687301e-62,1.81582778358825e-62,1.12276838386784e-62,6.92383015730314e-63,4.25836826552534e-63,2.61204395481222e-63,1.59793121234812e-63,9.74935539611566e-64,5.9324466656801e-64,3.60024289461133e-64,2.17906250237914e-64,1.31536842036685e-64,7.91890057659521e-65,4.75468825790409e-65,2.84720547165048e-65,1.70041570507875e-65,1.01281675283542e-65,6.01652956471496e-66,3.56451614718679e-66,2.10617481853552e-66,1.24115920653049e-66,7.29457123311242e-67,4.27573913194648e-67,2.49954950859834e-67,1.45730802968624e-67,8.47383506558494e-68,4.91414146195679e-68,2.84219759234696e-68,1.63945618388358e-68,9.4315759343041e-69,5.41137453592469e-69,3.09649064401741e-69,1.76713926319603e-69,1.00579757257276e-69,5.70938290886179e-70,3.23226171562441e-70,1.82499889858748e-70,1.02767884761754e-70,5.77152968963238e-71,3.23268315173272e-71,1.80581817395239e-71,1.0060592513199e-71,5.5899991884647e-72,3.09769435472821e-72,1.71200096624073e-72,9.43643726718178e-73,5.18741159724367e-73,2.84401544198527e-73,1.55507654929922e-73,8.48027949533331e-74,4.61218929490431e-74,2.50174267268187e-74,1.35337047524771e-74,7.30178936273237e-75,3.92898560985896e-75,2.10848300382825e-75,1.12849150447834e-75,6.02372311406594e-76,3.20678778237335e-76,1.70260516811228e-76,9.01563202242219e-77,4.76120527867679e-77,2.5077031773754e-77,1.31726710010115e-77,6.90096853788617e-78,3.60565968386849e-78,1.87887505891265e-78,9.76448959483043e-79,5.06103881103171e-79,2.61618385461762e-79,1.34876200948342e-79,6.9349104282508e-80,3.55618915397108e-80,1.81872616013915e-80,9.27658729666981e-81,4.71897436177023e-81,2.39411748196607e-81,1.21138378033639e-81,6.11302970157527e-82,3.07659061490788e-82,1.54426336273928e-82,7.73056927067995e-83,3.85957988024093e-83,1.92179491564826e-83,9.54360583120069e-84,4.7266820998711e-84,2.33474116166709e-84,1.1501633656475e-84,5.65091487275559e-85,2.76895847263659e-85,1.35317062769515e-85,6.59518714756921e-86,3.20582732434891e-86,1.55414511990386e-86,7.5141775333282e-87,3.62334571611346e-87,1.74251503569724e-87,8.35760291330396e-88,3.99783963926801e-88,1.90724921075062e-88,9.07460969673846e-89,4.30612767704121e-89,2.03790664978045e-89,9.61878253668628e-90,4.52787429876643e-90,2.12572486356784e-90,9.9530956569926e-91,4.64780328373911e-91,2.16459042684782e-91,1.00540759729153e-91,4.65743739550788e-92,2.15174262448922e-92,9.91452823204439e-93,4.55608919816929e-93,2.08809770259286e-93,9.54438272958492e-94,4.35094215894439e-94,1.9781408263607e-94,8.96952687617403e-95,4.05620874728492e-95,1.82940344039414e-95,8.22881157815098e-96,3.69150258460062e-96,1.65161062376602e-96,7.36971326022811e-97,3.27968358093441e-97,1.45563246273934e-97,6.44332371491434e-98,2.84450434376879e-98,1.25239603283605e-98,5.4993985747847e-99,2.40839181087256e-99,1.05190741944866e-99,4.58211860342757E-100,1.99064384562706E-100,8.62500262921091E-101,3.72703385709637E-101,1.60622311335671E-101,6.90377828120965E-102,2.95941745304987E-102,1.26521419908874E-102,5.39461325063261E-103,2.29400839780961E-103,9.72899820011537E-104,4.1150931806502E-104,1.73591979386455E-104,7.30328195734058E-105,3.06439617205338E-105,1.2823606573802E-105,5.35197271446333E-106,2.22769652121572E-106,9.24776091968882E-107,3.82873749314897E-107,1.58093137904782E-107,6.51041808402317E-108,2.6738877331265E-108,1.09525662697993E-108,4.47431999810345E-109,1.82295783407571E-109,7.40738019867283E-110,3.00186446547294E-110,1.21326579589549E-110,4.89056752047E-111,1.96607913817178E-111,7.8828118602519E-112,3.15209834081745E-112,1.2570622543008E-112,4.99979553532339E-113,1.98328959471816E-113,7.8461833581714E-114,3.09577367735465E-114,1.21819940789166E-114,4.78085966210037E-115,1.87125096641196E-115,7.30460120079035E-116,2.84380238196254E-116,1.10418221460384E-116,4.27583080737686E-117,1.65134838916452E-117,6.36055969375618E-118,2.44337648031421E-118,9.36103514889777E-119,3.57680936017663E-119,1.36303228077409E-119,5.18030010443528E-120,1.96355074356969E-120,7.42280016701417E-121,2.79854206469979E-121,1.05228732678257E-121,3.94616528252262E-122,1.47589218604684E-122,5.50519144071101E-123,2.04799385445349E-123,7.59842012954433E-124,2.81161846599653E-124,1.03759507522691E-124,3.81889613824005E-125,1.40180054019284E-125,5.13183907745407E-126,1.87369227584726E-126,6.82278889628745E-127,2.47778735403617E-127,8.97438218887091E-128,3.24177986085477E-128,1.1678872297442E-128,4.19620531927502E-129,1.50366461842086E-129,5.37382676647001E-130,1.91537923174422E-130,6.80870184270753E-131,2.41386117538586E-131,8.53490503319149E-132,3.0097022104543E-132,1.05849007912868E-132,3.71268827987152E-133,1.29875912764948E-133,4.53113674626573E-134,1.57660956080002E-134,5.47116198578802E-135,1.89353536665099E-135,6.53590452551851E-136,2.24996834744931E-136,7.72476983202389E-137,2.64504532278059E-137,9.03273186867817E-138,3.07640529216774E-138,1.04497622939744E-138,3.54003620453196E-139,1.19604474260668E-139,4.0301905437806E-140,1.35438508808398E-140,</v>
      </c>
      <c r="M15" s="31" t="s">
        <v>148</v>
      </c>
    </row>
    <row r="16" spans="1:18">
      <c r="A16" s="16" t="s">
        <v>52</v>
      </c>
      <c r="B16" s="111">
        <f>PRODUCT($B$3:$B$6)*B15</f>
        <v>3.1622776601683795E+45</v>
      </c>
      <c r="C16" s="111">
        <f>SUM(C$3:C$6)+C15</f>
        <v>3.5113686573257055</v>
      </c>
      <c r="D16" s="5"/>
      <c r="E16" s="5"/>
      <c r="F16" s="17" t="s">
        <v>52</v>
      </c>
      <c r="G16" s="111">
        <f>PRODUCT(G$3:G$4)*PRODUCT(G14:G15)</f>
        <v>5.6920997883030807E+34</v>
      </c>
      <c r="H16" s="111">
        <f>SUM(H$3:H$4)+SUM(H14:H15)</f>
        <v>2.7310645112533267</v>
      </c>
      <c r="I16" s="5"/>
      <c r="K16" s="3" t="s">
        <v>154</v>
      </c>
      <c r="L16" s="3">
        <f>STupidExcelMean(L15)</f>
        <v>1.4217858907253908E+50</v>
      </c>
      <c r="M16" s="3">
        <f>STupidExcelVariance(L15,L16)</f>
        <v>2.3987886749258687E+108</v>
      </c>
      <c r="N16" s="7" t="s">
        <v>150</v>
      </c>
    </row>
    <row r="17" spans="1:23">
      <c r="B17" s="5"/>
      <c r="C17" s="5"/>
      <c r="D17" s="5"/>
      <c r="E17" s="5"/>
      <c r="F17" s="5"/>
      <c r="G17" s="5"/>
      <c r="H17" s="5"/>
      <c r="I17" s="5"/>
    </row>
    <row r="18" spans="1:23">
      <c r="B18" s="5"/>
      <c r="C18" s="5"/>
      <c r="D18" s="5"/>
      <c r="E18" s="5"/>
      <c r="F18" s="5"/>
      <c r="G18" s="5"/>
      <c r="H18" s="5"/>
      <c r="I18" s="5"/>
      <c r="K18" s="3" t="s">
        <v>151</v>
      </c>
      <c r="L18" s="3">
        <f>L7-L16</f>
        <v>5.6402398078146723E+50</v>
      </c>
      <c r="M18">
        <f>DifferenceVariance(L7:M7,L16:M16)</f>
        <v>6.1996263597346108E+109</v>
      </c>
    </row>
    <row r="19" spans="1:23" ht="30">
      <c r="A19" s="10" t="s">
        <v>48</v>
      </c>
      <c r="B19" s="5"/>
      <c r="C19" s="5"/>
      <c r="D19" s="5"/>
      <c r="E19" s="5"/>
      <c r="F19" s="10" t="s">
        <v>55</v>
      </c>
      <c r="G19" s="5"/>
      <c r="H19" s="5"/>
      <c r="I19" s="5"/>
      <c r="K19" s="27" t="s">
        <v>106</v>
      </c>
      <c r="L19" s="19">
        <f>EXP(MuFromParams(L18,M18))</f>
        <v>4.0402885211266472E+46</v>
      </c>
      <c r="M19" s="19">
        <f>(SigmaFromParams(L18,M18) / LN(10))^2</f>
        <v>3.600201532086265</v>
      </c>
      <c r="S19" s="3"/>
      <c r="T19" s="3"/>
      <c r="U19" s="3"/>
      <c r="V19" s="3"/>
      <c r="W19" s="3"/>
    </row>
    <row r="20" spans="1:23">
      <c r="A20" s="5" t="s">
        <v>43</v>
      </c>
      <c r="B20" s="5">
        <f>VLOOKUP(A20,Globals!$A$21:$L$30,11,FALSE)</f>
        <v>0.1</v>
      </c>
      <c r="C20" s="5">
        <f>VLOOKUP(A20,Globals!$A$21:$L$30,12,FALSE)</f>
        <v>0</v>
      </c>
      <c r="D20" s="5"/>
      <c r="E20" s="5"/>
      <c r="F20" s="5" t="s">
        <v>19</v>
      </c>
      <c r="G20" s="5">
        <f>VLOOKUP($F20,Globals!$N$36:$P$42,2,FALSE)</f>
        <v>316227766016837.94</v>
      </c>
      <c r="H20" s="5">
        <f>VLOOKUP($F20,Globals!$N$36:$P$42,3,FALSE)</f>
        <v>1.1704562191085683</v>
      </c>
      <c r="I20" s="5"/>
      <c r="S20" s="22"/>
      <c r="T20" s="3"/>
      <c r="U20" s="3"/>
      <c r="V20" s="3"/>
      <c r="W20" s="3"/>
    </row>
    <row r="21" spans="1:23" ht="30">
      <c r="A21" s="16" t="s">
        <v>52</v>
      </c>
      <c r="B21" s="111">
        <f>PRODUCT($B$3:$B$6)*B20</f>
        <v>3.1622776601683798E+44</v>
      </c>
      <c r="C21" s="111">
        <f>SUM(C$3:C$6)+C20</f>
        <v>3.5113686573257055</v>
      </c>
      <c r="D21" s="5"/>
      <c r="E21" s="5"/>
      <c r="F21" s="5" t="s">
        <v>39</v>
      </c>
      <c r="G21" s="5">
        <f>VLOOKUP(F21,Globals!$A$21:$L$30,11,FALSE)</f>
        <v>0.4</v>
      </c>
      <c r="H21" s="5">
        <f>VLOOKUP(F21,Globals!$A$21:$L$30,12,FALSE)</f>
        <v>0</v>
      </c>
      <c r="I21" s="5"/>
      <c r="L21" s="3"/>
      <c r="M21" s="3"/>
      <c r="N21" s="28"/>
      <c r="S21" s="8"/>
      <c r="T21" s="3"/>
      <c r="U21" s="3"/>
      <c r="V21" s="3"/>
      <c r="W21" s="3"/>
    </row>
    <row r="22" spans="1:23">
      <c r="B22" s="5"/>
      <c r="C22" s="5"/>
      <c r="D22" s="5"/>
      <c r="E22" s="5"/>
      <c r="F22" s="17" t="s">
        <v>52</v>
      </c>
      <c r="G22" s="111">
        <f>PRODUCT(G$3:G$4)*PRODUCT(G20:G21)</f>
        <v>3.9999999999999993E+37</v>
      </c>
      <c r="H22" s="111">
        <f>SUM(H$3:H$4)+SUM(H20:H21)</f>
        <v>3.1212165842895159</v>
      </c>
      <c r="I22" s="5"/>
      <c r="L22" s="2"/>
      <c r="M22" s="2"/>
      <c r="S22" s="8"/>
      <c r="T22" s="3"/>
      <c r="U22" s="3"/>
      <c r="V22" s="3"/>
      <c r="W22" s="3"/>
    </row>
    <row r="23" spans="1:23">
      <c r="B23" s="5"/>
      <c r="C23" s="5"/>
      <c r="D23" s="5"/>
      <c r="E23" s="5"/>
      <c r="F23" s="5"/>
      <c r="G23" s="5"/>
      <c r="H23" s="5"/>
      <c r="I23" s="5"/>
      <c r="K23" s="3"/>
      <c r="L23" s="3"/>
      <c r="M23" s="3"/>
      <c r="S23" s="8"/>
      <c r="T23" s="3"/>
      <c r="U23" s="3"/>
      <c r="V23" s="3"/>
      <c r="W23" s="3"/>
    </row>
    <row r="24" spans="1:23">
      <c r="A24" s="10" t="s">
        <v>49</v>
      </c>
      <c r="B24" s="5"/>
      <c r="C24" s="5"/>
      <c r="D24" s="5"/>
      <c r="E24" s="5"/>
      <c r="F24" s="5"/>
      <c r="G24" s="5"/>
      <c r="H24" s="5"/>
      <c r="I24" s="5"/>
      <c r="L24" s="3"/>
      <c r="M24" s="3"/>
      <c r="S24" s="8"/>
      <c r="T24" s="3"/>
      <c r="U24" s="3"/>
      <c r="V24" s="3"/>
      <c r="W24" s="3"/>
    </row>
    <row r="25" spans="1:23">
      <c r="A25" s="5" t="s">
        <v>44</v>
      </c>
      <c r="B25" s="5">
        <f>VLOOKUP(A25,Globals!$A$21:$L$30,11,FALSE)</f>
        <v>1000</v>
      </c>
      <c r="C25" s="5">
        <f>VLOOKUP(A25,Globals!$A$21:$L$30,12,FALSE)</f>
        <v>0</v>
      </c>
      <c r="D25" s="5"/>
      <c r="E25" s="5"/>
      <c r="F25" s="10" t="s">
        <v>56</v>
      </c>
      <c r="G25" s="5"/>
      <c r="H25" s="5"/>
      <c r="I25" s="5"/>
      <c r="M25" s="28"/>
      <c r="S25" s="8"/>
      <c r="T25" s="3"/>
      <c r="U25" s="3"/>
      <c r="V25" s="3"/>
      <c r="W25" s="3"/>
    </row>
    <row r="26" spans="1:23">
      <c r="A26" s="16" t="s">
        <v>52</v>
      </c>
      <c r="B26" s="111">
        <f>PRODUCT($B$3:$B$6)*B25</f>
        <v>3.1622776601683793E+48</v>
      </c>
      <c r="C26" s="111">
        <f>SUM(C$3:C$6)+C25</f>
        <v>3.5113686573257055</v>
      </c>
      <c r="D26" s="5"/>
      <c r="E26" s="5"/>
      <c r="F26" s="5" t="s">
        <v>54</v>
      </c>
      <c r="G26" s="5">
        <f>VLOOKUP($F26,Globals!$N$36:$P$42,2,FALSE)</f>
        <v>1E+19</v>
      </c>
      <c r="H26" s="5">
        <f>VLOOKUP($F26,Globals!$N$36:$P$42,3,FALSE)</f>
        <v>1.5606082921447579</v>
      </c>
      <c r="I26" s="5"/>
      <c r="M26" s="28"/>
      <c r="S26" s="23"/>
      <c r="T26" s="3"/>
      <c r="U26" s="3"/>
      <c r="V26" s="3"/>
      <c r="W26" s="3"/>
    </row>
    <row r="27" spans="1:23">
      <c r="A27" s="8"/>
      <c r="B27" s="8"/>
      <c r="C27" s="8"/>
      <c r="D27" s="5"/>
      <c r="E27" s="5"/>
      <c r="F27" s="5" t="s">
        <v>40</v>
      </c>
      <c r="G27" s="5">
        <f>VLOOKUP(F27,Globals!$A$21:$L$30,11,FALSE)</f>
        <v>0.04</v>
      </c>
      <c r="H27" s="5">
        <f>VLOOKUP(F27,Globals!$A$21:$L$30,12,FALSE)</f>
        <v>0</v>
      </c>
      <c r="I27" s="5"/>
      <c r="M27" s="28"/>
      <c r="S27" s="3"/>
      <c r="T27" s="3"/>
      <c r="U27" s="3"/>
      <c r="V27" s="3"/>
      <c r="W27" s="3"/>
    </row>
    <row r="28" spans="1:23">
      <c r="B28" s="5"/>
      <c r="C28" s="5"/>
      <c r="D28" s="5"/>
      <c r="E28" s="5"/>
      <c r="F28" s="17" t="s">
        <v>52</v>
      </c>
      <c r="G28" s="111">
        <f>PRODUCT(G$3:G$4)*PRODUCT(G26:G27)</f>
        <v>1.2649110640673514E+41</v>
      </c>
      <c r="H28" s="111">
        <f>SUM(H$3:H$4)+SUM(H26:H27)</f>
        <v>3.5113686573257055</v>
      </c>
      <c r="I28" s="5"/>
      <c r="S28" s="3"/>
      <c r="T28" s="3"/>
      <c r="U28" s="3"/>
      <c r="V28" s="3"/>
      <c r="W28" s="3"/>
    </row>
    <row r="29" spans="1:23">
      <c r="B29" s="5"/>
      <c r="C29" s="5"/>
      <c r="D29" s="5"/>
      <c r="E29" s="5"/>
      <c r="F29" s="5"/>
      <c r="G29" s="5"/>
      <c r="H29" s="5"/>
      <c r="I29" s="5"/>
      <c r="S29" s="13"/>
      <c r="T29" s="3"/>
      <c r="U29" s="3"/>
      <c r="V29" s="3"/>
      <c r="W29" s="3"/>
    </row>
    <row r="30" spans="1:23">
      <c r="B30" s="5"/>
      <c r="C30" s="5"/>
      <c r="D30" s="5"/>
      <c r="E30" s="5"/>
      <c r="F30" s="5"/>
      <c r="G30" s="5"/>
      <c r="H30" s="5"/>
      <c r="I30" s="5"/>
      <c r="S30" s="3"/>
      <c r="T30" s="3"/>
      <c r="U30" s="3"/>
      <c r="V30" s="3"/>
      <c r="W30" s="3"/>
    </row>
    <row r="31" spans="1:23">
      <c r="A31" s="8"/>
      <c r="B31" s="8"/>
      <c r="C31" s="8"/>
      <c r="D31" s="5"/>
      <c r="E31" s="5"/>
      <c r="F31" s="10" t="s">
        <v>57</v>
      </c>
      <c r="G31" s="5"/>
      <c r="H31" s="5"/>
      <c r="I31" s="5"/>
      <c r="S31" s="3"/>
      <c r="T31" s="3"/>
      <c r="U31" s="3"/>
      <c r="V31" s="3"/>
      <c r="W31" s="3"/>
    </row>
    <row r="32" spans="1:23">
      <c r="A32" s="8"/>
      <c r="B32" s="8"/>
      <c r="C32" s="8"/>
      <c r="D32" s="5"/>
      <c r="E32" s="5"/>
      <c r="F32" s="5" t="s">
        <v>54</v>
      </c>
      <c r="G32" s="5">
        <f>VLOOKUP($F32,Globals!$N$36:$P$42,2,FALSE)</f>
        <v>1E+19</v>
      </c>
      <c r="H32" s="5">
        <f>VLOOKUP($F32,Globals!$N$36:$P$42,3,FALSE)</f>
        <v>1.5606082921447579</v>
      </c>
      <c r="I32" s="5"/>
      <c r="S32" s="3"/>
      <c r="T32" s="3"/>
      <c r="U32" s="3"/>
      <c r="V32" s="3"/>
      <c r="W32" s="3"/>
    </row>
    <row r="33" spans="1:23">
      <c r="A33" s="8"/>
      <c r="B33" s="8"/>
      <c r="C33" s="8"/>
      <c r="D33" s="5"/>
      <c r="E33" s="5"/>
      <c r="F33" s="5" t="s">
        <v>58</v>
      </c>
      <c r="G33" s="5">
        <f>VLOOKUP($F33,Globals!$N$36:$P$42,2,FALSE)</f>
        <v>3.1622776601683791E-2</v>
      </c>
      <c r="H33" s="5">
        <f>VLOOKUP($F33,Globals!$N$36:$P$42,3,FALSE)</f>
        <v>1.1704562191085683</v>
      </c>
      <c r="I33" s="5"/>
      <c r="S33" s="3"/>
      <c r="T33" s="3"/>
      <c r="U33" s="3"/>
      <c r="V33" s="3"/>
      <c r="W33" s="3"/>
    </row>
    <row r="34" spans="1:23">
      <c r="A34" s="8"/>
      <c r="B34" s="8"/>
      <c r="C34" s="8"/>
      <c r="D34" s="5"/>
      <c r="E34" s="5"/>
      <c r="F34" s="5" t="s">
        <v>40</v>
      </c>
      <c r="G34" s="5">
        <f>VLOOKUP(F34,Globals!$A$21:$L$30,11,FALSE)</f>
        <v>0.04</v>
      </c>
      <c r="H34" s="5">
        <f>VLOOKUP(F34,Globals!$A$21:$L$30,12,FALSE)</f>
        <v>0</v>
      </c>
      <c r="I34" s="5"/>
      <c r="S34" s="8"/>
      <c r="T34" s="3"/>
      <c r="U34" s="3"/>
      <c r="V34" s="3"/>
      <c r="W34" s="3"/>
    </row>
    <row r="35" spans="1:23">
      <c r="A35" s="8"/>
      <c r="B35" s="8"/>
      <c r="C35" s="8"/>
      <c r="D35" s="5"/>
      <c r="E35" s="5"/>
      <c r="F35" s="16" t="s">
        <v>52</v>
      </c>
      <c r="G35" s="111">
        <f>PRODUCT(G$3:G$4)*PRODUCT(G32:G34)</f>
        <v>3.9999999999999985E+39</v>
      </c>
      <c r="H35" s="111">
        <f>SUM(H$3:H$4)+SUM(H32:H34)</f>
        <v>4.6818248764342734</v>
      </c>
      <c r="I35" s="5"/>
      <c r="S35" s="8"/>
      <c r="T35" s="3"/>
      <c r="U35" s="3"/>
      <c r="V35" s="3"/>
      <c r="W35" s="3"/>
    </row>
    <row r="36" spans="1:23">
      <c r="A36" s="8"/>
      <c r="B36" s="8"/>
      <c r="C36" s="8"/>
      <c r="D36" s="5"/>
      <c r="E36" s="5"/>
      <c r="F36" s="5"/>
      <c r="G36" s="5"/>
      <c r="H36" s="5"/>
      <c r="I36" s="5"/>
      <c r="S36" s="3"/>
      <c r="T36" s="3"/>
      <c r="U36" s="3"/>
      <c r="V36" s="3"/>
      <c r="W36" s="3"/>
    </row>
    <row r="37" spans="1:23" ht="15" customHeight="1">
      <c r="A37" s="8"/>
      <c r="B37" s="3"/>
      <c r="C37" s="3"/>
      <c r="S37" s="3"/>
      <c r="T37" s="3"/>
      <c r="U37" s="3"/>
      <c r="V37" s="3"/>
      <c r="W37" s="3"/>
    </row>
    <row r="38" spans="1:23" ht="15" customHeight="1">
      <c r="S38" s="13"/>
      <c r="T38" s="3"/>
      <c r="U38" s="3"/>
      <c r="V38" s="3"/>
      <c r="W38" s="3"/>
    </row>
    <row r="39" spans="1:23" ht="15" customHeight="1">
      <c r="S39" s="3"/>
      <c r="T39" s="3"/>
      <c r="U39" s="3"/>
      <c r="V39" s="3"/>
      <c r="W39" s="3"/>
    </row>
    <row r="40" spans="1:23" ht="15" customHeight="1">
      <c r="S40" s="3"/>
      <c r="T40" s="3"/>
      <c r="U40" s="3"/>
      <c r="V40" s="3"/>
      <c r="W40" s="3"/>
    </row>
    <row r="41" spans="1:23" ht="15" customHeight="1">
      <c r="S41" s="3"/>
      <c r="T41" s="3"/>
      <c r="U41" s="3"/>
      <c r="V41" s="3"/>
      <c r="W41" s="3"/>
    </row>
    <row r="42" spans="1:23" ht="15" customHeight="1">
      <c r="S42" s="3"/>
      <c r="T42" s="3"/>
      <c r="U42" s="3"/>
      <c r="V42" s="3"/>
      <c r="W42" s="3"/>
    </row>
    <row r="43" spans="1:23" ht="15" customHeight="1">
      <c r="S43" s="8"/>
      <c r="T43" s="3"/>
      <c r="U43" s="3"/>
      <c r="V43" s="3"/>
      <c r="W43" s="3"/>
    </row>
    <row r="44" spans="1:23" ht="15" customHeight="1">
      <c r="S44" s="8"/>
      <c r="T44" s="3"/>
      <c r="U44" s="3"/>
      <c r="V44" s="3"/>
      <c r="W44" s="3"/>
    </row>
    <row r="45" spans="1:23" ht="15" customHeight="1">
      <c r="S45" s="3"/>
      <c r="T45" s="3"/>
      <c r="U45" s="3"/>
      <c r="V45" s="3"/>
      <c r="W45" s="3"/>
    </row>
    <row r="46" spans="1:23" ht="15" customHeight="1">
      <c r="S46" s="3"/>
      <c r="T46" s="3"/>
      <c r="U46" s="3"/>
      <c r="V46" s="3"/>
      <c r="W46" s="3"/>
    </row>
    <row r="47" spans="1:23" ht="15" customHeight="1">
      <c r="S47" s="13"/>
      <c r="T47" s="3"/>
      <c r="U47" s="3"/>
      <c r="V47" s="3"/>
      <c r="W47" s="3"/>
    </row>
    <row r="48" spans="1:23" ht="15" customHeight="1">
      <c r="S48" s="3"/>
      <c r="T48" s="3"/>
      <c r="U48" s="3"/>
      <c r="V48" s="3"/>
      <c r="W48" s="3"/>
    </row>
    <row r="49" spans="19:23" ht="15" customHeight="1">
      <c r="S49" s="3"/>
      <c r="T49" s="3"/>
      <c r="U49" s="3"/>
      <c r="V49" s="3"/>
      <c r="W49" s="3"/>
    </row>
    <row r="50" spans="19:23" ht="15" customHeight="1">
      <c r="S50" s="3"/>
      <c r="T50" s="3"/>
      <c r="U50" s="3"/>
      <c r="V50" s="3"/>
      <c r="W50" s="3"/>
    </row>
    <row r="51" spans="19:23" ht="15" customHeight="1">
      <c r="S51" s="3"/>
      <c r="T51" s="3"/>
      <c r="U51" s="3"/>
      <c r="V51" s="3"/>
      <c r="W51" s="3"/>
    </row>
    <row r="52" spans="19:23" ht="15" customHeight="1">
      <c r="S52" s="8"/>
      <c r="T52" s="3"/>
      <c r="U52" s="3"/>
      <c r="V52" s="3"/>
      <c r="W52" s="3"/>
    </row>
    <row r="53" spans="19:23" ht="15" customHeight="1">
      <c r="S53" s="8"/>
      <c r="T53" s="3"/>
      <c r="U53" s="3"/>
      <c r="V53" s="3"/>
      <c r="W53" s="3"/>
    </row>
    <row r="54" spans="19:23" ht="15" customHeight="1">
      <c r="S54" s="3"/>
      <c r="T54" s="3"/>
      <c r="U54" s="3"/>
      <c r="V54" s="3"/>
      <c r="W54" s="3"/>
    </row>
    <row r="55" spans="19:23" ht="15" customHeight="1">
      <c r="S55" s="3"/>
      <c r="T55" s="3"/>
      <c r="U55" s="3"/>
      <c r="V55" s="3"/>
      <c r="W55" s="3"/>
    </row>
    <row r="56" spans="19:23" ht="15" customHeight="1">
      <c r="S56" s="13"/>
      <c r="T56" s="3"/>
      <c r="U56" s="3"/>
      <c r="V56" s="3"/>
      <c r="W56" s="3"/>
    </row>
    <row r="57" spans="19:23" ht="15" customHeight="1">
      <c r="S57" s="3"/>
      <c r="T57" s="3"/>
      <c r="U57" s="3"/>
      <c r="V57" s="3"/>
      <c r="W57" s="3"/>
    </row>
    <row r="58" spans="19:23" ht="15" customHeight="1">
      <c r="S58" s="3"/>
      <c r="T58" s="3"/>
      <c r="U58" s="3"/>
      <c r="V58" s="3"/>
      <c r="W58" s="3"/>
    </row>
    <row r="59" spans="19:23" ht="15" customHeight="1">
      <c r="S59" s="3"/>
      <c r="T59" s="3"/>
      <c r="U59" s="3"/>
      <c r="V59" s="3"/>
      <c r="W59" s="3"/>
    </row>
    <row r="60" spans="19:23" ht="15" customHeight="1">
      <c r="S60" s="3"/>
      <c r="T60" s="3"/>
      <c r="U60" s="3"/>
      <c r="V60" s="3"/>
      <c r="W60" s="3"/>
    </row>
    <row r="61" spans="19:23" ht="15" customHeight="1">
      <c r="S61" s="3"/>
      <c r="T61" s="3"/>
      <c r="U61" s="3"/>
      <c r="V61" s="3"/>
      <c r="W61" s="3"/>
    </row>
    <row r="62" spans="19:23" ht="15" customHeight="1">
      <c r="S62" s="3"/>
      <c r="T62" s="3"/>
      <c r="U62" s="3"/>
      <c r="V62" s="3"/>
      <c r="W62" s="3"/>
    </row>
    <row r="63" spans="19:23" ht="15" customHeight="1">
      <c r="S63" s="8"/>
      <c r="T63" s="3"/>
      <c r="U63" s="3"/>
      <c r="V63" s="3"/>
      <c r="W63"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P42"/>
  <sheetViews>
    <sheetView workbookViewId="0">
      <selection activeCell="B7" sqref="B7"/>
    </sheetView>
  </sheetViews>
  <sheetFormatPr baseColWidth="10" defaultRowHeight="15" x14ac:dyDescent="0"/>
  <cols>
    <col min="1" max="1" width="21.6640625" customWidth="1"/>
    <col min="2" max="2" width="12.83203125" bestFit="1" customWidth="1"/>
    <col min="3" max="3" width="12.1640625" bestFit="1" customWidth="1"/>
    <col min="4" max="4" width="10.83203125" style="103"/>
    <col min="5" max="5" width="10.83203125" customWidth="1"/>
    <col min="6" max="6" width="21.6640625" customWidth="1"/>
    <col min="7" max="7" width="12.83203125" bestFit="1" customWidth="1"/>
    <col min="11" max="11" width="12.83203125" bestFit="1" customWidth="1"/>
    <col min="12" max="13" width="12.1640625" bestFit="1" customWidth="1"/>
  </cols>
  <sheetData>
    <row r="1" spans="1:16" ht="20">
      <c r="A1" s="93" t="s">
        <v>120</v>
      </c>
      <c r="B1" s="82"/>
      <c r="C1" s="82"/>
      <c r="D1" s="119"/>
      <c r="F1" s="1" t="s">
        <v>63</v>
      </c>
    </row>
    <row r="2" spans="1:16">
      <c r="A2" s="74"/>
      <c r="B2" s="74" t="s">
        <v>0</v>
      </c>
      <c r="C2" s="74" t="s">
        <v>1</v>
      </c>
      <c r="D2" s="119" t="s">
        <v>27</v>
      </c>
      <c r="G2" s="7" t="s">
        <v>156</v>
      </c>
      <c r="H2" s="7" t="s">
        <v>157</v>
      </c>
      <c r="I2" t="s">
        <v>159</v>
      </c>
    </row>
    <row r="3" spans="1:16" ht="30">
      <c r="A3" s="42" t="s">
        <v>96</v>
      </c>
      <c r="B3" s="50">
        <v>50000000000</v>
      </c>
      <c r="C3" s="50">
        <v>2000000000000</v>
      </c>
      <c r="D3" s="119" t="s">
        <v>230</v>
      </c>
      <c r="F3" s="15" t="s">
        <v>52</v>
      </c>
      <c r="G3" s="14">
        <v>1</v>
      </c>
      <c r="H3" s="14">
        <f>I3^2</f>
        <v>4.0000000000000008E-2</v>
      </c>
      <c r="I3">
        <v>0.2</v>
      </c>
    </row>
    <row r="4" spans="1:16">
      <c r="A4" s="46" t="s">
        <v>91</v>
      </c>
      <c r="B4" s="47">
        <v>0.1</v>
      </c>
      <c r="C4" s="47">
        <v>0.5</v>
      </c>
      <c r="D4" s="119" t="s">
        <v>188</v>
      </c>
      <c r="F4" s="18" t="s">
        <v>78</v>
      </c>
      <c r="G4" s="19">
        <f>ParetoPosterior(median,alpha,G3:H3)</f>
        <v>0.85832741114212496</v>
      </c>
      <c r="H4" s="3"/>
    </row>
    <row r="5" spans="1:16" ht="45">
      <c r="A5" s="46" t="s">
        <v>254</v>
      </c>
      <c r="B5" s="47">
        <v>5.0000000000000001E-3</v>
      </c>
      <c r="C5" s="47">
        <v>0.2</v>
      </c>
      <c r="D5" s="119"/>
      <c r="F5" s="18" t="s">
        <v>85</v>
      </c>
      <c r="G5" s="19" t="str">
        <f>LognormPosterior(mu_global_poverty,sigma_global_poverty,G3:H3)</f>
        <v>disabled</v>
      </c>
      <c r="H5" s="3"/>
    </row>
    <row r="6" spans="1:16" ht="45">
      <c r="A6" s="46" t="s">
        <v>255</v>
      </c>
      <c r="B6" s="47">
        <f>B5*1.01</f>
        <v>5.0499999999999998E-3</v>
      </c>
      <c r="C6" s="47">
        <f>C5*1.01</f>
        <v>0.20200000000000001</v>
      </c>
      <c r="D6" s="119"/>
    </row>
    <row r="7" spans="1:16" ht="30">
      <c r="A7" s="116" t="s">
        <v>87</v>
      </c>
      <c r="B7" s="107">
        <f>1000/C3*interest_rate</f>
        <v>2.5000000000000004E-11</v>
      </c>
      <c r="C7" s="107">
        <f>1000/B3*interest_rate</f>
        <v>1.0000000000000001E-9</v>
      </c>
      <c r="D7" s="119"/>
    </row>
    <row r="8" spans="1:16" ht="45">
      <c r="A8" s="91" t="s">
        <v>256</v>
      </c>
      <c r="B8" s="65">
        <v>1.21</v>
      </c>
      <c r="C8" s="65">
        <v>192</v>
      </c>
      <c r="D8" s="120" t="s">
        <v>226</v>
      </c>
      <c r="F8" s="1" t="s">
        <v>86</v>
      </c>
      <c r="K8" s="1" t="s">
        <v>94</v>
      </c>
    </row>
    <row r="9" spans="1:16" ht="30">
      <c r="A9" s="118" t="s">
        <v>227</v>
      </c>
      <c r="B9" s="44">
        <f>B8/365</f>
        <v>3.3150684931506848E-3</v>
      </c>
      <c r="C9" s="44">
        <f>C8/365</f>
        <v>0.52602739726027392</v>
      </c>
      <c r="G9" t="s">
        <v>156</v>
      </c>
      <c r="H9" t="s">
        <v>158</v>
      </c>
      <c r="J9" s="13"/>
      <c r="L9" s="7" t="s">
        <v>156</v>
      </c>
      <c r="M9" s="7" t="s">
        <v>158</v>
      </c>
      <c r="N9" s="13"/>
      <c r="O9" s="3"/>
      <c r="P9" s="3"/>
    </row>
    <row r="10" spans="1:16">
      <c r="A10" s="118"/>
      <c r="F10" t="s">
        <v>91</v>
      </c>
      <c r="G10">
        <f>GEOMEAN($B$4,$C$4)</f>
        <v>0.22360679774997896</v>
      </c>
      <c r="H10">
        <f>LogVariance($B$4,$C$4)</f>
        <v>0.27270459618181209</v>
      </c>
      <c r="J10" s="3"/>
      <c r="K10" t="s">
        <v>91</v>
      </c>
      <c r="L10">
        <f>GEOMEAN($B$4,$C$4)</f>
        <v>0.22360679774997896</v>
      </c>
      <c r="M10">
        <f>LogVariance($B$4,$C$4)</f>
        <v>0.27270459618181209</v>
      </c>
      <c r="N10" s="3"/>
      <c r="O10" s="3"/>
      <c r="P10" s="3"/>
    </row>
    <row r="11" spans="1:16">
      <c r="A11" s="118"/>
      <c r="F11" s="3" t="s">
        <v>92</v>
      </c>
      <c r="G11">
        <f>GEOMEAN($B$5,$C$5)</f>
        <v>3.1622776601683791E-2</v>
      </c>
      <c r="H11">
        <f>LogVariance($B$5,$C$5)</f>
        <v>0.62504702674494428</v>
      </c>
      <c r="J11" s="3"/>
      <c r="K11" s="3" t="s">
        <v>93</v>
      </c>
      <c r="L11">
        <f>GEOMEAN($B$6,$C$6)</f>
        <v>3.1939004367700634E-2</v>
      </c>
      <c r="M11">
        <f>LogVariance($B$6,$C$6)</f>
        <v>0.62504702674494439</v>
      </c>
      <c r="N11" s="3"/>
      <c r="O11" s="3"/>
      <c r="P11" s="3"/>
    </row>
    <row r="12" spans="1:16">
      <c r="A12" s="118"/>
      <c r="F12" t="s">
        <v>87</v>
      </c>
      <c r="G12">
        <f>GEOMEAN($B$7,$C$7)</f>
        <v>1.5811388300841898E-10</v>
      </c>
      <c r="H12">
        <f>LogVariance($B$7,$C$7)</f>
        <v>0.62504702674494428</v>
      </c>
      <c r="J12" s="3"/>
      <c r="K12" t="s">
        <v>87</v>
      </c>
      <c r="L12">
        <f>GEOMEAN($B$7,$C$7)</f>
        <v>1.5811388300841898E-10</v>
      </c>
      <c r="M12">
        <f>LogVariance($B$7,$C$7)</f>
        <v>0.62504702674494428</v>
      </c>
      <c r="N12" s="3"/>
      <c r="O12" s="3"/>
      <c r="P12" s="3"/>
    </row>
    <row r="13" spans="1:16">
      <c r="A13" s="103"/>
      <c r="F13" t="s">
        <v>106</v>
      </c>
      <c r="G13">
        <f>VLOOKUP(F13,'EV of Far Future'!$K$18:$M$19,2,FALSE)</f>
        <v>4.0402885211266472E+46</v>
      </c>
      <c r="H13">
        <f>VLOOKUP(F13,'EV of Far Future'!$K$18:$M$19,3,FALSE)</f>
        <v>3.600201532086265</v>
      </c>
      <c r="J13" s="3"/>
      <c r="K13" t="s">
        <v>106</v>
      </c>
      <c r="L13">
        <f>VLOOKUP(K13,'EV of Far Future'!$K$18:$M$19,2,FALSE)</f>
        <v>4.0402885211266472E+46</v>
      </c>
      <c r="M13">
        <f>VLOOKUP(K13,'EV of Far Future'!$K$18:$M$19,3,FALSE)</f>
        <v>3.600201532086265</v>
      </c>
      <c r="N13" s="3"/>
      <c r="O13" s="3"/>
      <c r="P13" s="3"/>
    </row>
    <row r="14" spans="1:16">
      <c r="A14" s="103"/>
      <c r="F14" s="15" t="s">
        <v>52</v>
      </c>
      <c r="G14" s="14">
        <f>PRODUCT(G10:G13)</f>
        <v>4.5171798909756391E+34</v>
      </c>
      <c r="H14" s="14">
        <f>SUM(H10:H13)</f>
        <v>5.1230001817579662</v>
      </c>
      <c r="J14" s="3"/>
      <c r="K14" s="15" t="s">
        <v>52</v>
      </c>
      <c r="L14" s="14">
        <f>PRODUCT(L10:L13)</f>
        <v>4.5623516898853962E+34</v>
      </c>
      <c r="M14" s="14">
        <f>SUM(M10:M13)</f>
        <v>5.1230001817579662</v>
      </c>
      <c r="N14" s="3"/>
      <c r="O14" s="3"/>
      <c r="P14" s="3"/>
    </row>
    <row r="15" spans="1:16">
      <c r="F15" s="3" t="s">
        <v>155</v>
      </c>
      <c r="G15">
        <f>meanFromParams(G14:H14)</f>
        <v>3.5722291584501896E+40</v>
      </c>
      <c r="H15">
        <f>VarianceFromParams(G14:H14)</f>
        <v>7.9803597973189371E+92</v>
      </c>
      <c r="J15" s="3"/>
      <c r="K15" s="3"/>
      <c r="L15" s="3"/>
      <c r="M15" s="3"/>
      <c r="N15" s="3"/>
      <c r="O15" s="3"/>
      <c r="P15" s="3"/>
    </row>
    <row r="16" spans="1:16">
      <c r="J16" s="3"/>
      <c r="K16" s="117"/>
      <c r="L16" s="117"/>
      <c r="M16" s="117"/>
      <c r="N16" s="3"/>
      <c r="O16" s="3"/>
      <c r="P16" s="3"/>
    </row>
    <row r="17" spans="1:16">
      <c r="J17" s="3"/>
      <c r="K17" s="121" t="s">
        <v>225</v>
      </c>
      <c r="L17" s="117"/>
      <c r="M17" s="117"/>
      <c r="N17" s="3"/>
      <c r="O17" s="3"/>
      <c r="P17" s="3"/>
    </row>
    <row r="18" spans="1:16">
      <c r="J18" s="3"/>
      <c r="K18" s="12"/>
      <c r="L18" s="117" t="s">
        <v>156</v>
      </c>
      <c r="M18" s="117" t="s">
        <v>158</v>
      </c>
      <c r="O18" s="3"/>
      <c r="P18" s="3"/>
    </row>
    <row r="19" spans="1:16">
      <c r="J19" s="3"/>
      <c r="K19" s="103" t="s">
        <v>227</v>
      </c>
      <c r="L19" s="117">
        <f>GEOMEAN(B9,C9)</f>
        <v>4.1759033168783891E-2</v>
      </c>
      <c r="M19" s="117">
        <f>LogVariance(B9,C9)</f>
        <v>0.85853582389873684</v>
      </c>
      <c r="N19" s="3"/>
      <c r="O19" s="3"/>
      <c r="P19" s="3"/>
    </row>
    <row r="20" spans="1:16">
      <c r="J20" s="13"/>
      <c r="K20" s="117" t="s">
        <v>38</v>
      </c>
      <c r="L20">
        <f>VLOOKUP(K20,Globals!$A$22:$L$30,11,FALSE)</f>
        <v>1.7999999999999998</v>
      </c>
      <c r="M20">
        <f>VLOOKUP(K20,Globals!$A$22:$L$30,12,FALSE)</f>
        <v>0</v>
      </c>
      <c r="N20" s="13"/>
      <c r="O20" s="3"/>
      <c r="P20" s="3"/>
    </row>
    <row r="21" spans="1:16">
      <c r="J21" s="3"/>
      <c r="K21" s="123" t="s">
        <v>52</v>
      </c>
      <c r="L21" s="122">
        <f>PRODUCT(L19:L20)</f>
        <v>7.5166259703810995E-2</v>
      </c>
      <c r="M21" s="122">
        <f>SUM(M19:M20)</f>
        <v>0.85853582389873684</v>
      </c>
      <c r="N21" s="3"/>
      <c r="O21" s="3"/>
      <c r="P21" s="3"/>
    </row>
    <row r="22" spans="1:16" ht="20">
      <c r="A22" s="32" t="s">
        <v>59</v>
      </c>
      <c r="J22" s="3"/>
      <c r="K22" s="117"/>
      <c r="L22" s="117"/>
      <c r="M22" s="117"/>
      <c r="N22" s="3"/>
      <c r="O22" s="3"/>
      <c r="P22" s="3"/>
    </row>
    <row r="23" spans="1:16">
      <c r="A23" s="22" t="s">
        <v>164</v>
      </c>
      <c r="B23" s="3"/>
      <c r="C23" s="3"/>
      <c r="J23" s="3"/>
      <c r="N23" s="3"/>
      <c r="O23" s="3"/>
      <c r="P23" s="3"/>
    </row>
    <row r="24" spans="1:16" ht="30">
      <c r="A24" s="5" t="s">
        <v>162</v>
      </c>
      <c r="B24">
        <f>G15-L28</f>
        <v>-5.0718069182569168E+38</v>
      </c>
      <c r="C24">
        <f>DifferenceVariance(G15:H15,L28:M28)</f>
        <v>1.6154960398784601E+93</v>
      </c>
      <c r="J24" s="3"/>
      <c r="K24" t="s">
        <v>228</v>
      </c>
      <c r="N24" s="3"/>
      <c r="O24" s="3"/>
      <c r="P24" s="3"/>
    </row>
    <row r="25" spans="1:16">
      <c r="A25" s="16" t="s">
        <v>163</v>
      </c>
      <c r="B25" s="14">
        <f>EXP(MuFromParams(ABS(B24),C24))</f>
        <v>6.3998894867052933E+30</v>
      </c>
      <c r="C25" s="14">
        <f>(SigmaFromParams(B24,C24) / LN(10))^2</f>
        <v>6.8609757451714941</v>
      </c>
      <c r="K25" s="12" t="s">
        <v>229</v>
      </c>
      <c r="L25" s="12">
        <f>L14</f>
        <v>4.5623516898853962E+34</v>
      </c>
      <c r="M25" s="12">
        <f>M14</f>
        <v>5.1230001817579662</v>
      </c>
    </row>
    <row r="26" spans="1:16">
      <c r="A26" s="36" t="s">
        <v>78</v>
      </c>
      <c r="B26" s="19">
        <f>ParetoPosterior(median,alpha,B25:C25)*SIGN(B24)</f>
        <v>-1021738259900383.5</v>
      </c>
      <c r="K26" s="12" t="s">
        <v>144</v>
      </c>
      <c r="L26" s="12">
        <f>L21</f>
        <v>7.5166259703810995E-2</v>
      </c>
      <c r="M26" s="12">
        <f>M21</f>
        <v>0.85853582389873684</v>
      </c>
    </row>
    <row r="27" spans="1:16">
      <c r="A27" s="36" t="s">
        <v>85</v>
      </c>
      <c r="B27" s="19">
        <f>LognormPosterior(mu_far_future,sigma_far_future,B25:C25)*SIGN(B24)</f>
        <v>-7195.1231721748518</v>
      </c>
      <c r="K27" s="125" t="s">
        <v>167</v>
      </c>
      <c r="L27" s="124" t="str">
        <f>WriteArray(SumLognormDists(L25:M26))</f>
        <v>0,0,0,0,2.24047959884641E-190,1.75254683946835E-188,3.59256373004528E-187,9.08686052711893E-186,1.63737952599719E-184,2.71803356490436E-183,4.35553100921974E-182,7.04358387057452E-181,1.09804914209245E-179,1.6787259580775E-178,2.52799637561952E-177,3.75562974501298E-176,5.50728119917447E-175,7.97306244858581E-174,1.13966500619329E-172,1.60843901101327E-171,2.24135961064879E-170,3.08389629082378E-169,4.18957616797942E-168,5.61982799438384E-167,7.44318743544649E-166,9.7337064020406E-165,1.25684357517803E-163,1.60239013257905E-162,2.01715694202516E-161,2.50723975567794E-160,3.07706840458356E-159,3.72875553874515E-158,4.46145502699106E-157,5.27078563577463E-156,6.1483813897143E-155,7.08163026691757E-154,8.05365645254237E-153,9.0435878033037E-152,1.0027129883572E-150,1.09774423101528E-149,1.18662844958882E-148,1.26653692322733E-147,1.33478372851152E-146,1.38897476022073E-145,1.42714685955137E-144,1.44788580111397E-143,1.45041325691292E-142,1.43463528156646E-141,1.40114810753012E-140,1.35120075195594E-139,1.28661770455977E-138,1.20968836763003E-137,1.12303258411242E-136,1.02945324564087E-135,9.31787480176384E-135,8.32767284948466E-134,7.34898838037232E-133,6.40367343726919E-132,5.50971462911635E-131,4.68088490622263E-130,3.92668782508921E-129,3.25255751786868E-128,2.66026220964495E-127,2.14845085124228E-126,1.71328100936917E-125,1.34907059276292E-124,1.04892481094508E-123,8.05301254941055E-123,6.1048847763256E-122,4.56985483173671E-121,3.37780014822865E-120,2.46531775491874E-119,1.7767244338149E-118,1.26437614865572E-117,8.88469271353618E-117,6.1648043091684E-116,4.22384364869989E-115,2.85764935230988E-114,1.90907740864296E-113,1.25936781499772E-112,8.20346009556169E-112,5.27664623906263E-111,3.35147776720089E-110,2.10200242573701E-109,1.30181618595772E-108,7.96135170897239E-108,4.8077931676407E-107,2.86700022525737E-106,1.68823872043714E-105,9.81669707741335E-105,5.63668263965455E-104,3.19602177400991E-103,1.78947301600704E-102,9.89398437266256E-102,5.40193468554453E-101,2.91246637904124E-100,1.55062748200202e-99,8.15249462389621e-99,4.2326428251617e-98,2.17006325341264e-97,1.09868829250737e-96,5.49312706647261e-96,2.71212437684397e-95,1.32234928839591e-94,6.36694752592578e-94,3.02737896939228e-93,1.4215257713603e-92,6.59169604238904e-92,3.01853503365535e-91,1.36506733959082e-90,6.09639370463725e-90,2.68878052696144e-89,1.17112578539231e-88,5.03755822077991e-88,2.13996934358336e-87,8.97777352600699e-87,3.71968477122746e-86,1.52202890578569e-85,6.15066276670984e-85,2.45474435286858e-84,9.6756279739927e-84,3.76655149415257e-83,1.44811800793187e-82,5.49873596927127e-82,2.06216946887734e-81,7.63822168234398e-81,2.79428422740534e-80,1.00963282993739e-79,3.60309093730449e-79,1.27001934763849e-78,4.42153901845703e-78,1.52044053246117e-77,5.16420295286801e-77,1.73252809816158e-76,5.74124183011435e-76,1.87925463224115e-75,6.07610891901481e-75,1.94058084245372e-74,6.12224329879659e-74,1.90795766156817e-73,5.87371820329723e-73,1.78628565745904e-72,5.36648163628141e-72,1.59271154094762e-71,4.66983442324221e-71,1.35266789128925e-70,3.87092753327779e-70,1.09441551862637e-69,3.0570486134204e-69,8.43694661099815e-69,2.30060189423583e-68,6.19842927596879e-68,1.65012583954267e-67,4.34069640019087e-67,1.1282903218505e-66,2.89810485287113e-66,7.35617918087997e-66,1.84522450974144e-65,4.57424204986904e-65,1.12066800238011e-64,2.71355239107281e-64,6.49410054084266e-64,1.53615905440913e-63,3.59175966237126e-63,8.30138442283694e-63,1.89664041284528e-62,4.28381349555117e-62,9.56550529724807e-62,2.11173163727345e-61,4.60941269345664e-61,9.94837518059852e-61,2.12316206011914e-60,4.48089186748863e-60,9.35240407904874e-60,1.93058102058566e-59,3.94174659978299e-59,7.96080061602294e-59,1.59046937680978e-58,3.14361489968227e-58,6.14760158213047e-58,1.18957936811683e-57,2.27789511971509e-57,4.31688349947657e-57,8.09747472535229e-57,1.50356002769138e-56,2.76398802051101e-56,5.03096615502934e-56,9.06829615621209e-56,1.61890765335391e-55,2.86290955835699e-55,5.01595646351067e-55,8.70836109400497e-55,1.49842973890108e-54,2.55587344180654e-54,4.3225116825118e-54,7.24974935570951e-54,1.20614971381389e-53,1.99102889421922e-53,3.26184940860206e-53,5.30489861743238e-53,8.56719333606767e-53,1.37427601169051e-52,2.19034470233419e-52,3.46965329587099e-52,5.46422746811274e-52,8.55806255376829e-52,1.33340141666294e-51,2.06737175456801e-51,3.19065124556464e-51,4.90309459483954e-51,7.50435698677793e-51,1.1442607006426e-50,1.73865615433578e-50,2.63318101226076e-50,3.97574591412624e-50,5.98564802785319e-50,8.98738061527081e-50,1.34601633448628e-49,2.01103647334477e-49,2.99771936254383e-49,4.45866445290856e-49,6.61752918474448e-49,9.80149911870239e-49,1.44883065509794e-48,2.13741829082549e-48,3.14718726791827e-48,4.62517305649417e-48,6.78444409825896e-48,9.93317007949045e-48,1.45162215066258e-47,2.11745857987011e-47,3.08300635584483e-47,4.48057635537516e-47,6.499718990742e-47,9.41146848719457e-47,1.36026309921581e-46,1.9624181710397e-46,2.82594417433659e-46,4.06199285950694e-46,5.82798466446594e-46,8.34644205730271e-46,1.19313104688904e-45,1.70246706525284e-45,2.42478432441396e-45,3.44723861705281e-45,4.89185320092563e-45,6.92913986691407e-45,9.79690921707442e-45,1.38261952131171e-44,1.94769132755202e-44,2.73868083142095e-44,3.84385112988572e-44,5.38512194556424e-44,7.530579036233e-44,1.05115084881899e-43,1.46455459392289e-43,2.03680724555594e-43,2.82747089237391e-43,3.9178716103887e-43,5.41883719158244e-43,7.48110674380611e-43,1.03093063635025e-42,1.41806744155049e-42,1.94700995286418e-42,2.66835312639666e-42,3.6502472307034e-42,4.98431065971772e-42,6.79347171500869e-42,9.24234733807925e-42,1.25509513371667e-41,1.70127629748432e-41,2.30184938144628e-41,3.10872853631204e-41,4.19075761202347e-41,5.6390524099972e-41,7.57396973097386e-41,1.01541797024212e-40,1.35884515609789e-40,1.81509325050611e-40,2.42009134679904e-40,3.22083458876807e-40,4.27867135779008e-40,5.6735290634708e-40,7.50933507933045e-40,9.92095612987302e-40,1.30830626292554e-39,1.722142788044e-39,2.26273002582304e-39,2.96756450708563e-39,3.88482484137484e-39,5.07629160359028e-39,6.62102956645751e-39,8.62002128771939e-39,1.12019852155621e-38,1.45306652439845e-38,1.88139439504869e-38,2.43152108420331e-38,3.13675124751372e-38,4.0391126405411e-38,5.19153391768381e-38,6.66053741784655e-38,8.52956130282368e-38,1.0903048977727e-37,1.39114717068289e-37,1.77174834741088e-37,2.25234462564008e-37,2.85806099179199e-37,3.6200284955277e-37,4.57674095052741e-37,5.77569856908681e-37,7.27539459812472e-37,9.1477109382242e-37,1.14808001703368e-36,1.43825445764155e-36,1.79846978244452e-36,2.24478322123714e-36,2.79672339584352e-36,3.47799112263374e-36,4.31729046281789e-36,5.34931181050759e-36,6.61589195916182e-36,8.16737959650629e-36,1.0064238568735e-35,1.23789255467827e-35,1.51980834373337e-35,1.86250970210301e-35,2.27830628762069e-35,2.78182316570629e-35,3.39039872300544e-35,4.12454340100248e-35,5.00846710437547e-35,6.07068389136863e-35,7.34470333116166e-35,8.8698187074569e-35,1.06920030474087e-34,1.28649247472845e-34,1.54510953348884e-34,1.85231626349772e-34,2.21653632657117e-34,2.64751489665817e-34,3.15650017127723e-34,3.75644528759164e-34,4.46223218115491e-34,5.29091891511628e-34,6.26201197103653e-34,7.3977649250474e-34,8.72350483029876e-34,1.0267987483719e-33,1.20637825672353e-33,1.41476894159259e-33,1.65611838734129e-33,1.93508963436492e-33,2.25691207340569e-33,2.62743535041384e-33,3.05318614833904e-33,3.54142765006306e-33,4.10022141728134e-33,4.73849134354835e-33,5.46608925610923e-33,6.29386165090163e-33,7.23371694877891e-33,8.29869255932469e-33,9.50302093257744e-33,1.08621936697648e-32,1.23930226532232e-32,1.41136970447426e-32,1.60438348925894e-32,1.8204527982623e-32,2.06183784706552e-32,2.33095257441705e-32,2.63036618845401e-32,2.96280340389288e-32,3.33114319672821e-32,3.7384159007273e-32,4.18779847019775e-32,4.68260773644778e-32,5.22629149134262e-32,5.8224172406586e-32,6.4746584827874e-32,7.18677838494552e-32,7.96261074954742e-32,8.8060381879003e-32,9.72096744689311e-32,1.07113018668414e-31,1.17809109849752e-31,1.29335973390024e-31,1.41730605684339e-31,1.55028589575121e-31,1.69263686121354e-31,1.84467405135116e-31,2.00668557427243e-31,2.17892792221564e-31,2.3616212370939e-31,2.55494451213425e-31,2.75903077903254e-31,2.97396233442644e-31,3.19976606341836e-31,3.43640892125112e-31,3.68379363695032e-31,3.94175470470139e-31,4.21005472983132e-31,4.48838119643623e-31,4.77634372286393e-31,5.07347186936653e-31,5.37921355924635e-31,5.69293417069847e-31,6.01391635131007e-31,6.34136060082161e-31,6.67438666033159e-31,7.01203573769552e-31,7.35327358951791e-31,7.69699446996767e-31,8.04202594579241e-31,8.38713456551447e-31,8.73103235902323e-31,9.07238413181795e-31,9.40981550619298e-31,9.74192164989674e-31,1.00672766214379e-30,1.03844432504716e-30,1.06919834617689e-30,1.09884689423602e-30,1.12724920437207e-30,1.15426768045149e-30,1.17976899745661e-30,1.20362519175142e-30,1.22571472681462e-30,1.24592352207046e-30,1.26414593266443e-30,1.28028566843059e-30,1.29425664087799e-30,1.30598372777893e-30,1.31540344586131e-30,1.32246452317867e-30,1.32712836393805e-30,1.32936939988973e-30,1.32917532380287e-30,1.32654720204405e-30,1.32149946481777e-30,1.31405977419409e-30,1.30426877161198e-30,1.29217970808308e-30,1.27785796180375e-30,1.26138044928901e-30,1.24283493744897e-30,1.22231926521409e-30,1.19994048436426e-30,1.1758139301104e-30,1.15006223270549e-30,1.12281428191424e-30,1.09420415654118e-30,1.06437003140387e-30,1.03345307414124e-30,1.00159634407115e-30,9.68943704963852e-31,9.35638763088327e-31,9.01823841230361e-31,8.67638998588951e-31,8.3322110554868e-31,7.98702981318828e-31,7.64212601344365e-31,7.29872380250661e-31,6.95798534902938e-31,6.6210053096401e-31,6.28880615139673e-31,5.96233434128988e-31,5.64245740165045e-31,5.32996181956177e-31,5.02555178833108e-31,4.72984874986188e-31,4.44339169849419e-31,4.16663819962169e-31,3.89996607021685e-31,3.64367566332706e-31,3.39799269466865e-31,3.16307154662809e-31,2.93899898325957e-31,2.7257982091995e-31,2.52343320574259e-31,2.33181327856893e-31,2.15079775369099e-31,1.98020076101328e-31,1.81979604836436e-31,1.6693217728688e-31,1.52848522097037e-31,1.39696741319357e-31,1.27442755473488e-31,1.16050729811267e-31,1.05483478928129e-31,9.57028473746763e-32,8.66700644232233e-32,7.83460716261499e-32,7.06918222601565e-32,6.36685521780292e-32,5.72380219833991e-32,5.13627308012468e-32,4.60061022355177e-32,4.11326433839912e-32,3.67080780191366e-32,3.2699455242426e-32,2.9075235079521e-32,2.58053526064435e-32,2.28612622843825e-32,2.02159642355918e-32,1.784401421767e-32,1.57215190513152e-32,1.38261192305326e-32,1.21369603973618e-32,1.06346552986579e-32,9.30123776335917e-33,8.12011014798605e-33,7.07598559863245e-33,6.15482637205334e-33,5.3437793490158e-33,4.63110976202218e-33,4.00613404875286e-33,3.45915263377208e-33,2.98138333560962e-33,2.5648959954433e-33,2.20254882819906e-33,1.88792690767577e-33,1.615283114804e-33,1.37948180269175e-33,1.17594536386024e-33,1.0006038240468e-33,8.49847533045038e-34,7.20482976051582e-34,6.09691688598081e-34,5.14992224000619e-34,4.34205093940319e-34,3.65420579846971e-34,3.0696929471812e-34,2.573953613857e-34,2.15432063558294e-34,1.79979819745914e-34,1.50086326959439e-34,1.24928720434334e-34,1.03797597150855e-34,8.60827542335014e-35,7.12604980659613e-35,5.88823858421996e-35,4.85652680111379e-35,3.99825074157121e-35,3.28562586630378e-35,2.6950699207191e-35,2.20661116243956e-35,1.80337244831478e-35,1.47112269539819e-35,1.1978879781858e-35,9.73615239453542e-36,7.8988226957975e-36,6.39648246081299e-36,5.17039719270291e-36,4.17167480565933e-36,3.35970257070428e-36,2.70081640254509e-36,2.16717079283644e-36,1.73578152373683e-36,1.38771674641288e-36,1.10741510479331e-36,8.82112349486863e-37,7.01360345115275e-37,5.5662455123107e-37,4.40947976979548e-37,3.48671296477317e-37,2.75200288254636e-37,2.16813049568245e-37,1.70500555104996e-37,1.33835098299695e-37,1.0486198944614e-37,8.20106037797844e-38,6.40214891005477e-38,4.98867692389529e-38,3.88015283749557e-38,3.01242422755441e-38,2.33446451407238e-38,1.80576930813984e-38,1.3942514458302e-38,1.07454296578046e-38,8.26628383236491e-39,6.34747043330855e-39,4.86513511107707e-39,3.72214228290352e-39,2.84246339760561e-39,2.16670924896541e-39,1.64858080575177e-39,1.25205580669143e-39,9.49163392690033e-40,7.18227647748908e-40,5.4248421246074e-40,4.08993055676747e-40,3.07785821909824e-40,2.3119856388639e-40,1.7335066005021e-40,1.29738751058988e-40,9.69209744181019e-41,7.22719339649193e-41,5.37929580676533e-41,3.99654790243545e-41,2.96379707104202e-41,2.19389456345578e-41,1.62101444571069e-41,1.19553381372563e-41,8.80117564894207e-42,6.46730523602773e-42,4.74361981677674e-42,3.47296363863904e-42,2.53801651474281e-42,1.85136690814079e-42,1.34801397786547e-42,9.79715863071926e-43,7.10738317971002e-43,5.14663259314027e-43,3.71997865207848e-43,2.68387061185491e-43,1.93279835736036e-43,1.38936184027904e-43,9.9689181654995e-44,7.13977524953284e-44,5.10416725178662e-44,3.64224451760277e-44,2.59428177940213e-44,1.84445913801321e-44,1.30895518252226e-44,9.27223353062427e-45,6.55613354352674e-45,4.62716585948136e-45,3.25976421874574e-45,2.29224564058842e-45,1.60894044240727e-45,1.12725618479072e-45,7.88331954942525e-46,5.50299959580731e-46,3.83436698440338e-46,2.66680780709075e-46,1.85137163198183e-46,1.28291929697465e-46,8.87378528410074e-47,6.12663969150469e-47,4.22220786109669e-47,2.90442873990424e-47,1.99427794692696e-47,1.36682997271942e-47,9.35076508090038e-48,6.38533437806039e-48,4.35235176676266e-48,2.96120298508056e-48,2.01101918592984e-48,1.36322673631304e-48,9.22409616425473e-49,6.22993326513905e-49,4.19997603954675e-49,2.82627278614669e-49,1.89838890245216e-49,1.27279992720641e-49,8.5180256374314e-50,5.69012215185842e-50,3.7940939619299e-50,2.52521534825735e-50,1.67761617264781e-50,1.11247595714275e-50,7.36363933656361e-51,4.86517235196668e-51,3.20854250337921e-51,2.11213274270831e-51,1.38783701772775e-51,9.1024765973805e-52,5.95915278790663e-52,3.89415573416008e-52,2.54007158757673e-52,1.65379792712747e-52,1.07478791750548e-52,6.9721537173041e-53,4.51455530111305e-53,2.9178760996004e-53,1.88244615163309e-53,1.21222189146302e-53,7.79193873465956e-54,4.99934124004004e-54,3.20172391054521e-54,2.04672183595388e-54,1.30598326625976e-54,8.31802549847414e-55,5.28818607310714e-55,3.35580760963503e-55,2.12564740383257e-55,1.34396897870325e-55,8.48186016135002e-56,5.3431432439905e-56,3.35974543303968e-56,2.10872415550771e-56,1.32110403581806e-56,8.26148486064417e-57,5.1568327834097e-57,3.21300818998384e-57,1.99822533849686e-57,1.24045477899551e-57,7.68636948413449e-58,4.75406837302479e-58,2.93503601985308e-58,1.8086948130379e-58,1.11255373614067e-58,6.83094117793639e-59,4.18643102637473e-59,2.56100944922985e-59,1.56380381058651e-59,9.53141104327506e-60,5.79877124357731e-60,3.52142627068797e-60,2.13454379051082e-60,1.29150289364241e-60,7.7999091449783e-61,4.7020533251534e-61,2.82936776879572e-61,1.69939798668704e-61,1.01883684571943e-61,6.09702578260519e-62,3.64196079305278e-62,2.17148256375677e-62,1.29235334874689e-62,7.67732709459125e-63,4.55242355371434e-63,2.69450581262317e-63,1.59191338235352e-63,9.38779480052452e-64,5.5260090065304e-64,3.24685903922765e-64,1.90422878579318e-64,1.11475303481024e-64,6.51391438860182e-65,3.79934975594962e-65,2.21197568959336e-65,1.28545024021861e-65,7.45648306135958e-66,4.31734393207387e-66,2.49518703092627e-66,1.43943947124605e-66,8.28872166118188e-67,4.7641513559117e-67,2.73330056123591e-67,1.56528374882176e-67,8.94751855711556e-68,5.10523790352049e-68,2.90759027665742e-68,1.6529292937296e-68,9.37948926605964e-69,5.31261018719495e-69,3.00358935453853e-69,1.69502851183854e-69,9.54810760815232e-70,5.36860495277042e-70,3.01307149051132e-70,1.68795657812021e-70,9.43880361776001e-71,5.26837252169567e-71,2.93521452075496e-71,1.63232662412447e-71,9.06104165602638e-72,5.02057010091562e-72,2.77671808907849e-72,1.53290199468459e-72,8.44696772654336e-73,4.64612752644757e-73,2.55085200812176e-73,1.39792298481705e-73,7.64689406850798e-74,4.17532944344159e-74,2.27562275476057e-74,1.23798001329653e-74,6.72250051819185e-75,3.64377793155152e-75,1.97140931267058e-75,1.06464679741944e-75,5.73902538826765e-76,3.08798075918698e-76,1.65849769015413e-76,8.89117180131481e-77,4.75780872966425e-77,2.54131676380449e-77,1.35492254581978e-77,7.21064282116278e-78,3.83034015080113e-78,2.03097486269391e-78,1.07491865283222e-78,5.67872052759577e-79,2.99453392966896e-79,1.57620182611444e-79,8.28129508699963e-80,4.34298710227833e-80,2.27343564406402e-80,1.18790206063174e-80,6.19558689249824e-81,3.22543366553704e-81,1.67609111005592e-81,8.69382664902265e-82,4.50119860614958e-82,2.32621162011025e-82,1.19998028705991e-82,6.17878165089161e-83,3.17567046811407e-83,1.62919045983415e-83,8.34280575238439e-84,4.2643834701168e-84,2.17572607346146e-84,1.10804150118859e-84,5.63263595938037e-85,2.8580589717826e-85,1.44755319887464e-85,7.31815707685153e-86,3.69294437541331e-86,1.86014864898886e-86,9.35247124890204e-87,4.69363115698751e-87,2.35123143898072e-87,1.17567057293572e-87,5.86786024092564e-88,2.92332917277335e-88,1.4537158493016e-88,7.21581144096199e-89,3.57515332854409e-89,1.76810484496811e-89,8.72821030313455e-90,4.30077017450941e-90,2.11529583525215e-90,1.03848407027687e-90,5.08899951619836e-91,2.4892517766493e-91,1.21537161071951e-91,5.92315633143683e-92,2.88138405491586e-92,1.39911350135468e-92,6.7812318356413e-93,3.28071181458732e-93,1.5842780995e-93,7.63657463303134e-94,3.67425782724171e-94,1.76459279337992e-94,8.45908171228858e-95,4.04767640108981e-95,1.93326859039652e-95,9.21684854577574e-96,4.38608004103759e-96,2.08340882877946e-96,9.87816539164232e-97,4.67500341197992e-97,2.208469555302e-97,1.04136924385412e-97,4.90142004853828e-98,2.30272960500797e-98,1.07986088874818e-98,5.05471326682496e-99,2.36172367738652e-99,1.10145177736769e-99,5.1275008167109E-100,2.38259284947363E-100,1.10509032223286E-100,5.11622414422989E-101,2.3643142285113E-101,1.09059794367854E-101,5.02143677498228E-102,2.30778405780932E-102,1.05868359800018E-102,4.84775927727443E-103,2.2157448743188E-103,1.0108862892336E-103,4.60350590722421E-104,2.09256496130499E-104,9.49452055469367E-105,4.30002494236443E-105,1.94389479147351E-105,8.77159120021344E-106,3.95082557088135E-106,1.77623807182577E-106,7.97110148937211E-107,3.57058477298088E-107,1.59648265377805E-107,7.12513185222331E-108,3.17413542808756E-108,1.4114381282669E-108,6.26472603705129E-109,2.77553154556733E-109,1.22742254920837E-109,5.41808573598795E-110,2.38726974613E-110,1.04993148932483E-110,4.60918642161983E-111,2.01972123750888E-111,8.83410254471868E-112,3.85689029397596E-112,1.68079977527412E-112,7.31136596048648E-113,3.17457001095064E-113,1.37586284216055E-113,5.95208630852727E-114,2.5702013303097E-114,1.10781926607336E-114,4.76622487631322E-115,2.04684044579163E-115,8.7739932679637E-116,3.75417444686153E-116,1.60337625421243E-116,6.83534266669549E-117,2.90863336017846E-117,1.23543959526731E-117,5.23790837435139E-118,2.21665509691331E-118,9.36358583943672E-119,3.94811790927663E-119,1.66165890005857E-119,6.98067610159291E-120,2.92723064229271E-120,1.22523739589802E-120,5.1190266459557E-121,2.13480584136177E-121,8.88655064834257E-122,3.6924268824965E-122,1.53142041954298E-122,6.33987665620335E-123,2.61981744346791E-123,1.08060033035231E-123,4.44900617144538E-124,1.82837286002817E-124,7.50015726210764E-125,3.07100001822705E-125,1.2551427274474E-125,5.12047505494802E-126,2.08512089890318E-126,8.47531938727112E-127,3.43862448384813E-127,1.39257076856555E-127,5.62929027779512E-128,2.2714012415451E-128,9.14824779104165E-129,3.67778066951393E-129,1.47583422608258E-129,5.91143849809933E-130,2.36348374108551E-130,9.43226314105153E-131,3.75736203647069E-131,1.49401178611087E-131,5.92964713471271E-132,2.34913254590616E-132,9.2894508122245E-133,3.66670864795403E-133,1.44466320595184E-133,5.68146933111061E-134,2.2302757749554E-134,8.73897130508118E-135,3.41795157328323E-135,1.33436715303437E-135,5.19982378286655E-136,2.02258021688622E-136,7.85283965354418E-137,3.04334753970068E-137,1.17728121998542E-137,4.54582515968575E-138,1.75206044703953E-138,6.74045616463945E-139,2.58841160079211E-139,9.92158899273874E-140,3.79605916335594E-140,1.44973478160782E-140,5.5264722062213E-141,2.10286439441141E-141,7.98690264549827E-142,3.02795460222179E-142,1.1458405148895E-142,4.32815528848548E-143,1.63186917976827E-143,6.14146090862622E-144,2.30707593532562E-144,8.65079323997632E-145,3.23782834672784E-145,1.20963837299172E-145,4.51087856152425E-146,1.67907680145493E-146,6.23855248112268E-147,2.31366752146249E-147,8.56489243452754E-148,3.16480329248321E-148,1.16728089135499E-148,4.29742074663271E-149,1.57922576870412E-149,5.79274503111771E-150,2.12094033079362E-150,7.75133190502334E-151,2.82766568787076E-151,1.02963580433066E-151,3.74233840244934E-152,1.35770782765268E-152,4.91669686732225E-153,1.77723308845624E-153,6.41237914669175E-154,2.30939298136976E-154,8.30195425024102E-155,2.97897374539193E-155,1.0669814308043E-155,3.8146165841016E-156,1.3612840925336E-156,4.8489811098468E-157,1.72407462779352E-157,</v>
      </c>
      <c r="M27" s="124" t="s">
        <v>148</v>
      </c>
    </row>
    <row r="28" spans="1:16">
      <c r="A28" s="5"/>
      <c r="K28" s="7" t="s">
        <v>154</v>
      </c>
      <c r="L28" s="7">
        <f>STupidExcelMean(L27)</f>
        <v>3.6229472276327588E+40</v>
      </c>
      <c r="M28" s="7">
        <f>STupidExcelVariance(L27,L28)</f>
        <v>8.1746006014656638E+92</v>
      </c>
    </row>
    <row r="29" spans="1:16">
      <c r="A29" s="5"/>
    </row>
    <row r="30" spans="1:16">
      <c r="A30" s="33" t="s">
        <v>83</v>
      </c>
      <c r="B30" s="4">
        <f>B26+G4</f>
        <v>-1021738259900382.6</v>
      </c>
    </row>
    <row r="31" spans="1:16">
      <c r="A31" s="33" t="s">
        <v>84</v>
      </c>
      <c r="B31" s="4" t="e">
        <f>B27+G5</f>
        <v>#VALUE!</v>
      </c>
    </row>
    <row r="36" spans="1:2">
      <c r="A36" s="13"/>
      <c r="B36" s="3"/>
    </row>
    <row r="37" spans="1:2">
      <c r="A37" s="3"/>
      <c r="B37" s="3"/>
    </row>
    <row r="38" spans="1:2">
      <c r="A38" s="3"/>
      <c r="B38" s="3"/>
    </row>
    <row r="39" spans="1:2">
      <c r="A39" s="3"/>
      <c r="B39" s="3"/>
    </row>
    <row r="40" spans="1:2">
      <c r="A40" s="3"/>
      <c r="B40" s="3"/>
    </row>
    <row r="41" spans="1:2">
      <c r="A41" s="13"/>
      <c r="B41" s="3"/>
    </row>
    <row r="42" spans="1:2">
      <c r="A42" s="3"/>
      <c r="B42" s="3"/>
    </row>
  </sheetData>
  <hyperlinks>
    <hyperlink ref="D8" r:id="rId1"/>
  </hyperlink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O45"/>
  <sheetViews>
    <sheetView workbookViewId="0">
      <selection activeCell="I16" sqref="I16"/>
    </sheetView>
  </sheetViews>
  <sheetFormatPr baseColWidth="10" defaultRowHeight="15" x14ac:dyDescent="0"/>
  <cols>
    <col min="1" max="1" width="21.6640625" style="5" customWidth="1"/>
    <col min="2" max="4" width="10.83203125" customWidth="1"/>
    <col min="6" max="7" width="10.83203125" customWidth="1"/>
    <col min="8" max="8" width="12.1640625" bestFit="1" customWidth="1"/>
    <col min="9" max="9" width="12.83203125" bestFit="1" customWidth="1"/>
    <col min="14" max="14" width="12.83203125" bestFit="1" customWidth="1"/>
  </cols>
  <sheetData>
    <row r="1" spans="1:15" ht="20">
      <c r="A1" s="32" t="s">
        <v>120</v>
      </c>
      <c r="H1" s="1" t="s">
        <v>63</v>
      </c>
      <c r="M1" s="1" t="s">
        <v>77</v>
      </c>
    </row>
    <row r="2" spans="1:15">
      <c r="A2" s="57"/>
      <c r="B2" s="44" t="s">
        <v>0</v>
      </c>
      <c r="C2" s="44" t="s">
        <v>1</v>
      </c>
      <c r="D2" s="54" t="s">
        <v>156</v>
      </c>
      <c r="E2" s="54" t="s">
        <v>158</v>
      </c>
      <c r="F2" t="s">
        <v>27</v>
      </c>
      <c r="I2" s="7" t="s">
        <v>156</v>
      </c>
      <c r="J2" s="7" t="s">
        <v>157</v>
      </c>
      <c r="N2" s="7" t="s">
        <v>156</v>
      </c>
      <c r="O2" s="7" t="s">
        <v>158</v>
      </c>
    </row>
    <row r="3" spans="1:15" ht="30">
      <c r="A3" s="42" t="s">
        <v>117</v>
      </c>
      <c r="B3" s="43">
        <v>0.7</v>
      </c>
      <c r="C3" s="83">
        <v>13</v>
      </c>
      <c r="D3" s="74"/>
      <c r="E3" s="74"/>
      <c r="F3" s="142" t="s">
        <v>281</v>
      </c>
      <c r="G3" s="7"/>
      <c r="H3" t="s">
        <v>66</v>
      </c>
      <c r="I3">
        <f>D4</f>
        <v>3016.620625799671</v>
      </c>
      <c r="J3">
        <f>E4</f>
        <v>0.49504262895320128</v>
      </c>
      <c r="M3" s="3" t="s">
        <v>124</v>
      </c>
      <c r="N3" s="25">
        <f>VLOOKUP(M3,$A$18:$E$21,4,FALSE)</f>
        <v>4.4721359549995794E-2</v>
      </c>
      <c r="O3" s="25">
        <f>VLOOKUP(M3,$A$18:$E$21,5,FALSE)</f>
        <v>0.50759954989056688</v>
      </c>
    </row>
    <row r="4" spans="1:15" ht="30">
      <c r="A4" s="85" t="s">
        <v>66</v>
      </c>
      <c r="B4" s="86">
        <f>B3*1000</f>
        <v>700</v>
      </c>
      <c r="C4" s="86">
        <f>C3*1000</f>
        <v>13000</v>
      </c>
      <c r="D4" s="74">
        <f>GEOMEAN(B4,C4)</f>
        <v>3016.620625799671</v>
      </c>
      <c r="E4" s="74">
        <f>LogVariance(B4,C4)</f>
        <v>0.49504262895320128</v>
      </c>
      <c r="F4" s="142"/>
      <c r="G4" s="3"/>
      <c r="H4" t="s">
        <v>38</v>
      </c>
      <c r="I4">
        <f>VLOOKUP($H4,Globals!$A$22:$L$30,11,FALSE)</f>
        <v>1.7999999999999998</v>
      </c>
      <c r="J4">
        <f>VLOOKUP($H4,Globals!$A$22:$L$30,12,FALSE)</f>
        <v>0</v>
      </c>
      <c r="M4" s="3" t="s">
        <v>181</v>
      </c>
      <c r="N4">
        <f>VLOOKUP($M4,'EV of Far Future'!$K$3:$N$14,2,FALSE)</f>
        <v>3.8399999999999992E+38</v>
      </c>
      <c r="O4">
        <f>VLOOKUP($M4,'EV of Far Future'!$K$3:$N$14,3,FALSE)</f>
        <v>4.6818248764342734</v>
      </c>
    </row>
    <row r="5" spans="1:15">
      <c r="F5" s="103"/>
      <c r="H5" s="15" t="s">
        <v>52</v>
      </c>
      <c r="I5" s="14">
        <f>PRODUCT(I3:I4)</f>
        <v>5429.9171264394072</v>
      </c>
      <c r="J5" s="14">
        <f>SUM(J3:J4)</f>
        <v>0.49504262895320128</v>
      </c>
      <c r="M5" s="3" t="s">
        <v>285</v>
      </c>
      <c r="N5" s="2">
        <f>$D$7</f>
        <v>7.0700000000000004E-10</v>
      </c>
      <c r="O5">
        <f>$E$7</f>
        <v>0.11744747699999999</v>
      </c>
    </row>
    <row r="6" spans="1:15" ht="30">
      <c r="A6" s="46" t="s">
        <v>282</v>
      </c>
      <c r="B6" s="147">
        <v>1000000000</v>
      </c>
      <c r="C6" s="147">
        <v>2000000000</v>
      </c>
      <c r="F6" s="103"/>
      <c r="H6" s="18" t="s">
        <v>78</v>
      </c>
      <c r="I6" s="19">
        <f>ParetoPosterior(median,alpha,I5:J5)</f>
        <v>396.49368154968971</v>
      </c>
      <c r="M6" s="148" t="s">
        <v>286</v>
      </c>
      <c r="N6">
        <f>$D$16</f>
        <v>39.692256431966342</v>
      </c>
      <c r="O6">
        <f>$E$16</f>
        <v>0.54824135785953976</v>
      </c>
    </row>
    <row r="7" spans="1:15" ht="30">
      <c r="A7" s="149" t="s">
        <v>285</v>
      </c>
      <c r="B7" s="150">
        <v>5.0000000000000003E-10</v>
      </c>
      <c r="C7" s="150">
        <v>1.0000000000000001E-9</v>
      </c>
      <c r="D7" s="151">
        <v>7.0700000000000004E-10</v>
      </c>
      <c r="E7" s="54">
        <v>0.11744747699999999</v>
      </c>
      <c r="H7" s="18" t="s">
        <v>67</v>
      </c>
      <c r="I7" s="20">
        <f>LognormPosterior(mu_factory_farming,sigma_factory_farming,I5:J5)</f>
        <v>194.83133807235006</v>
      </c>
      <c r="M7" s="15" t="s">
        <v>52</v>
      </c>
      <c r="N7" s="14">
        <f>PRODUCT(N3:N6)</f>
        <v>4.8191608764285387E+29</v>
      </c>
      <c r="O7" s="14">
        <f>SUM(O3:O6)</f>
        <v>5.8551132611843801</v>
      </c>
    </row>
    <row r="8" spans="1:15">
      <c r="A8" s="46" t="s">
        <v>287</v>
      </c>
      <c r="B8" s="84">
        <v>22</v>
      </c>
      <c r="C8" s="84">
        <v>323</v>
      </c>
      <c r="D8" s="3">
        <f>GEOMEAN(B8,C8)</f>
        <v>84.297093662830392</v>
      </c>
      <c r="E8" s="3">
        <f>LogVariance(B8,C8)</f>
        <v>0.45522157394153262</v>
      </c>
      <c r="F8" s="103" t="s">
        <v>288</v>
      </c>
      <c r="I8" s="21"/>
    </row>
    <row r="9" spans="1:15" ht="30">
      <c r="A9" s="46" t="s">
        <v>290</v>
      </c>
      <c r="B9" s="84">
        <v>5</v>
      </c>
      <c r="C9" s="84">
        <v>8</v>
      </c>
      <c r="D9" s="3">
        <f>GEOMEAN(B9,C9)</f>
        <v>6.324555320336759</v>
      </c>
      <c r="E9" s="3">
        <f>LogVariance(B9,C9)</f>
        <v>7.9637834381320105E-2</v>
      </c>
      <c r="F9" s="103" t="s">
        <v>289</v>
      </c>
      <c r="I9" s="2"/>
    </row>
    <row r="10" spans="1:15" ht="30">
      <c r="A10" s="87" t="s">
        <v>291</v>
      </c>
      <c r="B10" s="146"/>
      <c r="C10" s="146"/>
      <c r="D10" s="3">
        <f>D8*D9</f>
        <v>533.14163221418005</v>
      </c>
      <c r="E10" s="3">
        <f>E8+E9</f>
        <v>0.53485940832285273</v>
      </c>
      <c r="F10" s="103"/>
      <c r="H10" s="13" t="s">
        <v>64</v>
      </c>
      <c r="M10" s="1" t="s">
        <v>172</v>
      </c>
    </row>
    <row r="11" spans="1:15" ht="45">
      <c r="A11" s="46" t="s">
        <v>103</v>
      </c>
      <c r="B11" s="47">
        <v>5.0000000000000001E-3</v>
      </c>
      <c r="C11" s="47">
        <v>0.03</v>
      </c>
      <c r="D11" s="74">
        <f>GEOMEAN(B11,C11)</f>
        <v>1.2247448713915889E-2</v>
      </c>
      <c r="E11" s="74">
        <f>LogVariance(B11,C11)</f>
        <v>0.30359732347288149</v>
      </c>
      <c r="F11" s="103"/>
      <c r="I11" s="7" t="s">
        <v>156</v>
      </c>
      <c r="J11" s="7" t="s">
        <v>157</v>
      </c>
      <c r="M11" s="3" t="s">
        <v>174</v>
      </c>
      <c r="N11" s="25">
        <f>VLOOKUP(M11,$A$18:$E$21,4,FALSE)</f>
        <v>2.2360679774997897E-2</v>
      </c>
      <c r="O11" s="25">
        <f>VLOOKUP(M11,$A$18:$E$21,5,FALSE)</f>
        <v>0.27270459618181209</v>
      </c>
    </row>
    <row r="12" spans="1:15" ht="30">
      <c r="A12" s="85" t="s">
        <v>284</v>
      </c>
      <c r="B12" s="86"/>
      <c r="C12" s="86"/>
      <c r="D12" s="44">
        <f>D10*interest_rate</f>
        <v>26.657081610709003</v>
      </c>
      <c r="E12" s="44">
        <f>E10</f>
        <v>0.53485940832285273</v>
      </c>
      <c r="F12" s="103"/>
      <c r="H12" s="3" t="s">
        <v>68</v>
      </c>
      <c r="I12">
        <v>1</v>
      </c>
      <c r="J12">
        <v>0</v>
      </c>
      <c r="M12" s="3" t="s">
        <v>177</v>
      </c>
      <c r="N12">
        <f>VLOOKUP($M12,'EV of Far Future'!$K$3:$N$14,2,FALSE)</f>
        <v>6.3245553203367595E+46</v>
      </c>
      <c r="O12">
        <f>VLOOKUP($M12,'EV of Far Future'!$K$3:$N$14,3,FALSE)</f>
        <v>3.5113686573257055</v>
      </c>
    </row>
    <row r="13" spans="1:15" ht="30">
      <c r="A13" s="85" t="s">
        <v>283</v>
      </c>
      <c r="B13" s="86"/>
      <c r="C13" s="86"/>
      <c r="D13" s="44">
        <f>D10*D11</f>
        <v>6.5296247977965773</v>
      </c>
      <c r="E13" s="44">
        <f>E10+E11</f>
        <v>0.83845673179573421</v>
      </c>
      <c r="F13" s="103"/>
      <c r="H13" s="3" t="s">
        <v>182</v>
      </c>
      <c r="I13">
        <f>VLOOKUP($H13,'EV of Far Future'!$K$3:$N$14,2,FALSE)</f>
        <v>5.4644157967709579E+33</v>
      </c>
      <c r="J13">
        <f>VLOOKUP($H13,'EV of Far Future'!$K$3:$N$14,3,FALSE)</f>
        <v>2.7310645112533267</v>
      </c>
      <c r="M13" s="3" t="s">
        <v>285</v>
      </c>
      <c r="N13" s="2">
        <f>$D$7</f>
        <v>7.0700000000000004E-10</v>
      </c>
      <c r="O13">
        <f>$E$7</f>
        <v>0.11744747699999999</v>
      </c>
    </row>
    <row r="14" spans="1:15">
      <c r="A14" s="115" t="s">
        <v>167</v>
      </c>
      <c r="B14" s="44"/>
      <c r="C14" s="44"/>
      <c r="D14" s="114" t="str">
        <f>WriteArray(SumLognormDists(D12:E13))</f>
        <v>0,0,0,0,3.06801923715307E-261,5.6443364452014E-258,1.98627255916387E-255,8.06574951770373E-253,2.54761723790152E-250,7.67643852316551E-248,2.24349958487824E-245,6.37479281135915E-243,1.75885714105466E-240,4.71506324127615E-238,1.22818291020093E-235,3.10856462034519E-233,7.64501698491128E-231,1.82691716383917E-228,4.24210312498169E-226,9.57118408768777E-224,2.09832288025386E-221,4.4699357664798E-219,9.2523635452938E-217,1.86091552275066E-214,3.63683263952653E-212,6.90625782658705E-210,1.27433966415032E-207,2.28481312890702E-205,3.98051599405265E-203,6.73831636057296E-201,1.10837543492921E-198,1.77151973488533E-196,2.75124232789623E-194,4.15179194314896E-192,6.08788372921227E-190,8.67403743213017E-188,1.20088261147696E-185,1.61549006463453E-183,2.11170208191325E-181,2.68216678167805E-179,3.31027322338929E-177,3.9697850355983E-175,4.62589091305688E-173,5.23780340546667E-171,5.76273401369799E-169,6.16075157797731E-167,6.39977536183978E-165,6.45984126067726E-163,6.33585485246002E-161,6.03830474417456E-159,5.59179768282853E-157,5.03169918212348E-155,4.39951568880174E-153,3.73785321640751E-151,3.08579432846737E-149,2.47536511200169E-147,1.92947567326553E-145,1.46139393862134E-143,1.07553228600378E-141,7.69144544916367E-140,5.34467188316502E-138,3.60880085929667E-136,2.36773878282249E-134,1.50950264803951E-132,9.35111536862839E-131,5.62888819495142E-129,3.29239347290837E-127,1.87124640188173E-125,1.03342889287976E-123,5.54575702476838E-122,2.8918245481378E-120,1.46525818500926E-118,7.21419273223984E-117,3.45138138688312E-115,1.60446428932743E-113,7.24768511684316E-112,3.18127350778246E-110,1.35686115367944E-108,5.6234494931342E-107,2.26466237782643E-105,8.8621215041607E-104,3.36981299074733E-102,1.24511099344741E-100,4.47038379476258e-99,1.55961118311331e-97,5.28716638700852e-96,1.74166669170852e-94,5.57497438550031e-93,1.73403078876364e-91,5.24091568652456e-90,1.53919743611114e-88,4.39256942809096e-87,1.21809299347608e-85,3.28231405048477e-84,8.59444963102491e-83,2.18672739042038e-81,5.40642577397604e-80,1.29886875198775e-78,3.03221591119226e-77,6.87852340559236e-76,1.51625058649453e-74,3.24778925027098e-73,6.75999279048837e-72,1.36724583105619e-70,2.68713460581459e-69,5.13186403212156e-68,9.52366787363917e-67,1.71742273646381e-65,3.00950131009495e-64,5.12456178220923e-63,8.47938422587479e-62,1.36338279412518e-60,2.13018712074868e-59,3.23418383919091e-58,4.77154710915203e-57,6.84072086712228e-56,9.53000769894911e-55,1.29013145137516e-53,1.69716715404043e-52,2.16953093033373e-51,2.69499702386529e-50,3.25313890537096e-49,3.81592185605943e-48,4.34960254405755e-47,4.81785381124657e-46,5.18575897105513e-45,5.42408444744635e-44,5.51311081561394e-43,5.44532673525577e-42,5.22647533079176e-41,4.87475083915624e-40,4.41830137411491e-39,3.89151317364986e-38,3.33075595410755e-37,2.77031508277939e-36,2.23912581522607e-35,1.75869999063253e-34,1.34236290603755e-33,9.95666860080149e-33,7.17670558234215e-32,5.02694630362703e-31,3.42178329979157e-30,2.26345066528174e-29,1.45499334478043e-28,9.08915749646452e-28,5.51772614396129e-27,3.25515615661478e-26,1.86620783933997e-25,1.03974311888483e-24,5.62952013049746e-24,2.96208444261287e-23,1.51462716781386e-22,7.5265831408111e-22,3.63475731204533e-21,1.70584705377166e-20,7.78025120001162e-20,3.44856024309751e-19,1.48550652377042e-18,6.21878886974606e-18,2.53007618195158e-17,1.0003685681134e-16,3.84403503570173e-16,1.43554826517913e-15,5.21019315634517e-15,1.83779863087601e-14,6.3001765855555e-14,2.09904122364826e-13,6.79681641301249e-13,2.13899346002803e-12,6.54238187421833e-12,1.94485922539732e-11,5.61913940035209e-11,1.57791820657266e-10,4.30661558336695e-10,1.14242783773039e-09,2.94555298601027e-09,7.38167449661943e-09,1.79803358429933e-08,4.25697137844028e-08,9.79645995934283e-08,2.19133585151836e-07,4.76459805408731e-07,1.00699604081117e-06,2.0688094626537e-06,4.1315405302157e-06,8.02066582127749e-06,1.51364621039219e-05,2.77691888111815e-05,4.95264130147659e-05,8.58729131604796e-05,0.000144754733052324,0.000237235210643389,0.000378014871544351,0.000585648018558655,0.000882223174013991,0.00129226490208149,0.0018406651058338,0.00254958022480511,0.00343443786971216,0.00449945818506697,0.00573335938792521,0.00710610963546194,0.00856763032464702,0.0100491913334853,0.0114678547669119,0.0127337708473886,0.0137595184921022,0.0144701618762031,0.0148124079524307,0.0147612953485571,0.0143232364627072,0.0135348930122125,0.0124581379203668,0.011172059763995,0.00976343892299796,0.00831727300124054,0.00690874791943493,0.00559761759953781,0.00442539871398709,0.0034152472843233,0.0025739726909893,0.00189542183019224,0.00136443526265066,0.000960697330757891,0.000662009185096059,0.000446741907614749,0.000295425692923546,0.000191571878031454,0.000121900700933509,7.61680294533001e-05,4.67660123097878e-05,2.82339621722162e-05,1.67718069181265e-05,9.80897973594872e-06,5.65142289275539e-06,3.20936764843973e-06,1.79734149285314e-06,9.93112955435601e-07,5.4165076799191e-07,2.91729304702805e-07,1.55225486000173e-07,8.1629791409047e-08,4.2444154853762e-08,2.18299690998173e-08,1.11106185686909e-08,5.59830703429037e-09,2.79375562280687e-09,1.3813546746343e-09,6.76964246796495e-10,3.28934944509704e-10,1.58509130109719e-10,7.57681699323203e-11,3.59306444265345e-11,1.69049705040804e-11,7.89094968952336e-12,3.65405375446428e-12,1.6783851658365e-12,7.64538339699217e-13,3.45304831879897e-13,1.54595498575235e-13,6.85917852898095e-14,3.01521505321419e-14,1.31289018120023e-14,5.66110613108498e-15,2.41681612277945e-15,1.02134124804361e-15,4.27177175118364e-16,1.76802950107879e-16,7.24033654228553e-17,2.93337595474108e-17,1.17564468085433e-17,4.66069118810336e-18,1.8275234525891e-18,7.0874763140497e-19,2.71843102209023e-19,1.03116627322292e-19,3.86822231949338e-20,1.43501887230158e-20,5.26453912064908e-21,1.90991634045432e-21,6.85197093933515e-22,2.43086467651852e-22,8.52801275122506e-23,2.95852306883664e-23,1.0149411503162e-23,3.44306011211738e-24,1.15500936861528e-24,3.83144919335636e-25,1.25683116532847e-25,4.07687000571193e-26,1.30771365643178e-26,4.14795657174619e-27,1.30104225230131e-27,4.03537777978256e-28,1.2376919071616e-28,3.75384582020716e-29,1.12583778038678e-29,3.33895603208012e-30,9.7922178722322e-31,2.83979450983146e-31,8.14382136527779e-32,2.30943123910422e-32,6.47615605599196e-33,1.79582926954845e-33,4.92434255366008e-34,1.33526337464251e-34,3.58031375391857e-35,9.49315794083474e-36,2.48906246290712e-36,6.4535154414642e-37,1.65459756543576e-37,4.19492188042678e-38,1.05169750467825e-38,2.6073136514456e-39,6.3919178215518e-40,1.54954629589373e-40,3.71461149918143e-41,8.80557480061384e-42,2.06413211830882e-42,4.78467828524224e-43,1.09673943909227e-43,2.48593431730376e-44,5.57200256089609e-45,1.23500419914774e-45,2.70683030642726e-46,5.86663536057242e-47,1.25733970454782e-47,2.66472031973618e-48,5.5845232894395e-49,1.15732690208763e-49,2.3717093165855e-50,4.80620554260373e-51,9.63116203422023e-52,1.90849272230888e-52,3.73970888423879e-53,7.24637079749337e-54,1.38847728556825e-54,2.63082811772923e-55,4.92925901613803e-56,9.13284891768544e-57,1.67327135466972e-57,3.03153054501455e-58,5.43116491048148e-59,9.62187034183999e-60,1.68562700372345e-60,2.92010809983612e-61,5.0023243399387e-62,8.4738395071078e-63,1.4194630461787e-63,2.35127494655324e-64,3.85139632059979e-65,6.23833187432827e-66,9.99204102154576e-67,1.58261548481011e-67,2.47874631870314e-68,3.83905401777934e-69,5.87965485215037e-70,8.90461017921295e-71,1.33356276295109e-71,1.97491076743145e-72,2.89212436522555e-73,4.18814703356499e-74,5.99739074421863e-75,8.49255247927349e-76,1.18918549312832e-76,1.64663156049364e-77,2.25464793903299e-78,3.0527870291488e-79,4.08742453855022e-80,5.41175911287264e-81,7.08537165468464e-82,9.17323001096851e-83,1.17440367076927e-83,1.48678436707823e-84,1.86128998776802e-85,2.30417555859483e-86,2.82067181594704e-87,3.41448352699841e-88,4.08726648130368e-89,4.83811686792121e-90,5.66311296876291e-91,6.55495273537664e-92,7.5027309564549e-93,8.49189569234237e-94,9.50441515209876e-95,1.05191734005268e-95,1.15125969245369e-96,1.24594954001261e-97,1.33340806570386e-98,1.41111097858076e-99,1.47670835757863E-100,1.52814218262623E-101,1.56375339128681E-102,1.58237070540459E-103,1.58337459695534E-104,1.56673152080478E-105,1.53299577596187E-106,1.48327885128337E-107,1.41918862023141E-108,1.34274302428592E-109,1.25626470614607E-110,1.16226425607659E-111,1.06332022407683E-112,9.61963814015827E-114,8.60575278802079E-115,7.61297609415209E-116,6.65971332783038E-117,5.7609230360487E-118,4.92792489900048E-119,4.1684208273092E-120,3.48669936694217E-121,2.88398447261396E-122,2.35888518013234E-123,1.90790240382476E-124,1.52595236852549E-125,1.20687216040647E-126,9.43880535204359E-128,7.29975459472205E-129,5.5825800509399E-130,4.22179486857095E-131,3.15714672146476E-132,2.33468273644672E-133,1.70724735244766E-134,1.23452671657188E-135,8.82754636484344E-137,6.24187390088871E-138,4.364409007202E-139,3.01766735853478E-140,2.0632542873822E-141,1.39498525271071E-142,9.32656982077082E-144,6.16608836691817E-145,4.03118762455623E-146,2.60610403724118E-147,1.66604203678909E-148,1.05321159189721E-149,6.58386284194465E-151,4.06987797806888E-152,2.48781150187562E-153,1.50379633959867E-154,8.98868258493497E-156,5.31298432917599E-157,3.10539246227318E-158,1.79485728971954E-159,1.02583809123191E-160,5.79779944404995E-162,3.24028361382299E-163,1.79076389661065E-164,9.78653840411199E-166,5.28877813304395E-167,2.82629221035918E-168,1.49353100829403E-169,7.80453252976682E-171,4.03287736364582E-172,2.06071819375086E-173,1.0412563534315E-174,5.20274083038427E-176,2.57064549729671E-177,1.25599426459081E-178,6.0683216427581E-180,2.89924553317551E-181,1.36973600162462E-182,6.39917834244946E-184,2.95628994552793E-185,1.35053333380974E-186,6.10097237664214E-188,2.72538761847147E-189,1.20390707778841E-190,5.25887836554585E-192,2.27158375105513E-193,9.70286189922358E-195,4.09832519507176E-196,1.71178198294907E-197,7.07010648981293E-199,2.88761260261674E-200,1.16623849150311E-201,4.65769753831647E-203,1.83946133633494E-204,7.18365577856324E-206,2.77418764492523E-207,1.05940403254254E-208,4.00057926224466E-210,1.49389339193568E-211,5.51634985845513E-213,2.01427826931979E-214,7.27315096082313E-216,2.59693575237467E-217,9.16928091401556E-219,3.20143596938999E-220,1.10532458847495E-221,3.77372554371061E-223,1.27404938045621E-224,4.25341422974665E-226,1.40418576975739E-227,4.58402444113226E-229,1.47980588713688E-230,4.72387118275545E-232,1.4911688083639E-233,4.65469302228014E-235,1.43678156626453E-236,4.3855687091518E-238,1.323721311242E-239,3.95096034995977E-241,1.16612270398432E-242,3.403465086213E-244,9.82276644225688E-246,2.80337893123925E-247,7.91161711840878E-249,2.20792433959261E-250,6.09310387207566E-252,1.66275570178795E-253,4.48697633372521E-255,1.19733197666163E-256,3.15944538672465E-258,8.24408751433501E-260,2.12720724361642E-261,5.42765809419663E-263,1.36946403244961E-264,3.41683689412892E-266,8.43011180302544E-268,2.05673287625738E-269,4.96201319862203E-271,1.18378657175565E-272,2.79270056294392E-274,6.51494577051623E-276,1.50290907457339E-277,3.42838887834221E-279,7.73362158312233E-281,1.72508789150097E-282,3.80517824599734E-284,8.29992662094054E-286,1.79023057296029E-287,3.8183800785403E-289,8.05350273800198E-291,1.67967761714034E-292,3.46419657893907E-294,7.06503944887254E-296,1.42482695648977E-297,2.84148340533966E-299,5.60355442316076E-301,1.0927417433158E-302,2.10720574790059E-304,4.0182025046618E-306,7.57691066876184E-308,1.41282373761478E-309,2.60506922528295E-311,4.74991702320774E-313,8.56422852846466E-315,1.52695404794111E-316,2.69214394156312E-318,4.693129569846E-320,7.95445689804407E-322,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v>
      </c>
      <c r="E14" s="114" t="s">
        <v>148</v>
      </c>
      <c r="F14" s="103" t="s">
        <v>175</v>
      </c>
      <c r="H14" s="3" t="s">
        <v>285</v>
      </c>
      <c r="I14" s="2">
        <f>$D$7</f>
        <v>7.0700000000000004E-10</v>
      </c>
      <c r="J14">
        <f>$E$7</f>
        <v>0.11744747699999999</v>
      </c>
      <c r="M14" s="148" t="s">
        <v>286</v>
      </c>
      <c r="N14">
        <f>$D$16</f>
        <v>39.692256431966342</v>
      </c>
      <c r="O14">
        <f>$E$16</f>
        <v>0.54824135785953976</v>
      </c>
    </row>
    <row r="15" spans="1:15">
      <c r="A15" s="45" t="s">
        <v>151</v>
      </c>
      <c r="B15" s="44"/>
      <c r="C15" s="44"/>
      <c r="D15" s="45">
        <f>STupidExcelMean(D14)</f>
        <v>169.78212989114454</v>
      </c>
      <c r="E15" s="45">
        <f>STupidExcelVariance(D14,D15)</f>
        <v>498593.710722032</v>
      </c>
      <c r="F15" s="103"/>
      <c r="H15" s="148" t="s">
        <v>286</v>
      </c>
      <c r="I15">
        <f>$D$16</f>
        <v>39.692256431966342</v>
      </c>
      <c r="J15">
        <f>$E$16</f>
        <v>0.54824135785953976</v>
      </c>
      <c r="M15" s="15" t="s">
        <v>52</v>
      </c>
      <c r="N15" s="14">
        <f>PRODUCT(N11:N14)</f>
        <v>3.9686262448665216E+37</v>
      </c>
      <c r="O15" s="14">
        <f>SUM(O11:O14)</f>
        <v>4.4497620883670574</v>
      </c>
    </row>
    <row r="16" spans="1:15" ht="30">
      <c r="A16" s="85" t="s">
        <v>286</v>
      </c>
      <c r="B16" s="86"/>
      <c r="C16" s="86"/>
      <c r="D16" s="45">
        <f>EXP(MuFromParams(ABS(D15),E15))</f>
        <v>39.692256431966342</v>
      </c>
      <c r="E16" s="45">
        <f>(SigmaFromParams(D15,E15) / LN(10))^2</f>
        <v>0.54824135785953976</v>
      </c>
      <c r="F16" s="103"/>
      <c r="H16" s="15" t="s">
        <v>52</v>
      </c>
      <c r="I16" s="14">
        <f>PRODUCT(I12:I15)</f>
        <v>1.5334476009081862E+26</v>
      </c>
      <c r="J16" s="14">
        <f>SUM(J12:J15)</f>
        <v>3.3967533461128663</v>
      </c>
    </row>
    <row r="17" spans="1:15">
      <c r="A17" s="113"/>
      <c r="B17" s="112"/>
      <c r="C17" s="112"/>
      <c r="F17" s="103"/>
    </row>
    <row r="18" spans="1:15" ht="45">
      <c r="A18" s="46" t="s">
        <v>173</v>
      </c>
      <c r="B18" s="47">
        <v>0.01</v>
      </c>
      <c r="C18" s="47">
        <v>0.2</v>
      </c>
      <c r="D18" s="74">
        <f>GEOMEAN(B18,C18)</f>
        <v>4.4721359549995794E-2</v>
      </c>
      <c r="E18" s="74">
        <f>LogVariance(B18,C18)</f>
        <v>0.50759954989056688</v>
      </c>
      <c r="M18" t="s">
        <v>165</v>
      </c>
    </row>
    <row r="19" spans="1:15" ht="30">
      <c r="A19" s="46" t="s">
        <v>132</v>
      </c>
      <c r="B19" s="47">
        <v>5.0000000000000001E-3</v>
      </c>
      <c r="C19" s="47">
        <v>0.1</v>
      </c>
      <c r="D19" s="74">
        <f>GEOMEAN(B19,C19)</f>
        <v>2.2360679774997897E-2</v>
      </c>
      <c r="E19" s="74">
        <f>LogVariance(B19,C19)</f>
        <v>0.50759954989056688</v>
      </c>
      <c r="M19" t="s">
        <v>166</v>
      </c>
      <c r="N19">
        <f>I16</f>
        <v>1.5334476009081862E+26</v>
      </c>
      <c r="O19">
        <f>J16</f>
        <v>3.3967533461128663</v>
      </c>
    </row>
    <row r="20" spans="1:15" ht="30">
      <c r="A20" s="46" t="s">
        <v>124</v>
      </c>
      <c r="B20" s="47">
        <v>0.01</v>
      </c>
      <c r="C20" s="47">
        <v>0.2</v>
      </c>
      <c r="D20" s="74">
        <f>GEOMEAN(B20,C20)</f>
        <v>4.4721359549995794E-2</v>
      </c>
      <c r="E20" s="74">
        <f>LogVariance(B20,C20)</f>
        <v>0.50759954989056688</v>
      </c>
      <c r="H20" s="1" t="s">
        <v>69</v>
      </c>
      <c r="N20">
        <f>I26</f>
        <v>6.4255478352380534E+27</v>
      </c>
      <c r="O20">
        <f>J26</f>
        <v>4.2945049690396218</v>
      </c>
    </row>
    <row r="21" spans="1:15">
      <c r="A21" s="52" t="s">
        <v>174</v>
      </c>
      <c r="B21" s="51">
        <v>0.01</v>
      </c>
      <c r="C21" s="51">
        <v>0.05</v>
      </c>
      <c r="D21" s="74">
        <f>GEOMEAN(B21,C21)</f>
        <v>2.2360679774997897E-2</v>
      </c>
      <c r="E21" s="74">
        <f>LogVariance(B21,C21)</f>
        <v>0.27270459618181209</v>
      </c>
      <c r="I21" s="7" t="s">
        <v>156</v>
      </c>
      <c r="J21" s="7" t="s">
        <v>158</v>
      </c>
      <c r="N21">
        <f>I35</f>
        <v>1.0159683186858292E+31</v>
      </c>
      <c r="O21">
        <f>J35</f>
        <v>4.6846570420758127</v>
      </c>
    </row>
    <row r="22" spans="1:15">
      <c r="A22" s="35"/>
      <c r="B22" s="34"/>
      <c r="C22" s="34"/>
      <c r="D22" s="34"/>
      <c r="E22" s="34"/>
      <c r="H22" s="3" t="s">
        <v>173</v>
      </c>
      <c r="I22" s="25">
        <f>VLOOKUP(H22,$A$18:$E$21,4,FALSE)</f>
        <v>4.4721359549995794E-2</v>
      </c>
      <c r="J22" s="25">
        <f>VLOOKUP(H22,$A$18:$E$21,5,FALSE)</f>
        <v>0.50759954989056688</v>
      </c>
      <c r="M22" s="3"/>
      <c r="N22" s="3">
        <f>N7</f>
        <v>4.8191608764285387E+29</v>
      </c>
      <c r="O22" s="3">
        <f>O7</f>
        <v>5.8551132611843801</v>
      </c>
    </row>
    <row r="23" spans="1:15">
      <c r="H23" s="3" t="s">
        <v>179</v>
      </c>
      <c r="I23">
        <f>VLOOKUP($H23,'EV of Far Future'!$K$3:$N$14,2,FALSE)</f>
        <v>5.1200000000000003E+36</v>
      </c>
      <c r="J23">
        <f>VLOOKUP($H23,'EV of Far Future'!$K$3:$N$14,3,FALSE)</f>
        <v>3.1212165842895159</v>
      </c>
      <c r="N23">
        <f>N15</f>
        <v>3.9686262448665216E+37</v>
      </c>
      <c r="O23">
        <f>O15</f>
        <v>4.4497620883670574</v>
      </c>
    </row>
    <row r="24" spans="1:15">
      <c r="H24" s="3" t="s">
        <v>285</v>
      </c>
      <c r="I24" s="2">
        <f>$D$7</f>
        <v>7.0700000000000004E-10</v>
      </c>
      <c r="J24">
        <f>$E$7</f>
        <v>0.11744747699999999</v>
      </c>
      <c r="M24" s="30" t="s">
        <v>167</v>
      </c>
      <c r="N24" s="31" t="str">
        <f>WriteArray(SumLognormDists(N19:O23))</f>
        <v>disabled</v>
      </c>
      <c r="O24" s="31" t="s">
        <v>148</v>
      </c>
    </row>
    <row r="25" spans="1:15">
      <c r="H25" s="148" t="s">
        <v>286</v>
      </c>
      <c r="I25">
        <f>$D$16</f>
        <v>39.692256431966342</v>
      </c>
      <c r="J25">
        <f>$E$16</f>
        <v>0.54824135785953976</v>
      </c>
      <c r="M25" s="3" t="s">
        <v>151</v>
      </c>
      <c r="N25" s="3" t="e">
        <f>STupidExcelMean(N24)</f>
        <v>#VALUE!</v>
      </c>
      <c r="O25" s="3" t="e">
        <f>STupidExcelVariance(N24,N25)</f>
        <v>#VALUE!</v>
      </c>
    </row>
    <row r="26" spans="1:15" ht="20">
      <c r="A26" s="32" t="s">
        <v>59</v>
      </c>
      <c r="H26" s="15" t="s">
        <v>52</v>
      </c>
      <c r="I26" s="14">
        <f>PRODUCT(I22:I25)</f>
        <v>6.4255478352380534E+27</v>
      </c>
      <c r="J26" s="14">
        <f>SUM(J22:J25)</f>
        <v>4.2945049690396218</v>
      </c>
      <c r="M26" s="3"/>
      <c r="N26" s="3"/>
      <c r="O26" s="3"/>
    </row>
    <row r="27" spans="1:15">
      <c r="A27" s="10" t="s">
        <v>168</v>
      </c>
      <c r="B27" t="s">
        <v>156</v>
      </c>
      <c r="C27" t="s">
        <v>158</v>
      </c>
      <c r="H27" s="3"/>
      <c r="I27" s="3"/>
      <c r="M27" s="3"/>
      <c r="N27" s="3"/>
      <c r="O27" s="3"/>
    </row>
    <row r="28" spans="1:15">
      <c r="A28" s="8" t="s">
        <v>151</v>
      </c>
      <c r="B28" t="e">
        <f>N25</f>
        <v>#VALUE!</v>
      </c>
      <c r="C28" t="e">
        <f>O25</f>
        <v>#VALUE!</v>
      </c>
      <c r="H28" s="3"/>
      <c r="I28" s="21"/>
      <c r="M28" s="3"/>
      <c r="N28" s="3"/>
      <c r="O28" s="3"/>
    </row>
    <row r="29" spans="1:15">
      <c r="A29" s="16" t="s">
        <v>163</v>
      </c>
      <c r="B29" s="14" t="e">
        <f>EXP(MuFromParams(ABS(B28),C28))</f>
        <v>#VALUE!</v>
      </c>
      <c r="C29" s="14" t="e">
        <f>(SigmaFromParams(B28,C28) / LN(10))^2</f>
        <v>#VALUE!</v>
      </c>
      <c r="H29" s="1" t="s">
        <v>82</v>
      </c>
      <c r="M29" s="3"/>
      <c r="N29" s="3"/>
      <c r="O29" s="3"/>
    </row>
    <row r="30" spans="1:15">
      <c r="A30" s="36" t="s">
        <v>78</v>
      </c>
      <c r="B30" s="19" t="e">
        <f>ParetoPosterior(median,alpha,B29:C29)*SIGN(B28)</f>
        <v>#VALUE!</v>
      </c>
      <c r="I30" s="7" t="s">
        <v>156</v>
      </c>
      <c r="J30" s="7" t="s">
        <v>158</v>
      </c>
      <c r="M30" s="3"/>
      <c r="N30" s="21"/>
      <c r="O30" s="3"/>
    </row>
    <row r="31" spans="1:15">
      <c r="A31" s="36" t="s">
        <v>85</v>
      </c>
      <c r="B31" s="19" t="e">
        <f>LognormPosterior(mu_far_future,sigma_far_future,B29:C29)*SIGN(B28)</f>
        <v>#VALUE!</v>
      </c>
      <c r="H31" s="3" t="s">
        <v>132</v>
      </c>
      <c r="I31" s="25">
        <f>VLOOKUP(H31,$A$18:$E$21,4,FALSE)</f>
        <v>2.2360679774997897E-2</v>
      </c>
      <c r="J31" s="25">
        <f>VLOOKUP(H31,$A$18:$E$21,5,FALSE)</f>
        <v>0.50759954989056688</v>
      </c>
      <c r="M31" s="13"/>
      <c r="N31" s="3"/>
      <c r="O31" s="3"/>
    </row>
    <row r="32" spans="1:15">
      <c r="H32" s="3" t="s">
        <v>180</v>
      </c>
      <c r="I32">
        <f>VLOOKUP($H32,'EV of Far Future'!$K$3:$N$14,2,FALSE)</f>
        <v>1.6190861620062103E+40</v>
      </c>
      <c r="J32">
        <f>VLOOKUP($H32,'EV of Far Future'!$K$3:$N$14,3,FALSE)</f>
        <v>3.5113686573257055</v>
      </c>
      <c r="M32" s="3"/>
      <c r="N32" s="29"/>
      <c r="O32" s="29"/>
    </row>
    <row r="33" spans="1:15">
      <c r="A33" s="8"/>
      <c r="B33" s="3"/>
      <c r="C33" s="3"/>
      <c r="D33" s="3"/>
      <c r="H33" s="3" t="s">
        <v>285</v>
      </c>
      <c r="I33" s="2">
        <f>$D$7</f>
        <v>7.0700000000000004E-10</v>
      </c>
      <c r="J33">
        <f>$E$7</f>
        <v>0.11744747699999999</v>
      </c>
      <c r="M33" s="3"/>
      <c r="N33" s="25"/>
      <c r="O33" s="3"/>
    </row>
    <row r="34" spans="1:15">
      <c r="A34" s="33" t="s">
        <v>83</v>
      </c>
      <c r="B34" s="4" t="e">
        <f>B30+I6</f>
        <v>#VALUE!</v>
      </c>
      <c r="C34" s="3"/>
      <c r="D34" s="3"/>
      <c r="H34" s="148" t="s">
        <v>286</v>
      </c>
      <c r="I34">
        <f>$D$16</f>
        <v>39.692256431966342</v>
      </c>
      <c r="J34">
        <f>$E$16</f>
        <v>0.54824135785953976</v>
      </c>
      <c r="M34" s="3"/>
      <c r="N34" s="3"/>
      <c r="O34" s="3"/>
    </row>
    <row r="35" spans="1:15">
      <c r="A35" s="33" t="s">
        <v>84</v>
      </c>
      <c r="B35" s="4" t="e">
        <f>B31+I7</f>
        <v>#VALUE!</v>
      </c>
      <c r="D35" s="3"/>
      <c r="H35" s="15" t="s">
        <v>52</v>
      </c>
      <c r="I35" s="14">
        <f>PRODUCT(I31:I34)</f>
        <v>1.0159683186858292E+31</v>
      </c>
      <c r="J35" s="14">
        <f>SUM(J31:J34)</f>
        <v>4.6846570420758127</v>
      </c>
      <c r="M35" s="3"/>
      <c r="N35" s="3"/>
      <c r="O35" s="3"/>
    </row>
    <row r="36" spans="1:15">
      <c r="H36" s="3"/>
      <c r="I36" s="3"/>
      <c r="M36" s="3"/>
      <c r="N36" s="3"/>
      <c r="O36" s="3"/>
    </row>
    <row r="37" spans="1:15">
      <c r="B37" s="3"/>
      <c r="H37" s="3"/>
      <c r="I37" s="21"/>
      <c r="M37" s="3"/>
      <c r="N37" s="3"/>
      <c r="O37" s="3"/>
    </row>
    <row r="38" spans="1:15">
      <c r="B38" s="3"/>
      <c r="M38" s="3"/>
      <c r="N38" s="3"/>
      <c r="O38" s="3"/>
    </row>
    <row r="39" spans="1:15">
      <c r="M39" s="3"/>
      <c r="N39" s="3"/>
      <c r="O39" s="3"/>
    </row>
    <row r="40" spans="1:15">
      <c r="M40" s="3"/>
      <c r="N40" s="3"/>
      <c r="O40" s="3"/>
    </row>
    <row r="41" spans="1:15">
      <c r="M41" s="3"/>
      <c r="N41" s="3"/>
      <c r="O41" s="3"/>
    </row>
    <row r="42" spans="1:15">
      <c r="M42" s="3"/>
      <c r="N42" s="3"/>
      <c r="O42" s="3"/>
    </row>
    <row r="43" spans="1:15">
      <c r="M43" s="3"/>
      <c r="N43" s="3"/>
      <c r="O43" s="3"/>
    </row>
    <row r="44" spans="1:15">
      <c r="M44" s="3"/>
      <c r="N44" s="3"/>
      <c r="O44" s="3"/>
    </row>
    <row r="45" spans="1:15">
      <c r="N45" s="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P44"/>
  <sheetViews>
    <sheetView workbookViewId="0">
      <selection activeCell="A4" sqref="A4"/>
    </sheetView>
  </sheetViews>
  <sheetFormatPr baseColWidth="10" defaultRowHeight="15" x14ac:dyDescent="0"/>
  <cols>
    <col min="1" max="1" width="21.6640625" style="130" customWidth="1"/>
    <col min="4" max="4" width="12.1640625" bestFit="1" customWidth="1"/>
    <col min="8" max="8" width="21.6640625" customWidth="1"/>
    <col min="14" max="14" width="12.1640625" bestFit="1" customWidth="1"/>
  </cols>
  <sheetData>
    <row r="1" spans="1:16" ht="20">
      <c r="A1" s="128" t="s">
        <v>120</v>
      </c>
      <c r="H1" s="1" t="s">
        <v>63</v>
      </c>
      <c r="L1" s="3"/>
      <c r="M1" s="1" t="s">
        <v>77</v>
      </c>
      <c r="P1" s="3"/>
    </row>
    <row r="2" spans="1:16">
      <c r="B2" s="129" t="s">
        <v>0</v>
      </c>
      <c r="C2" s="129" t="s">
        <v>1</v>
      </c>
      <c r="D2" s="129" t="s">
        <v>156</v>
      </c>
      <c r="E2" s="129" t="s">
        <v>158</v>
      </c>
      <c r="F2" s="129" t="s">
        <v>27</v>
      </c>
      <c r="I2" s="129" t="s">
        <v>156</v>
      </c>
      <c r="J2" s="129" t="s">
        <v>158</v>
      </c>
      <c r="L2" s="3"/>
      <c r="N2" s="7" t="s">
        <v>156</v>
      </c>
      <c r="O2" s="7" t="s">
        <v>158</v>
      </c>
      <c r="P2" s="3"/>
    </row>
    <row r="3" spans="1:16">
      <c r="A3" s="42" t="s">
        <v>237</v>
      </c>
      <c r="B3" s="136">
        <v>2</v>
      </c>
      <c r="C3" s="136">
        <v>3</v>
      </c>
      <c r="D3" s="103"/>
      <c r="E3" s="103"/>
      <c r="F3" s="103" t="s">
        <v>257</v>
      </c>
      <c r="H3" s="127" t="s">
        <v>236</v>
      </c>
      <c r="I3">
        <f>D10</f>
        <v>295803.98915498087</v>
      </c>
      <c r="J3">
        <f>E10</f>
        <v>0.31528753718843733</v>
      </c>
      <c r="L3" s="3"/>
      <c r="M3" s="3" t="s">
        <v>124</v>
      </c>
      <c r="N3" s="25">
        <f>VLOOKUP(M3,THL!$A$18:$E$21,4,FALSE)</f>
        <v>4.4721359549995794E-2</v>
      </c>
      <c r="O3" s="25">
        <f>VLOOKUP(M3,THL!$A$18:$E$21,5,FALSE)</f>
        <v>0.50759954989056688</v>
      </c>
      <c r="P3" s="3"/>
    </row>
    <row r="4" spans="1:16">
      <c r="A4" s="87" t="s">
        <v>235</v>
      </c>
      <c r="B4" s="131">
        <f>1/C3</f>
        <v>0.33333333333333331</v>
      </c>
      <c r="C4" s="131">
        <f>1/B3</f>
        <v>0.5</v>
      </c>
      <c r="D4" s="103">
        <f>GEOMEAN(B4,C4)</f>
        <v>0.40824829046386302</v>
      </c>
      <c r="E4" s="103">
        <f>LogVariance(B4,C4)</f>
        <v>6.8702369764126706E-2</v>
      </c>
      <c r="F4" s="103"/>
      <c r="H4" s="127" t="s">
        <v>116</v>
      </c>
      <c r="I4">
        <f>Globals!K24</f>
        <v>0.3</v>
      </c>
      <c r="J4">
        <f>Globals!L24</f>
        <v>0</v>
      </c>
      <c r="L4" s="3"/>
      <c r="M4" s="3" t="s">
        <v>181</v>
      </c>
      <c r="N4">
        <f>VLOOKUP($M4,'EV of Far Future'!$K$3:$N$14,2,FALSE)</f>
        <v>3.8399999999999992E+38</v>
      </c>
      <c r="O4">
        <f>VLOOKUP($M4,'EV of Far Future'!$K$3:$N$14,3,FALSE)</f>
        <v>4.6818248764342734</v>
      </c>
      <c r="P4" s="3"/>
    </row>
    <row r="5" spans="1:16" ht="45">
      <c r="A5" s="46" t="s">
        <v>258</v>
      </c>
      <c r="B5" s="132">
        <v>5</v>
      </c>
      <c r="C5" s="132">
        <v>10</v>
      </c>
      <c r="D5" s="103">
        <f t="shared" ref="D5:D6" si="0">GEOMEAN(B5,C5)</f>
        <v>7.0710678118654755</v>
      </c>
      <c r="E5" s="103">
        <f t="shared" ref="E5:E6" si="1">LogVariance(B5,C5)</f>
        <v>0.11744747685437738</v>
      </c>
      <c r="F5" s="103" t="s">
        <v>233</v>
      </c>
      <c r="H5" s="134" t="s">
        <v>52</v>
      </c>
      <c r="I5" s="14">
        <f>I3*I4</f>
        <v>88741.196746494257</v>
      </c>
      <c r="J5" s="14">
        <f>J3+J4</f>
        <v>0.31528753718843733</v>
      </c>
      <c r="L5" s="3"/>
      <c r="M5" s="3" t="s">
        <v>285</v>
      </c>
      <c r="N5" s="2">
        <f>THL!$D$7</f>
        <v>7.0700000000000004E-10</v>
      </c>
      <c r="O5" s="2">
        <f>THL!$E$7</f>
        <v>0.11744747699999999</v>
      </c>
      <c r="P5" s="3"/>
    </row>
    <row r="6" spans="1:16" ht="30">
      <c r="A6" s="46" t="s">
        <v>259</v>
      </c>
      <c r="B6" s="137">
        <v>100</v>
      </c>
      <c r="C6" s="137">
        <v>150</v>
      </c>
      <c r="D6" s="103">
        <f t="shared" si="0"/>
        <v>122.47448713915891</v>
      </c>
      <c r="E6" s="103">
        <f t="shared" si="1"/>
        <v>6.8702369764126706E-2</v>
      </c>
      <c r="F6" s="103"/>
      <c r="H6" s="135" t="s">
        <v>78</v>
      </c>
      <c r="I6" s="19">
        <f>ParetoPosterior(median,alpha,I5:J5)</f>
        <v>16679.269175199799</v>
      </c>
      <c r="L6" s="3"/>
      <c r="M6" s="3" t="s">
        <v>295</v>
      </c>
      <c r="N6" s="2">
        <f>$D$11</f>
        <v>1.7320508075688773E-2</v>
      </c>
      <c r="O6">
        <f>$E$11</f>
        <v>0.59415429945387477</v>
      </c>
      <c r="P6" s="3"/>
    </row>
    <row r="7" spans="1:16" ht="45">
      <c r="A7" s="46" t="s">
        <v>260</v>
      </c>
      <c r="B7" s="132">
        <v>0.7</v>
      </c>
      <c r="C7" s="132">
        <v>1</v>
      </c>
      <c r="D7" s="103">
        <f t="shared" ref="D7:D8" si="2">GEOMEAN(B7,C7)</f>
        <v>0.83666002653407556</v>
      </c>
      <c r="E7" s="103">
        <f t="shared" ref="E7:E8" si="3">LogVariance(B7,C7)</f>
        <v>6.0435320805806568E-2</v>
      </c>
      <c r="F7" s="103"/>
      <c r="H7" s="135" t="s">
        <v>85</v>
      </c>
      <c r="I7" s="19">
        <f>LognormPosterior(mu_factory_farming,sigma_factory_farming,I5:J5)</f>
        <v>2531.88913733256</v>
      </c>
      <c r="L7" s="3"/>
      <c r="M7" s="148" t="s">
        <v>286</v>
      </c>
      <c r="N7">
        <f>THL!$D$16</f>
        <v>39.692256431966342</v>
      </c>
      <c r="O7">
        <f>THL!$E$16</f>
        <v>0.54824135785953976</v>
      </c>
      <c r="P7" s="3"/>
    </row>
    <row r="8" spans="1:16" ht="30">
      <c r="A8" s="52" t="s">
        <v>294</v>
      </c>
      <c r="B8" s="154">
        <v>1</v>
      </c>
      <c r="C8" s="154">
        <v>1</v>
      </c>
      <c r="D8" s="103">
        <f t="shared" si="2"/>
        <v>1</v>
      </c>
      <c r="E8" s="103">
        <f t="shared" si="3"/>
        <v>0</v>
      </c>
      <c r="F8" s="103" t="s">
        <v>296</v>
      </c>
      <c r="L8" s="3"/>
      <c r="M8" s="15" t="s">
        <v>52</v>
      </c>
      <c r="N8" s="14">
        <f>PRODUCT(N3:N7)</f>
        <v>8.3470314878223899E+27</v>
      </c>
      <c r="O8" s="14">
        <f>SUM(O3:O7)</f>
        <v>6.4492675606382548</v>
      </c>
      <c r="P8" s="3"/>
    </row>
    <row r="9" spans="1:16">
      <c r="A9" s="90" t="s">
        <v>234</v>
      </c>
      <c r="B9" s="133"/>
      <c r="C9" s="133"/>
      <c r="D9" s="103">
        <f>PRODUCT(D4:D8)</f>
        <v>295.80398915498085</v>
      </c>
      <c r="E9" s="103">
        <f>SUM(E4:E8)</f>
        <v>0.31528753718843733</v>
      </c>
      <c r="F9" s="103"/>
      <c r="L9" s="3"/>
      <c r="M9" s="3"/>
      <c r="N9" s="3"/>
      <c r="O9" s="3"/>
      <c r="P9" s="3"/>
    </row>
    <row r="10" spans="1:16" ht="30">
      <c r="A10" s="130" t="s">
        <v>236</v>
      </c>
      <c r="D10" s="103">
        <f>D9*1000</f>
        <v>295803.98915498087</v>
      </c>
      <c r="E10" s="103">
        <f>E9</f>
        <v>0.31528753718843733</v>
      </c>
      <c r="H10" s="13" t="s">
        <v>64</v>
      </c>
      <c r="P10" s="3"/>
    </row>
    <row r="11" spans="1:16" ht="45">
      <c r="A11" s="153" t="s">
        <v>293</v>
      </c>
      <c r="B11" s="152">
        <v>3.0000000000000001E-3</v>
      </c>
      <c r="C11" s="152">
        <v>0.1</v>
      </c>
      <c r="D11" s="103">
        <f t="shared" ref="D11" si="4">GEOMEAN(B11,C11)</f>
        <v>1.7320508075688773E-2</v>
      </c>
      <c r="E11" s="103">
        <f t="shared" ref="E11" si="5">LogVariance(B11,C11)</f>
        <v>0.59415429945387477</v>
      </c>
      <c r="F11" s="103" t="s">
        <v>292</v>
      </c>
      <c r="I11" s="7" t="s">
        <v>156</v>
      </c>
      <c r="J11" s="7" t="s">
        <v>157</v>
      </c>
      <c r="M11" s="1" t="s">
        <v>172</v>
      </c>
      <c r="P11" s="3"/>
    </row>
    <row r="12" spans="1:16">
      <c r="H12" s="3" t="s">
        <v>68</v>
      </c>
      <c r="I12">
        <v>1</v>
      </c>
      <c r="J12">
        <v>0</v>
      </c>
      <c r="M12" s="3" t="s">
        <v>174</v>
      </c>
      <c r="N12" s="25">
        <f>VLOOKUP(M12,THL!$A$18:$E$21,4,FALSE)</f>
        <v>2.2360679774997897E-2</v>
      </c>
      <c r="O12" s="25">
        <f>VLOOKUP(M12,THL!$A$18:$E$21,5,FALSE)</f>
        <v>0.27270459618181209</v>
      </c>
      <c r="P12" s="3"/>
    </row>
    <row r="13" spans="1:16">
      <c r="H13" s="3" t="s">
        <v>182</v>
      </c>
      <c r="I13">
        <f>VLOOKUP($H13,'EV of Far Future'!$K$3:$N$14,2,FALSE)</f>
        <v>5.4644157967709579E+33</v>
      </c>
      <c r="J13">
        <f>VLOOKUP($H13,'EV of Far Future'!$K$3:$N$14,3,FALSE)</f>
        <v>2.7310645112533267</v>
      </c>
      <c r="M13" s="3" t="s">
        <v>177</v>
      </c>
      <c r="N13">
        <f>VLOOKUP($M13,'EV of Far Future'!$K$3:$N$14,2,FALSE)</f>
        <v>6.3245553203367595E+46</v>
      </c>
      <c r="O13">
        <f>VLOOKUP($M13,'EV of Far Future'!$K$3:$N$14,3,FALSE)</f>
        <v>3.5113686573257055</v>
      </c>
      <c r="P13" s="3"/>
    </row>
    <row r="14" spans="1:16">
      <c r="H14" s="3" t="s">
        <v>285</v>
      </c>
      <c r="I14" s="2">
        <f>THL!$D$7</f>
        <v>7.0700000000000004E-10</v>
      </c>
      <c r="J14" s="2">
        <f>THL!$E$7</f>
        <v>0.11744747699999999</v>
      </c>
      <c r="M14" s="3" t="s">
        <v>285</v>
      </c>
      <c r="N14" s="2">
        <f>THL!$D$7</f>
        <v>7.0700000000000004E-10</v>
      </c>
      <c r="O14" s="2">
        <f>THL!$E$7</f>
        <v>0.11744747699999999</v>
      </c>
      <c r="P14" s="3"/>
    </row>
    <row r="15" spans="1:16" ht="20">
      <c r="A15" s="32" t="s">
        <v>59</v>
      </c>
      <c r="H15" s="3" t="s">
        <v>295</v>
      </c>
      <c r="I15" s="2">
        <f>$D$11</f>
        <v>1.7320508075688773E-2</v>
      </c>
      <c r="J15">
        <f>$E$11</f>
        <v>0.59415429945387477</v>
      </c>
      <c r="M15" s="3" t="s">
        <v>295</v>
      </c>
      <c r="N15" s="2">
        <f>$D$11</f>
        <v>1.7320508075688773E-2</v>
      </c>
      <c r="O15">
        <f>$E$11</f>
        <v>0.59415429945387477</v>
      </c>
      <c r="P15" s="3"/>
    </row>
    <row r="16" spans="1:16">
      <c r="A16" s="10" t="s">
        <v>168</v>
      </c>
      <c r="B16" t="s">
        <v>156</v>
      </c>
      <c r="C16" t="s">
        <v>158</v>
      </c>
      <c r="H16" s="148" t="s">
        <v>286</v>
      </c>
      <c r="I16">
        <f>THL!$D$16</f>
        <v>39.692256431966342</v>
      </c>
      <c r="J16">
        <f>THL!$E$16</f>
        <v>0.54824135785953976</v>
      </c>
      <c r="M16" s="148" t="s">
        <v>286</v>
      </c>
      <c r="N16">
        <f>THL!$D$16</f>
        <v>39.692256431966342</v>
      </c>
      <c r="O16">
        <f>THL!$E$16</f>
        <v>0.54824135785953976</v>
      </c>
      <c r="P16" s="3"/>
    </row>
    <row r="17" spans="1:16">
      <c r="A17" s="8" t="s">
        <v>151</v>
      </c>
      <c r="B17">
        <f>N27</f>
        <v>4.4537711507016281E+41</v>
      </c>
      <c r="C17">
        <f>O27</f>
        <v>8.0723193157394884E+94</v>
      </c>
      <c r="H17" s="15" t="s">
        <v>52</v>
      </c>
      <c r="I17" s="14">
        <f>PRODUCT(I12:I16)</f>
        <v>2.6560091555175811E+24</v>
      </c>
      <c r="J17" s="14">
        <f>SUM(J12:J16)</f>
        <v>3.9909076455667409</v>
      </c>
      <c r="M17" s="15" t="s">
        <v>52</v>
      </c>
      <c r="N17" s="14">
        <f>PRODUCT(N12:N16)</f>
        <v>6.8738622923600996E+35</v>
      </c>
      <c r="O17" s="14">
        <f>SUM(O12:O16)</f>
        <v>5.0439163878209321</v>
      </c>
      <c r="P17" s="3"/>
    </row>
    <row r="18" spans="1:16">
      <c r="A18" s="16" t="s">
        <v>163</v>
      </c>
      <c r="B18" s="14">
        <f>EXP(MuFromParams(ABS(B17),C17))</f>
        <v>6.9816267853740389E+35</v>
      </c>
      <c r="C18" s="14">
        <f>(SigmaFromParams(B17,C17) / LN(10))^2</f>
        <v>5.0419602613688435</v>
      </c>
      <c r="P18" s="3"/>
    </row>
    <row r="19" spans="1:16">
      <c r="A19" s="36" t="s">
        <v>78</v>
      </c>
      <c r="B19" s="19">
        <f>ParetoPosterior(median,alpha,B18:C18)*SIGN(B17)</f>
        <v>1.7155923138575062E+24</v>
      </c>
      <c r="P19" s="3"/>
    </row>
    <row r="20" spans="1:16">
      <c r="A20" s="36" t="s">
        <v>85</v>
      </c>
      <c r="B20" s="19">
        <f>LognormPosterior(mu_far_future,sigma_far_future,B18:C18)*SIGN(B17)</f>
        <v>120162.81876641281</v>
      </c>
      <c r="M20" t="s">
        <v>165</v>
      </c>
      <c r="P20" s="3"/>
    </row>
    <row r="21" spans="1:16">
      <c r="A21" s="5"/>
      <c r="H21" s="1" t="s">
        <v>69</v>
      </c>
      <c r="M21" t="s">
        <v>166</v>
      </c>
      <c r="N21">
        <f>I17</f>
        <v>2.6560091555175811E+24</v>
      </c>
      <c r="O21">
        <f>J17</f>
        <v>3.9909076455667409</v>
      </c>
      <c r="P21" s="3"/>
    </row>
    <row r="22" spans="1:16">
      <c r="A22" s="8"/>
      <c r="B22" s="3"/>
      <c r="C22" s="3"/>
      <c r="I22" s="7" t="s">
        <v>156</v>
      </c>
      <c r="J22" s="7" t="s">
        <v>158</v>
      </c>
      <c r="N22">
        <f>I28</f>
        <v>1.1129375317096521E+26</v>
      </c>
      <c r="O22">
        <f>J28</f>
        <v>4.8886592684934964</v>
      </c>
      <c r="P22" s="3"/>
    </row>
    <row r="23" spans="1:16">
      <c r="A23" s="33" t="s">
        <v>83</v>
      </c>
      <c r="B23" s="4">
        <f>B19+I6</f>
        <v>1.7155923138575062E+24</v>
      </c>
      <c r="C23" s="3"/>
      <c r="H23" s="3" t="s">
        <v>173</v>
      </c>
      <c r="I23" s="25">
        <f>VLOOKUP(H23,THL!$A$18:$E$21,4,FALSE)</f>
        <v>4.4721359549995794E-2</v>
      </c>
      <c r="J23" s="25">
        <f>VLOOKUP(H23,THL!$A$18:$E$21,5,FALSE)</f>
        <v>0.50759954989056688</v>
      </c>
      <c r="N23">
        <f>I38</f>
        <v>1.759708746844185E+29</v>
      </c>
      <c r="O23">
        <f>J38</f>
        <v>5.2788113415296873</v>
      </c>
      <c r="P23" s="3"/>
    </row>
    <row r="24" spans="1:16">
      <c r="A24" s="33" t="s">
        <v>84</v>
      </c>
      <c r="B24" s="4">
        <f>B20+I7</f>
        <v>122694.70790374537</v>
      </c>
      <c r="H24" s="3" t="s">
        <v>179</v>
      </c>
      <c r="I24">
        <f>VLOOKUP($H24,'EV of Far Future'!$K$3:$N$14,2,FALSE)</f>
        <v>5.1200000000000003E+36</v>
      </c>
      <c r="J24">
        <f>VLOOKUP($H24,'EV of Far Future'!$K$3:$N$14,3,FALSE)</f>
        <v>3.1212165842895159</v>
      </c>
      <c r="M24" s="3"/>
      <c r="N24" s="3">
        <f>N8</f>
        <v>8.3470314878223899E+27</v>
      </c>
      <c r="O24" s="3">
        <f>O8</f>
        <v>6.4492675606382548</v>
      </c>
      <c r="P24" s="3"/>
    </row>
    <row r="25" spans="1:16">
      <c r="H25" s="3" t="s">
        <v>285</v>
      </c>
      <c r="I25" s="2">
        <f>THL!$D$7</f>
        <v>7.0700000000000004E-10</v>
      </c>
      <c r="J25" s="2">
        <f>THL!$E$7</f>
        <v>0.11744747699999999</v>
      </c>
      <c r="N25">
        <f>N17</f>
        <v>6.8738622923600996E+35</v>
      </c>
      <c r="O25">
        <f>O17</f>
        <v>5.0439163878209321</v>
      </c>
      <c r="P25" s="3"/>
    </row>
    <row r="26" spans="1:16">
      <c r="H26" s="3" t="s">
        <v>295</v>
      </c>
      <c r="I26" s="2">
        <f>$D$11</f>
        <v>1.7320508075688773E-2</v>
      </c>
      <c r="J26">
        <f>$E$11</f>
        <v>0.59415429945387477</v>
      </c>
      <c r="M26" s="30" t="s">
        <v>167</v>
      </c>
      <c r="N26" s="31" t="str">
        <f>WriteArray(SumLognormDists(N21:O25))</f>
        <v>0,0,0,0,0,0,0,0,0,0,0,0,0,0,0,0,0,0,0,0,0,0,0,0,0,0,0,0,0,0,0,0,0,0,0,0,0,0,0,0,0,0,0,0,0,0,0,0,0,0,0,0,0,0,0,0,0,0,0,0,0,0,0,0,0,0,0,0,0,0,0,0,0,0,0,0,0,0,0,0,0,0,0,0,0,0,0,0,0,0,0,0,0,0,0,0,0,0,0,0,0,0,0,0,0,0,0,0,1.95320168827251E-313,6.3544161591977E-312,1.99841179668957E-310,6.2024185246703E-309,1.90698480700471E-307,5.80861394011061E-306,1.75282471466575E-304,5.24016770442261E-303,1.55200334252908E-301,4.55387317762105E-300,1.32376248765641E-298,3.81223894316267E-297,1.08765486899885E-295,3.07427774583805E-294,8.60867157037754E-293,2.38819766763179E-291,6.56365190183955E-290,1.78715408997175E-288,4.82080644318431E-287,1.28830495010546E-285,3.41082149014176E-284,8.94624298341071E-283,2.32468344184625E-281,5.98450781918327E-280,1.52628132244963E-278,3.85640223531496E-277,9.65320877122648E-276,2.39388211514112E-274,5.88133018374484E-273,1.43149605808438E-271,3.45180772917952E-270,8.24603049166583E-269,1.95157492162303E-267,4.57580520299679E-266,1.06289873042814E-264,2.44601077121246E-263,5.57656814613176E-262,1.25955718517198E-260,2.81845463805548E-259,6.248079538624E-258,1.37222221895121E-256,2.98569059304064E-255,6.43587596504706E-254,1.3743998623474E-252,2.90777749484667E-251,6.09469432665021E-250,1.26556785905637E-248,2.60352501580472E-247,5.30616736614856E-246,1.07137884387685E-244,2.14312835693573E-243,4.24713783917888E-242,8.33849454986767E-241,1.62189272450096E-239,3.1253585589944E-238,5.96651703134783E-237,1.1284577325177E-235,2.11442921754034E-234,3.9250438625969E-233,7.21837520684421E-232,1.31515831020675E-230,2.37388854477312E-229,4.24508504141277E-228,7.52066619329226E-227,1.3199885023923E-225,2.29523930098667E-224,3.95393798683996E-223,6.74801230242169E-222,1.14094860063451E-220,1.91117549993695E-219,3.17160728834067E-218,5.21437988118735E-217,8.4931818889244E-216,1.3705117242241E-214,2.19098666328219E-213,3.47009558977075E-212,5.44487539806877E-211,8.46407171122386E-210,1.30351394877429E-208,1.98882729311707E-207,3.00623952033253E-206,4.50189425442013E-205,6.67901290454305E-204,9.81690620110823E-203,1.42949437099209E-201,2.06222378356218E-200,2.94737063021452E-199,4.17329818421523E-198,5.85423123256807E-197,8.13591133597964E-196,1.1201817912723E-194,1.52797717588913E-193,2.06486361519555E-192,2.76447147975499E-191,3.66673214055551E-190,4.81828715609596E-189,6.27267359136499E-188,8.09020095606674E-187,1.03374312957443E-185,1.3086176270312E-184,1.64119353015636E-183,2.03917184281588E-182,2.51012271563945E-181,3.06114062873556E-180,3.69844283335929E-179,4.42692274114055E-178,5.24967578755458E-177,6.16752097940718E-176,7.17854631287086E-175,8.27770992529942E-174,9.45653064167552E-173,1.07029009974294E-171,1.20010525161528E-170,1.33316968594998E-169,1.46723575748087E-168,1.59978959571109E-167,1.72812217098312E-166,1.84941655674085E-165,1.96084779372906E-164,2.05969061022887E-163,2.14342937238312E-162,2.20986412594164E-161,2.25720651285048E-160,2.28415973346111E-159,2.28997756595089E-158,2.27449869410901E-157,2.23815413941595E-156,2.18194731951321E-155,2.10740802071938E-154,2.01652323123561E-153,1.91164919888496E-152,1.79541014160346E-151,1.67058967415876E-150,1.54002118572283E-149,1.40648311814794E-148,1.27260440258298E-147,1.14078429422522E-146,1.01312960650757E-145,8.91411003140436E-145,7.77038674560506E-144,6.7105650800217E-143,5.74152840503079E-142,4.86685118273763E-141,4.08715301954041E-140,3.40052655548197E-139,2.80300613363223E-138,2.28904691637584E-137,1.85198845476315E-136,1.48448207966608E-135,1.17886729013294E-134,9.27488049899452E-134,7.22945152120151E-133,5.58285278724027E-132,4.27130890963684E-131,3.23757582181896E-130,2.43127038549932E-129,1.80884396247732E-128,1.33328708128876E-127,9.73646151275104E-127,7.04423345085748E-126,5.04918908830661E-125,3.58562638783233E-124,2.52269150071636E-123,1.75840603869314E-122,1.21431206830288E-121,8.30802489692205E-121,5.63147052081986E-120,3.78183525054191E-119,2.51617232485453E-118,1.65857595718923E-117,1.08314795727297E-116,7.00806093885706E-116,4.49227001720156E-115,2.85293561399342E-114,1.79504964190659E-113,1.11897291669052E-112,6.91069224158407E-112,4.22846409305146E-111,2.56332169252835E-110,1.53951246111932E-109,9.16058473940253E-109,5.40036784945022E-108,3.15416144414979E-107,1.82517788499868E-106,1.04637525219245E-105,5.94334562743012E-105,3.34453747961915E-104,1.86467433172724E-103,1.0299877506888E-102,5.63668246659045E-102,3.05617226381721E-101,1.6417051105824E-100,8.73727181559623E-100,4.60702152220647e-99,2.40673713814183e-98,1.24566549306636e-97,6.38761749212065e-97,3.24519953494822e-96,1.63346296831389e-95,8.14597213633624e-95,4.0247846369445e-94,1.97019330372628e-93,9.55524592836176e-93,4.5913681504164e-92,2.18579771930118e-91,1.0309694945976e-90,4.81781429961905e-90,2.23060719220401e-89,1.02321136191914e-88,4.65026009613132e-88,2.09391571962719e-87,9.34139310865212e-87,4.12890644008284e-86,1.8081307371586e-85,7.84506361446111e-85,3.3723716677688e-84,1.43630672303528e-83,6.06083190655141e-83,2.53390929612206e-82,1.04960085078479e-81,4.30756739215346e-81,1.75152083703781e-80,7.05625700099477e-80,2.81650074255434e-79,1.11383869737444e-78,4.36427643956328e-78,1.69426092328945e-77,6.51668933464219e-77,2.48343627657797e-76,9.37689201037715e-76,3.50788479537093e-75,1.30020813548051e-74,4.77487750320552e-74,1.7373769283753e-73,6.26338345923934e-73,2.2372152815949e-72,7.917554875187e-72,2.77625679323215e-71,9.64526506721575e-71,3.3201326096106e-70,1.13235913571857e-69,3.82649564017207e-69,1.28117168636162e-68,4.25014094198285e-68,1.39697957433456e-67,4.54954909530428e-67,1.4680441006366e-66,4.69356876200252e-66,1.48683067931783e-65,4.66675519467024e-65,1.45132492455347e-64,4.47209879919751e-64,1.36538844338681e-63,4.13047665295248e-63,1.23806737388824e-62,3.67696597731154e-62,1.08202491414789e-61,3.1549199536283e-61,9.11473419493955e-61,2.60918830291355e-60,7.400716862027e-60,2.07993774754587e-59,5.79210365287609e-59,1.59820706201376e-58,4.3696013808761e-58,1.18376093854552e-57,3.17761290511692e-57,8.4518971128884e-57,2.22753788835383e-56,5.81721591802778e-56,1.50531015582732e-55,3.85974933368552e-55,9.80654736851641e-55,2.46887295265363e-54,6.15897782970674e-54,1.52246591461249e-53,3.72921440074044e-53,9.05148446761597e-53,2.17699207958558e-52,5.18836375852141e-52,1.22530023696772e-51,2.86744574025307e-51,6.64952474196805e-51,1.52802649908763e-50,3.47951156396678e-50,7.85154459892009e-50,1.75567330493209e-49,3.89033079015675e-49,8.54252152328301e-49,1.85885253649165e-48,4.00835109939735e-48,8.56547132655777e-48,1.813862174227e-47,3.80651644475669e-47,7.91634167838923e-47,1.63154036267256e-46,3.33235112963531e-46,6.74507220021843e-46,1.35303406333074e-45,2.68980386990242e-45,5.29938945893421e-45,1.03473251649813e-44,2.00230949064219e-44,3.84006962650005e-44,7.29887350331915e-44,1.37494590469141e-43,2.56704067916606e-43,4.75008873484853e-43,8.71158426517616e-43,1.58352081033651e-42,2.85289998753498e-42,5.09437072335085e-42,9.01656317269552e-42,1.58177036211673e-41,2.75044760520675e-41,4.74052745176563e-41,8.09877454643595e-41,1.37147380926188e-40,2.30217174029228e-40,3.83068601744952e-40,6.31845517494651e-40,1.03311315385009e-39,1.67453745777053e-39,2.69066392706664e-39,4.28597415295523e-39,6.76820190246398e-39,1.0595932497926e-38,1.64458350613919e-38,2.53065305167462e-38,3.86081149651826e-38,5.8398758293258e-38,8.75825755653919e-38,1.30236078837611e-37,1.9202386072672e-37,2.80737570068828e-37,4.0698546103124e-37,5.85062478885958e-37,8.34032531314341e-37,1.17905472133244e-36,1.65298323156122e-36,2.29826552922989e-36,3.1691548671024e-36,4.33423999348038e-36,5.8792769913068e-36,7.91028491095247e-36,1.05568383561785e-35,1.39754568976518e-35,1.83529541515794e-35,2.39095702348855e-35,3.09016724217386e-35,3.96237731479461e-35,5.04095855496377e-35,6.36318183519565e-35,7.97004081133287e-35,9.90589013179289e-35,1.22178734706756e-34,1.49551221624129e-34,1.81677135675337e-34,2.19053889514246e-34,2.62160432974122e-34,3.11440135801187e-34,3.67282068742408e-34,4.30001243786791e-34,4.9981850989106e-34,5.76840913962037e-34,6.61043417953494e-34,7.52252902584148e-34,8.50135379363084e-34,9.54187271099412e-34,1.06373150604887e-33,1.17791900521215e-33,1.29573593270451e-33,1.41601683568609e-33,1.53746353606695e-33,1.6586693660691e-33,1.77814807966909e-33,1.89436653766456e-33,2.00578006992405e-33,2.11086927616375e-33,2.2081769449121e-33,2.29634375383965e-33,2.37414146384115e-33,2.4405024305346e-33,2.49454442281778e-33,2.53558994831668e-33,2.56317952722697e-33,2.5770786151412e-33,2.57727813762002e-33,2.56398885080453e-33,2.5376299710639e-33,2.49881271246137e-33,2.44831952624046e-33,2.38707994695761e-33,2.31614401355218e-33,2.23665425146906e-33,2.14981717720428e-33,2.05687522451208e-33,1.95907989856675e-33,1.85766684804496e-33,1.75383341314949e-33,1.64871906765932e-33,1.54338903225191e-33,1.4388212008382e-33,1.33589639665234e-33,1.23539186432592e-33,1.13797781090854e-33,1.04421673433969e-33,9.54565222710723e-34,8.69377871312813e-34,7.88912945702262e-34,7.13339415994751e-34,6.42744998080795e-34,5.7714485896216e-34,5.16490673392059e-34,4.60679754966975e-34,4.09564024435255e-34,3.62958619169403e-34,3.20649988703284e-34,2.82403360492842e-34,2.47969496480577e-34,2.17090693810508e-34,1.8950601162839e-34,1.64955730050536e-34,1.43185067056176e-34,1.23947194396505e-34,1.07005604901592e-34,9.21358911870175e-35,7.91270001615827e-35,6.77820293941579e-35,5.79186307955582e-35,4.93690846790771e-35,4.19801035187316e-35,3.56124200231918e-35,3.01402088329e-35,2.54503855233395e-35,2.14418209020208e-35,1.80245030137647e-35,1.51186739651997e-35,1.26539637504672e-35,1.05685387751846e-35,8.80827877356613e-36,7.32599230803657e-36,6.08067802589878e-36,5.03683630288315e-36,4.16383379739063e-36,3.43532173359384e-36,2.82870738400077e-36,2.32467718881205e-36,1.90676918701952e-36,1.56099190111455e-36,1.27548647472471e-36,1.04022867515274e-36,8.46767309125844e-37,6.8799563246828e-37,5.57952439141236e-37,4.51649672084166e-37,3.6492359088466e-37,2.9430674592991e-37,2.36918234520492e-37,1.90369943008584e-37,1.52686703948787e-37,1.22238513824793e-37,9.76831618597318e-38,7.79178116014247e-38,6.20382531799465e-38,4.93047048599065e-38,3.91131877905705e-38,3.09716281278963e-38,2.4479956678693e-38,1.93135787992675e-38,1.52096774810432e-38,1.19558914387943e-38,9.38097865779052e-39,7.34713530586813e-39,5.74369118130469e-39,4.48194689279042e-39,3.49095562927213e-39,2.71408447604098e-39,2.10621749444235e-39,1.63148585688959e-39,1.26142979596477e-39,9.73513498623901e-40,7.49927803995025e-40,5.76627039119546e-40,4.42555892851102e-40,3.3903017936218e-40,2.59241933549979e-40,1.97864728966694e-40,1.5073960071115e-40,1.14625649152405e-40,8.70024293890345e-41,6.59137090828122e-41,4.98441988984739e-41,3.762250502414e-41,2.83448888344799e-41,2.13155002628565e-41,1.59996250321686e-41,1.1987189787962e-41,8.96433495025256e-42,6.69131874377765e-42,4.9853787180091e-42,3.70746659617516e-42,2.75200275643088e-42,2.03897965649745e-42,1.50788848945655e-42,1.11305793256968e-42,8.20084183253795e-43,6.03102527164011e-43,4.42706436421073e-43,3.24363842153276e-43,2.37214313639117e-43,1.73157437308299e-43,1.26163336567581e-43,9.17522870544073e-44,6.66027727803117e-44,4.82568941629236e-44,3.48994063895937e-44,2.51923279963336e-44,1.81514000749873e-44,1.30539967423461e-44,9.37062148219937e-45,6.71405350694844e-45,4.80167423838129e-45,3.42761524546991e-45,2.44220943691191e-45,1.73686154385985e-45,1.23293147414643e-45,8.73582883110331e-46,6.17818233586673e-46,4.36122757041999e-46,3.07289833515396e-46,2.16112081145833e-46,1.51705492351762e-46,1.06295520722876e-46,7.43395658056261e-47,5.18939190338704e-47,3.61579924519183e-47,2.51468468572566e-47,1.74563784597135e-47,1.20952860440353e-47,8.36506882651005e-48,5.77449849389022e-48,3.97878437060364e-48,2.73638946535907e-48,1.87843767729502e-48,1.28708445376725e-48,8.80255344916504e-49,6.00899258516469e-49,4.0943600949879e-49,2.78459329485205e-49,1.89029192551373e-49,1.28081779766764e-49,8.66237929366137e-50,5.84761007233132e-50,3.94013390790535e-50,2.64993318985451e-50,1.77889466853855e-50,1.19194689911279e-50,7.97177345489065e-51,5.32162605113872e-51,3.54588889768541e-51,2.35829026868566e-51,1.5655277081035e-51,1.03732685799091e-51,6.86059608078909e-52,4.52896999353324e-52,2.98420325465977e-52,1.96267648848821e-52,1.28842874076784e-52,8.44235191834717e-53,5.52150999948184e-53,3.60448844670141e-53,2.34866337853324e-53,1.52752834487677e-53,9.91628825619181e-54,6.4254029899518e-54,4.1556882710292e-54,2.68272969980442e-54,1.72863075342764e-54,1.11178015079213e-54,7.13718509981128e-55,4.57326499745156e-55,2.9249411833482e-55,1.86723625232662e-55,1.18979671840092e-55,7.5672420519575e-56,4.80389877883864e-56,3.04397746517264e-56,1.92522007212802e-56,1.2153760998882e-56,7.65829983236596e-57,4.81665346642265e-57,3.02377729507711e-57,1.89472228896205e-57,1.18503912538368e-57,7.39794634834636e-58,4.60978879903756e-58,2.86709604789776e-58,1.77989678533996e-58,1.10290665707968e-58,6.82140853643403e-59,4.21115013835196e-59,2.59488881034738e-59,1.5959825697592e-59,9.79780738601165e-60,6.00372807633575e-60,3.67201539089389e-60,2.24170951254268e-60,1.36598377035438e-60,8.30812662172007e-61,5.04373240603945e-61,3.05627430477661e-61,1.84851928593512e-61,1.11595582804041e-61,6.72452149297636e-62,4.04452133054098e-62,2.42808696316216e-62,1.45496553819324e-62,8.70226971259254e-63,5.19521750604308e-63,3.09575293094523e-63,1.84128160149818e-63,1.09311410240695e-63,6.47742127852767e-64,3.83115879197107e-64,2.26177565268031e-64,1.33278550068073e-64,7.8390305486249e-65,4.60209751851841e-65,2.69674970658502e-65,1.57730916184101e-65,9.20840420488018e-66,5.36590878472697e-66,3.12099849974512e-66,1.81190405426554e-66,1.04994898097338e-66,6.07285006486156e-67,3.50597071321274e-67,2.02029771137215e-67,1.16202058761741e-67,6.67119501051591e-68,3.82282847475439e-68,2.18653962040607e-68,1.24830656056918e-68,7.11338832031669e-69,4.04597453278949e-69,2.29700073863273e-69,1.30163880552778e-69,7.36226089258393e-70,4.15645690108179e-70,2.34221480991432e-70,1.31741173177083e-70,7.39618376775269e-71,4.14462481240232e-71,2.31821715225574e-71,1.2942386639327e-71,7.21217053802741e-72,4.0115200565734e-72,2.22711842638594e-72,1.234153039446e-72,6.82631124298857e-73,3.76872559719194e-73,2.07679826204865e-73,1.14231391916701e-73,6.27145035230198e-74,3.43670196419304e-74,1.87978039761655e-74,1.02627494072478e-74,5.59257343480255e-75,3.04194269940747e-75,1.65151196881326e-75,8.94960328758889e-76,4.84080074240497e-76,2.61349691154423e-76,1.40837445304117e-76,7.57540138257301e-77,4.06709691969268e-77,2.17948938208001e-77,1.16577934436156e-77,6.22399617886786e-78,3.31675690066627e-78,1.76420613571605e-78,9.36647930140106e-79,4.96357730362562e-79,2.625454916573e-79,1.38613555327191e-79,7.30462968023535e-80,3.84221857242295e-80,2.01723870807348e-80,1.05711900815673e-80,5.52944870562859e-81,2.88689606185354e-81,1.50442944613448e-81,7.82535169583346e-82,4.06281706482527e-82,2.10543594626488e-82,1.08905085833296e-82,5.62270958537377e-83,2.89757380226866e-83,1.49044077365171e-83,7.65219982198556e-84,3.92147313662628e-84,2.00587353815583e-84,1.02411615427899e-84,5.21898738425567e-85,2.65469505077831e-85,1.34782775728786e-85,6.83039020493047e-86,3.45499955729721e-86,1.74438297850265e-86,8.79077262618734e-87,4.42184603605898e-87,2.22009495175289e-87,1.11257896453723e-87,5.5652093035142e-88,2.77858395295525e-88,1.38470387237172e-88,6.88781784074429e-89,3.41977680251891e-89,1.69474840486811e-89,8.38308883499855e-90,4.13898893797951e-90,2.03974475835606e-90,1.00334143716764e-90,4.92621127877838e-91,2.41417463493219e-91,1.18090699123751e-91,5.76572689903722e-92,2.80985432181085e-92,1.36679979099281e-92,6.63616790667634e-93,3.21603814231132e-93,1.5556660663167e-93,7.5110893634089e-94,3.61976888247587e-94,1.74120585272519e-94,8.36008623121387e-95,4.00647796542826e-95,1.9164880820176e-95,9.15041623880931e-96,4.36080773892664e-96,2.07436125622293e-96,9.84902427062623e-97,4.66759736260458e-97,2.20792809962246e-97,1.0424802364422e-97,4.91294719917237e-98,2.31104140177307e-98,1.08508739315312e-98,5.08525894542891e-99,2.37877184673291e-99,1.11066700446754e-99,5.1761435614388E-100,2.40779838497166E-100,1.11795748322892E-100,5.18109813807928E-101,2.39667812836789E-101,1.10659567730551E-101,5.09987567469157E-102,2.34596523108527E-102,1.07714685150925E-102,4.93650548828406E-103,2.25816511927497E-103,1.0310580756589E-103,4.69896190640194E-104,2.13752933294173E-104,9.70540370223643E-105,4.39851917179236E-105,1.98971436981165E-105,8.98392973147982E-106,4.04886521105982E-106,1.82134263778058E-106,8.17789166106381E-107,3.66507118208487E-107,1.63951289791736E-107,7.32046425063708E-108,3.26252443757523E-108,1.45131032662947E-108,6.44403900160644E-109,2.85592894346925E-109,1.26336254787478E-109,5.57827552409699E-110,2.4584607958396E-110,1.08147871359794E-110,4.7485829319543E-111,2.08114069381918E-111,9.10395742890968E-112,3.97512104673212E-112,1.73245459157187E-112,7.5364136168495E-113,3.27234401231882E-113,1.41822306542377E-113,6.13509790670972E-114,2.64904791697478E-114,1.14169340688681E-114,4.91134604510574E-115,2.10883664378506E-115,9.03809093788696E-116,3.86635597340024E-116,1.65089073278753E-116,7.03600574259729E-117,2.99312878521528E-117,1.2709134760586E-117,5.38639165516758E-118,2.27861648637971E-118,9.62134759082906E-119,4.05501006846444E-119,1.7058440768298E-119,7.16272189971116E-120,3.00198287194689E-120,1.25582664487601E-120,5.24375677448458E-121,2.18547955476502E-121,9.09164185926888E-122,3.77510689761613E-122,1.56461522100643E-122,6.47257677683329E-123,2.67262627221877E-123,1.10151551491998E-123,4.53142051710454E-124,1.86067052315167E-124,7.62598507896693E-125,3.11970685771154E-125,1.27386377217148E-125,5.19186688101553E-126,2.11210484766991E-126,8.57627623385185E-127,3.47594912212008E-127,1.40617516678324E-127,5.67801845438335E-128,2.28847165808041E-128,9.20631095105363E-129,3.69672465071996E-129,1.48163057069557E-129,5.92726193535903E-130,2.36678970845464E-130,9.43314667391532E-131,3.75270879511206E-131,1.49013119221106E-131,5.90602810162194E-132,2.33645744378065E-132,9.22596078051E-133,3.63627479605716E-133,1.43051741810224E-133,5.61721397133311E-134,2.20160877391369E-134,8.61292548734198E-135,3.36319923465469E-135,1.31082846537878E-135,5.0995340361543E-136,1.98018829270634E-136,7.67491978440462E-137,2.96915291164901E-137,1.14652267015669E-137,4.41900091279016E-138,1.70003122730976E-138,6.52801388100581E-139,2.50205356112709E-139,9.57201781490488E-140,3.65512098617052E-140,1.39312914596978E-140,5.29995720021952E-141,2.01254087362076E-141,7.62796021301842E-142,2.88578181007481E-142,1.08970746704549E-142,4.10721771823357E-143,1.5451721989048E-143,5.80226298546685E-144,2.17474977936418E-144,8.13603006051849E-145,3.03813561882134E-145,1.13238245270581E-145,4.21279637754095E-146,1.56436888185876E-146,5.79828063651056E-147,2.14511538170327E-147,7.9212449902214E-148,2.9196285154405E-148,1.07412076043749E-148,3.94430043410587E-149,1.44570015269296E-149,5.28905190630926E-150,1.93138473343929E-150,7.03965088788799E-151,2.56108983618985E-151,9.30014813136603E-152,3.37090320594875E-152,1.21953441641385E-152,4.40385694302387E-153,1.58731714483414E-153,5.71065040591983E-154,2.0506842900713E-154,</v>
      </c>
      <c r="O26" s="31" t="s">
        <v>148</v>
      </c>
      <c r="P26" s="3"/>
    </row>
    <row r="27" spans="1:16">
      <c r="H27" s="148" t="s">
        <v>286</v>
      </c>
      <c r="I27">
        <f>THL!$D$16</f>
        <v>39.692256431966342</v>
      </c>
      <c r="J27">
        <f>THL!$E$16</f>
        <v>0.54824135785953976</v>
      </c>
      <c r="M27" s="3" t="s">
        <v>151</v>
      </c>
      <c r="N27" s="3">
        <f>STupidExcelMean(N26)</f>
        <v>4.4537711507016281E+41</v>
      </c>
      <c r="O27" s="3">
        <f>STupidExcelVariance(N26,N27)</f>
        <v>8.0723193157394884E+94</v>
      </c>
    </row>
    <row r="28" spans="1:16">
      <c r="H28" s="15" t="s">
        <v>52</v>
      </c>
      <c r="I28" s="14">
        <f>PRODUCT(I23:I27)</f>
        <v>1.1129375317096521E+26</v>
      </c>
      <c r="J28" s="14">
        <f>SUM(J23:J27)</f>
        <v>4.8886592684934964</v>
      </c>
      <c r="M28" s="3"/>
      <c r="N28" s="3"/>
      <c r="O28" s="3"/>
    </row>
    <row r="29" spans="1:16">
      <c r="H29" s="3"/>
      <c r="I29" s="21"/>
      <c r="M29" s="3"/>
      <c r="N29" s="3"/>
      <c r="O29" s="3"/>
    </row>
    <row r="30" spans="1:16">
      <c r="M30" s="3"/>
      <c r="N30" s="21"/>
      <c r="O30" s="3"/>
    </row>
    <row r="31" spans="1:16">
      <c r="H31" s="1" t="s">
        <v>82</v>
      </c>
      <c r="M31" s="13"/>
      <c r="N31" s="3"/>
      <c r="O31" s="3"/>
    </row>
    <row r="32" spans="1:16">
      <c r="I32" s="7" t="s">
        <v>156</v>
      </c>
      <c r="J32" s="7" t="s">
        <v>158</v>
      </c>
      <c r="M32" s="3"/>
      <c r="N32" s="29"/>
      <c r="O32" s="29"/>
    </row>
    <row r="33" spans="8:15">
      <c r="H33" s="3" t="s">
        <v>132</v>
      </c>
      <c r="I33" s="25">
        <f>VLOOKUP(H33,THL!$A$18:$E$21,4,FALSE)</f>
        <v>2.2360679774997897E-2</v>
      </c>
      <c r="J33" s="25">
        <f>VLOOKUP(H33,THL!$A$18:$E$21,5,FALSE)</f>
        <v>0.50759954989056688</v>
      </c>
      <c r="M33" s="3"/>
      <c r="N33" s="25"/>
      <c r="O33" s="3"/>
    </row>
    <row r="34" spans="8:15">
      <c r="H34" s="3" t="s">
        <v>180</v>
      </c>
      <c r="I34">
        <f>VLOOKUP($H34,'EV of Far Future'!$K$3:$N$14,2,FALSE)</f>
        <v>1.6190861620062103E+40</v>
      </c>
      <c r="J34">
        <f>VLOOKUP($H34,'EV of Far Future'!$K$3:$N$14,3,FALSE)</f>
        <v>3.5113686573257055</v>
      </c>
      <c r="M34" s="3"/>
      <c r="N34" s="3"/>
      <c r="O34" s="3"/>
    </row>
    <row r="35" spans="8:15">
      <c r="H35" s="3" t="s">
        <v>285</v>
      </c>
      <c r="I35" s="2">
        <f>THL!$D$7</f>
        <v>7.0700000000000004E-10</v>
      </c>
      <c r="J35" s="2">
        <f>THL!$E$7</f>
        <v>0.11744747699999999</v>
      </c>
      <c r="M35" s="3"/>
      <c r="N35" s="3"/>
      <c r="O35" s="3"/>
    </row>
    <row r="36" spans="8:15">
      <c r="H36" s="3" t="s">
        <v>295</v>
      </c>
      <c r="I36" s="2">
        <f>$D$11</f>
        <v>1.7320508075688773E-2</v>
      </c>
      <c r="J36">
        <f>$E$11</f>
        <v>0.59415429945387477</v>
      </c>
      <c r="K36" s="3"/>
      <c r="L36" s="3"/>
      <c r="M36" s="3"/>
      <c r="N36" s="3"/>
      <c r="O36" s="3"/>
    </row>
    <row r="37" spans="8:15">
      <c r="H37" s="148" t="s">
        <v>286</v>
      </c>
      <c r="I37">
        <f>THL!$D$16</f>
        <v>39.692256431966342</v>
      </c>
      <c r="J37">
        <f>THL!$E$16</f>
        <v>0.54824135785953976</v>
      </c>
      <c r="K37" s="3"/>
      <c r="L37" s="3"/>
      <c r="M37" s="3"/>
      <c r="N37" s="3"/>
      <c r="O37" s="3"/>
    </row>
    <row r="38" spans="8:15">
      <c r="H38" s="15" t="s">
        <v>52</v>
      </c>
      <c r="I38" s="14">
        <f>PRODUCT(I33:I37)</f>
        <v>1.759708746844185E+29</v>
      </c>
      <c r="J38" s="14">
        <f>SUM(J33:J37)</f>
        <v>5.2788113415296873</v>
      </c>
      <c r="M38" s="3"/>
      <c r="N38" s="3"/>
      <c r="O38" s="3"/>
    </row>
    <row r="39" spans="8:15">
      <c r="M39" s="3"/>
      <c r="N39" s="21"/>
      <c r="O39" s="3"/>
    </row>
    <row r="40" spans="8:15">
      <c r="M40" s="13"/>
      <c r="N40" s="3"/>
      <c r="O40" s="3"/>
    </row>
    <row r="41" spans="8:15">
      <c r="M41" s="3"/>
      <c r="N41" s="29"/>
      <c r="O41" s="29"/>
    </row>
    <row r="42" spans="8:15">
      <c r="M42" s="3"/>
      <c r="N42" s="25"/>
      <c r="O42" s="3"/>
    </row>
    <row r="43" spans="8:15">
      <c r="M43" s="3"/>
      <c r="N43" s="3"/>
      <c r="O43" s="3"/>
    </row>
    <row r="44" spans="8:15">
      <c r="M44" s="3"/>
      <c r="N44" s="3"/>
      <c r="O44"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O34"/>
  <sheetViews>
    <sheetView workbookViewId="0">
      <selection activeCell="H25" sqref="H25"/>
    </sheetView>
  </sheetViews>
  <sheetFormatPr baseColWidth="10" defaultRowHeight="15" x14ac:dyDescent="0"/>
  <cols>
    <col min="1" max="1" width="21.6640625" style="5" customWidth="1"/>
    <col min="2" max="2" width="12.83203125" bestFit="1" customWidth="1"/>
    <col min="3" max="3" width="12.1640625" bestFit="1" customWidth="1"/>
    <col min="4" max="4" width="12.83203125" bestFit="1" customWidth="1"/>
    <col min="7" max="7" width="21.6640625" style="5" customWidth="1"/>
    <col min="10" max="10" width="12.1640625" bestFit="1" customWidth="1"/>
    <col min="13" max="13" width="21.6640625" customWidth="1"/>
    <col min="14" max="15" width="12.1640625" bestFit="1" customWidth="1"/>
  </cols>
  <sheetData>
    <row r="1" spans="1:15" ht="20">
      <c r="A1" s="32" t="s">
        <v>107</v>
      </c>
      <c r="B1" t="s">
        <v>121</v>
      </c>
      <c r="G1" s="99" t="s">
        <v>104</v>
      </c>
      <c r="H1" t="s">
        <v>121</v>
      </c>
      <c r="I1" t="s">
        <v>272</v>
      </c>
      <c r="M1" s="1"/>
    </row>
    <row r="2" spans="1:15">
      <c r="A2" s="57"/>
      <c r="B2" s="44" t="s">
        <v>0</v>
      </c>
      <c r="C2" s="44" t="s">
        <v>1</v>
      </c>
      <c r="D2" s="44" t="s">
        <v>156</v>
      </c>
      <c r="E2" s="44" t="s">
        <v>158</v>
      </c>
      <c r="H2" s="44" t="s">
        <v>0</v>
      </c>
      <c r="I2" s="44" t="s">
        <v>1</v>
      </c>
      <c r="J2" s="44" t="s">
        <v>156</v>
      </c>
      <c r="K2" s="44" t="s">
        <v>158</v>
      </c>
    </row>
    <row r="3" spans="1:15">
      <c r="A3" s="91" t="s">
        <v>101</v>
      </c>
      <c r="B3" s="92">
        <v>70000</v>
      </c>
      <c r="C3" s="92">
        <v>150000</v>
      </c>
      <c r="D3" s="44"/>
      <c r="E3" s="44"/>
      <c r="F3" t="s">
        <v>210</v>
      </c>
      <c r="G3" s="42" t="s">
        <v>97</v>
      </c>
      <c r="H3" s="43">
        <v>0.03</v>
      </c>
      <c r="I3" s="43">
        <v>0.3</v>
      </c>
      <c r="J3" s="44">
        <f>GEOMEAN(H3,I3)</f>
        <v>9.4868329805051374E-2</v>
      </c>
      <c r="K3" s="44">
        <f>LogVariance(H3,I3)</f>
        <v>0.39015207303618948</v>
      </c>
      <c r="L3" s="103" t="s">
        <v>197</v>
      </c>
    </row>
    <row r="4" spans="1:15" ht="30">
      <c r="A4" s="57" t="s">
        <v>102</v>
      </c>
      <c r="B4" s="44">
        <f>1/C3</f>
        <v>6.6666666666666666E-6</v>
      </c>
      <c r="C4" s="44">
        <f>1/B3</f>
        <v>1.4285714285714285E-5</v>
      </c>
      <c r="D4" s="44">
        <f>GEOMEAN(B4,C4)</f>
        <v>9.7590007294853309E-6</v>
      </c>
      <c r="E4" s="44">
        <f>LogVariance(B4,C4)</f>
        <v>0.12913769056993327</v>
      </c>
      <c r="G4" s="46" t="s">
        <v>100</v>
      </c>
      <c r="H4" s="47">
        <v>200</v>
      </c>
      <c r="I4" s="47">
        <v>10000</v>
      </c>
      <c r="J4" s="44"/>
      <c r="K4" s="44"/>
      <c r="L4" s="103" t="s">
        <v>202</v>
      </c>
    </row>
    <row r="5" spans="1:15" ht="30">
      <c r="G5" s="87" t="s">
        <v>128</v>
      </c>
      <c r="H5" s="86">
        <f>1/I4</f>
        <v>1E-4</v>
      </c>
      <c r="I5" s="86">
        <f>1/H4</f>
        <v>5.0000000000000001E-3</v>
      </c>
      <c r="J5" s="44">
        <f>GEOMEAN(H5,I5)</f>
        <v>7.0710678118654762E-4</v>
      </c>
      <c r="K5" s="44">
        <f>LogVariance(H5,I5)</f>
        <v>0.66285666921800146</v>
      </c>
      <c r="L5" s="103"/>
    </row>
    <row r="6" spans="1:15" ht="30">
      <c r="G6" s="46" t="s">
        <v>98</v>
      </c>
      <c r="H6" s="47">
        <v>1</v>
      </c>
      <c r="I6" s="47">
        <v>3</v>
      </c>
      <c r="J6" s="44">
        <f>GEOMEAN(H6,I6)</f>
        <v>1.7320508075688774</v>
      </c>
      <c r="K6" s="44">
        <f>LogVariance(H6,I6)</f>
        <v>0.18614984661850412</v>
      </c>
      <c r="L6" s="103" t="s">
        <v>261</v>
      </c>
    </row>
    <row r="7" spans="1:15" ht="45">
      <c r="G7" s="46" t="s">
        <v>262</v>
      </c>
      <c r="H7" s="47">
        <v>0.1</v>
      </c>
      <c r="I7" s="47">
        <v>0.7</v>
      </c>
      <c r="J7" s="44">
        <f>GEOMEAN(H7,I7)</f>
        <v>0.26457513110645903</v>
      </c>
      <c r="K7" s="44">
        <f>LogVariance(H7,I7)</f>
        <v>0.32971675223038288</v>
      </c>
      <c r="L7" s="103"/>
      <c r="M7" s="25"/>
      <c r="N7" s="3"/>
      <c r="O7" s="3"/>
    </row>
    <row r="8" spans="1:15">
      <c r="G8" s="63" t="s">
        <v>108</v>
      </c>
      <c r="H8" s="88"/>
      <c r="I8" s="88"/>
      <c r="J8" s="44">
        <f>J3*J5*J6*J7*D4*1000</f>
        <v>2.9999999999999999E-7</v>
      </c>
      <c r="K8" s="44">
        <f>K3+K5+K6+K7+E4</f>
        <v>1.6980130316730113</v>
      </c>
      <c r="L8" s="103"/>
      <c r="M8" s="3"/>
      <c r="N8" s="3"/>
      <c r="O8" s="3"/>
    </row>
    <row r="9" spans="1:15" ht="20">
      <c r="A9" s="32" t="s">
        <v>59</v>
      </c>
      <c r="G9" s="57"/>
      <c r="H9" s="44"/>
      <c r="I9" s="44"/>
      <c r="J9" s="44"/>
      <c r="K9" s="44"/>
      <c r="L9" s="103"/>
      <c r="M9" s="3"/>
      <c r="N9" s="3" t="s">
        <v>142</v>
      </c>
      <c r="O9" s="3"/>
    </row>
    <row r="10" spans="1:15">
      <c r="A10" s="10" t="s">
        <v>115</v>
      </c>
      <c r="G10" s="57"/>
      <c r="H10" s="44"/>
      <c r="I10" s="44"/>
      <c r="J10" s="44"/>
      <c r="K10" s="44"/>
      <c r="L10" s="103"/>
      <c r="M10" s="3"/>
      <c r="O10" s="3"/>
    </row>
    <row r="11" spans="1:15">
      <c r="A11" s="37" t="s">
        <v>169</v>
      </c>
      <c r="B11" s="38">
        <f>ParetoPosterior(median,alpha,H26:I26)</f>
        <v>6.3112967095697664E+27</v>
      </c>
      <c r="G11" s="98" t="s">
        <v>105</v>
      </c>
      <c r="H11" s="54" t="s">
        <v>121</v>
      </c>
      <c r="I11" s="44"/>
      <c r="J11" s="44"/>
      <c r="K11" s="44"/>
      <c r="L11" s="103"/>
      <c r="M11" s="3"/>
      <c r="N11" s="3"/>
      <c r="O11" s="3"/>
    </row>
    <row r="12" spans="1:15" ht="30">
      <c r="A12" s="37" t="s">
        <v>170</v>
      </c>
      <c r="B12" s="38">
        <f>LognormPosterior(mu_far_future,sigma_far_future,H26:I26)</f>
        <v>213917.63204134765</v>
      </c>
      <c r="G12" s="79"/>
      <c r="H12" s="74" t="s">
        <v>0</v>
      </c>
      <c r="I12" s="74" t="s">
        <v>1</v>
      </c>
      <c r="J12" s="44" t="s">
        <v>156</v>
      </c>
      <c r="K12" s="44" t="s">
        <v>158</v>
      </c>
      <c r="L12" s="103"/>
      <c r="M12" s="3"/>
      <c r="N12" s="26"/>
      <c r="O12" s="26"/>
    </row>
    <row r="13" spans="1:15">
      <c r="A13" s="35"/>
      <c r="B13" s="34"/>
      <c r="G13" s="42" t="s">
        <v>99</v>
      </c>
      <c r="H13" s="50">
        <v>1000000</v>
      </c>
      <c r="I13" s="50">
        <v>10000000000</v>
      </c>
      <c r="J13" s="44">
        <f>GEOMEAN(H13,I13)</f>
        <v>100000000</v>
      </c>
      <c r="K13" s="44">
        <f>LogVariance(H13,I13)</f>
        <v>1.5606082921447579</v>
      </c>
      <c r="L13" s="103" t="s">
        <v>268</v>
      </c>
      <c r="M13" s="3"/>
      <c r="N13" s="3"/>
      <c r="O13" s="3"/>
    </row>
    <row r="14" spans="1:15" ht="30">
      <c r="G14" s="46" t="s">
        <v>263</v>
      </c>
      <c r="H14" s="47">
        <v>2000</v>
      </c>
      <c r="I14" s="47">
        <v>2000</v>
      </c>
      <c r="J14" s="44">
        <f>GEOMEAN(H14,I14)</f>
        <v>2000</v>
      </c>
      <c r="K14" s="44">
        <f>LogVariance(H14,I14)</f>
        <v>0</v>
      </c>
      <c r="L14" s="103"/>
      <c r="M14" s="3"/>
      <c r="N14" s="3"/>
      <c r="O14" s="3"/>
    </row>
    <row r="15" spans="1:15">
      <c r="A15" s="22"/>
      <c r="B15" s="3"/>
      <c r="G15" s="85" t="s">
        <v>109</v>
      </c>
      <c r="H15" s="89">
        <f>1/I13</f>
        <v>1E-10</v>
      </c>
      <c r="I15" s="89">
        <f>1/H13</f>
        <v>9.9999999999999995E-7</v>
      </c>
      <c r="J15" s="44">
        <f>GEOMEAN(H15,I15)</f>
        <v>1E-8</v>
      </c>
      <c r="K15" s="44">
        <f>LogVariance(H15,I15)</f>
        <v>1.5606082921447579</v>
      </c>
      <c r="L15" s="103"/>
      <c r="M15" s="25"/>
      <c r="N15" s="3"/>
      <c r="O15" s="3"/>
    </row>
    <row r="16" spans="1:15">
      <c r="A16" s="8"/>
      <c r="B16" s="3"/>
      <c r="G16" s="90" t="s">
        <v>108</v>
      </c>
      <c r="H16" s="88"/>
      <c r="I16" s="88"/>
      <c r="J16" s="44">
        <f>J14*J15*D4*1000</f>
        <v>1.9518001458970664E-7</v>
      </c>
      <c r="K16" s="44">
        <f>K14+K15+E4</f>
        <v>1.6897459827146912</v>
      </c>
      <c r="L16" s="103"/>
      <c r="M16" s="3"/>
      <c r="O16" s="3"/>
    </row>
    <row r="17" spans="1:15">
      <c r="A17" s="8"/>
      <c r="B17" s="3"/>
      <c r="L17" s="103"/>
      <c r="M17" s="3"/>
      <c r="O17" s="3"/>
    </row>
    <row r="18" spans="1:15">
      <c r="A18" s="8"/>
      <c r="B18" s="3"/>
      <c r="L18" s="103"/>
      <c r="M18" s="3"/>
      <c r="N18" s="3"/>
      <c r="O18" s="3"/>
    </row>
    <row r="19" spans="1:15">
      <c r="A19" s="8"/>
      <c r="B19" s="3"/>
      <c r="G19" s="10" t="s">
        <v>110</v>
      </c>
      <c r="L19" s="103"/>
      <c r="M19" s="3"/>
      <c r="N19" s="3"/>
      <c r="O19" s="3"/>
    </row>
    <row r="20" spans="1:15">
      <c r="A20" s="22"/>
      <c r="B20" s="3"/>
      <c r="G20" s="5" t="s">
        <v>108</v>
      </c>
      <c r="J20">
        <f>GEOMEAN(J8,J16)</f>
        <v>2.4197934700488798E-7</v>
      </c>
      <c r="K20">
        <f>AVERAGE(K8,K16)</f>
        <v>1.6938795071938513</v>
      </c>
      <c r="L20" s="103" t="s">
        <v>269</v>
      </c>
      <c r="M20" s="3"/>
      <c r="N20" s="3"/>
      <c r="O20" s="3"/>
    </row>
    <row r="21" spans="1:15">
      <c r="A21" s="8"/>
      <c r="B21" s="3"/>
      <c r="L21" s="103"/>
    </row>
    <row r="22" spans="1:15">
      <c r="A22" s="8"/>
      <c r="B22" s="3"/>
      <c r="L22" s="103"/>
    </row>
    <row r="23" spans="1:15">
      <c r="H23" s="7" t="s">
        <v>156</v>
      </c>
      <c r="I23" s="7" t="s">
        <v>157</v>
      </c>
      <c r="L23" s="103"/>
    </row>
    <row r="24" spans="1:15">
      <c r="G24" s="5" t="s">
        <v>108</v>
      </c>
      <c r="H24">
        <f>J20</f>
        <v>2.4197934700488798E-7</v>
      </c>
      <c r="I24">
        <f>K20</f>
        <v>1.6938795071938513</v>
      </c>
      <c r="J24" s="3"/>
      <c r="K24" s="3"/>
      <c r="L24" s="143"/>
      <c r="M24" s="3"/>
    </row>
    <row r="25" spans="1:15">
      <c r="G25" s="8" t="s">
        <v>106</v>
      </c>
      <c r="H25">
        <f>'EV of Far Future'!L19</f>
        <v>4.0402885211266472E+46</v>
      </c>
      <c r="I25">
        <f>'EV of Far Future'!M19</f>
        <v>3.600201532086265</v>
      </c>
      <c r="J25" s="3"/>
      <c r="K25" s="3"/>
      <c r="L25" s="143"/>
      <c r="M25" s="3"/>
    </row>
    <row r="26" spans="1:15">
      <c r="G26" s="16" t="s">
        <v>52</v>
      </c>
      <c r="H26" s="14">
        <f>PRODUCT(H24:H25)</f>
        <v>9.7766637805357065E+39</v>
      </c>
      <c r="I26" s="14">
        <f>SUM(I24:I25)</f>
        <v>5.2940810392801163</v>
      </c>
      <c r="J26" s="3"/>
      <c r="K26" s="3"/>
      <c r="L26" s="143"/>
      <c r="M26" s="3"/>
    </row>
    <row r="27" spans="1:15">
      <c r="G27" s="8"/>
      <c r="H27" s="3"/>
      <c r="I27" s="3"/>
      <c r="J27" s="3"/>
      <c r="K27" s="3"/>
      <c r="L27" s="143"/>
      <c r="M27" s="3"/>
    </row>
    <row r="28" spans="1:15">
      <c r="G28" s="8"/>
      <c r="H28" s="3"/>
      <c r="I28" s="3"/>
      <c r="J28" s="3"/>
      <c r="K28" s="3"/>
      <c r="L28" s="143"/>
      <c r="M28" s="3"/>
    </row>
    <row r="29" spans="1:15">
      <c r="G29" s="22" t="s">
        <v>245</v>
      </c>
      <c r="H29" s="44" t="s">
        <v>0</v>
      </c>
      <c r="I29" s="44" t="s">
        <v>1</v>
      </c>
      <c r="J29" s="44" t="s">
        <v>156</v>
      </c>
      <c r="K29" s="44" t="s">
        <v>158</v>
      </c>
      <c r="L29" s="143" t="s">
        <v>209</v>
      </c>
      <c r="M29" s="3"/>
    </row>
    <row r="30" spans="1:15" ht="30">
      <c r="G30" s="91" t="s">
        <v>211</v>
      </c>
      <c r="H30" s="3">
        <v>0.1</v>
      </c>
      <c r="I30" s="3">
        <v>0.1</v>
      </c>
      <c r="J30" s="3"/>
      <c r="K30" s="3"/>
      <c r="L30" s="143" t="s">
        <v>214</v>
      </c>
      <c r="M30" s="3"/>
    </row>
    <row r="31" spans="1:15">
      <c r="G31" s="91" t="s">
        <v>212</v>
      </c>
      <c r="H31" s="3">
        <v>2040</v>
      </c>
      <c r="I31" s="3">
        <v>2100</v>
      </c>
      <c r="J31" s="3"/>
      <c r="K31" s="3"/>
      <c r="L31" s="143"/>
      <c r="M31" s="3"/>
    </row>
    <row r="32" spans="1:15">
      <c r="G32" s="91" t="s">
        <v>213</v>
      </c>
      <c r="H32" s="3">
        <f ca="1">H31-YEAR(TODAY())</f>
        <v>24</v>
      </c>
      <c r="I32" s="3">
        <f ca="1">I31-YEAR(TODAY())</f>
        <v>84</v>
      </c>
      <c r="J32" s="3"/>
      <c r="K32" s="3"/>
      <c r="L32" s="143"/>
      <c r="M32" s="3"/>
    </row>
    <row r="33" spans="7:12" ht="30">
      <c r="G33" s="8" t="s">
        <v>215</v>
      </c>
      <c r="H33">
        <f ca="1">H4/LN(1+H30)*(1-1/((1+H30)^H32))</f>
        <v>1885.3692309674122</v>
      </c>
      <c r="I33">
        <f ca="1">I4/LN(1+I30)*(1-1/((1+I30)^I32))</f>
        <v>104885.60241393384</v>
      </c>
      <c r="J33" s="44">
        <f ca="1">GEOMEAN(H33,I33)</f>
        <v>14062.293111819003</v>
      </c>
      <c r="K33" s="44">
        <f ca="1">LogVariance(H33,I33)</f>
        <v>0.68094000612010941</v>
      </c>
      <c r="L33" s="103" t="s">
        <v>216</v>
      </c>
    </row>
    <row r="34" spans="7:12" ht="45">
      <c r="G34" s="5" t="s">
        <v>217</v>
      </c>
      <c r="L34" s="10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L24"/>
  <sheetViews>
    <sheetView workbookViewId="0">
      <selection activeCell="I18" sqref="I18"/>
    </sheetView>
  </sheetViews>
  <sheetFormatPr baseColWidth="10" defaultRowHeight="15" x14ac:dyDescent="0"/>
  <cols>
    <col min="1" max="1" width="21.6640625" customWidth="1"/>
    <col min="2" max="2" width="12.1640625" bestFit="1" customWidth="1"/>
    <col min="4" max="4" width="12.1640625" bestFit="1" customWidth="1"/>
    <col min="8" max="8" width="21.6640625" customWidth="1"/>
    <col min="9" max="9" width="12.83203125" bestFit="1" customWidth="1"/>
    <col min="10" max="10" width="12.1640625" bestFit="1" customWidth="1"/>
    <col min="12" max="12" width="12.1640625" bestFit="1" customWidth="1"/>
  </cols>
  <sheetData>
    <row r="1" spans="1:10" ht="20">
      <c r="A1" s="6" t="s">
        <v>120</v>
      </c>
      <c r="H1" s="1" t="s">
        <v>137</v>
      </c>
    </row>
    <row r="2" spans="1:10">
      <c r="B2" s="44" t="s">
        <v>0</v>
      </c>
      <c r="C2" s="44" t="s">
        <v>1</v>
      </c>
      <c r="D2" s="44" t="s">
        <v>156</v>
      </c>
      <c r="E2" s="44" t="s">
        <v>158</v>
      </c>
      <c r="F2" s="44" t="s">
        <v>27</v>
      </c>
      <c r="I2" t="s">
        <v>156</v>
      </c>
      <c r="J2" s="44" t="s">
        <v>158</v>
      </c>
    </row>
    <row r="3" spans="1:10">
      <c r="A3" s="94" t="s">
        <v>123</v>
      </c>
      <c r="B3" s="43">
        <v>0.1</v>
      </c>
      <c r="C3" s="43">
        <v>0.5</v>
      </c>
      <c r="D3" s="74">
        <f>GEOMEAN(B3,C3)</f>
        <v>0.22360679774997896</v>
      </c>
      <c r="E3" s="74">
        <f>LogVariance(B3,C3)</f>
        <v>0.27270459618181209</v>
      </c>
      <c r="F3" s="39"/>
      <c r="H3" t="s">
        <v>177</v>
      </c>
      <c r="I3">
        <f>VLOOKUP(H3,'EV of Far Future'!$K$3:$M$14,2,FALSE)</f>
        <v>6.3245553203367595E+46</v>
      </c>
      <c r="J3">
        <f>VLOOKUP(H3,'EV of Far Future'!$K$3:$M$14,3,FALSE)</f>
        <v>3.5113686573257055</v>
      </c>
    </row>
    <row r="4" spans="1:10" ht="30">
      <c r="A4" s="95" t="s">
        <v>127</v>
      </c>
      <c r="B4" s="47">
        <v>0.2</v>
      </c>
      <c r="C4" s="47">
        <v>0.8</v>
      </c>
      <c r="D4" s="74">
        <f>GEOMEAN(B4,C4)</f>
        <v>0.4</v>
      </c>
      <c r="E4" s="74">
        <f>LogVariance(B4,C4)</f>
        <v>0.23489495370875477</v>
      </c>
      <c r="F4" s="39"/>
      <c r="H4" t="s">
        <v>178</v>
      </c>
      <c r="I4">
        <f>VLOOKUP(H4,'EV of Far Future'!$K$3:$M$14,2,FALSE)</f>
        <v>1.2649110640673518E+46</v>
      </c>
      <c r="J4">
        <f>VLOOKUP(H4,'EV of Far Future'!$K$3:$M$14,3,FALSE)</f>
        <v>3.5113686573257055</v>
      </c>
    </row>
    <row r="5" spans="1:10" ht="30" customHeight="1">
      <c r="A5" s="101" t="s">
        <v>198</v>
      </c>
      <c r="B5" s="102">
        <v>0.1</v>
      </c>
      <c r="C5" s="102">
        <v>0.6</v>
      </c>
      <c r="D5" s="74">
        <f>GEOMEAN(B5,C5)</f>
        <v>0.2449489742783178</v>
      </c>
      <c r="E5" s="74">
        <f>LogVariance(B5,C5)</f>
        <v>0.30359732347288149</v>
      </c>
      <c r="F5" s="39"/>
      <c r="H5" t="s">
        <v>182</v>
      </c>
      <c r="I5">
        <f>VLOOKUP(H5,'EV of Far Future'!$K$3:$M$14,2,FALSE)</f>
        <v>5.4644157967709579E+33</v>
      </c>
      <c r="J5">
        <f>VLOOKUP(H5,'EV of Far Future'!$K$3:$M$14,3,FALSE)</f>
        <v>2.7310645112533267</v>
      </c>
    </row>
    <row r="6" spans="1:10" ht="45">
      <c r="A6" s="46" t="s">
        <v>199</v>
      </c>
      <c r="B6" s="47">
        <v>5000</v>
      </c>
      <c r="C6" s="47">
        <v>100000</v>
      </c>
      <c r="D6" s="44"/>
      <c r="E6" s="44"/>
      <c r="F6" s="39" t="s">
        <v>201</v>
      </c>
      <c r="H6" t="s">
        <v>179</v>
      </c>
      <c r="I6">
        <f>VLOOKUP(H6,'EV of Far Future'!$K$3:$M$14,2,FALSE)</f>
        <v>5.1200000000000003E+36</v>
      </c>
      <c r="J6">
        <f>VLOOKUP(H6,'EV of Far Future'!$K$3:$M$14,3,FALSE)</f>
        <v>3.1212165842895159</v>
      </c>
    </row>
    <row r="7" spans="1:10" ht="30">
      <c r="A7" s="87" t="s">
        <v>200</v>
      </c>
      <c r="B7" s="86">
        <f>1/C6</f>
        <v>1.0000000000000001E-5</v>
      </c>
      <c r="C7" s="86">
        <f>1/B6</f>
        <v>2.0000000000000001E-4</v>
      </c>
      <c r="D7" s="74">
        <f>GEOMEAN(B7,C7)</f>
        <v>4.4721359549995795E-5</v>
      </c>
      <c r="E7" s="74">
        <f>LogVariance(B7,C7)</f>
        <v>0.50759954989056688</v>
      </c>
      <c r="F7" s="39"/>
      <c r="H7" t="s">
        <v>180</v>
      </c>
      <c r="I7">
        <f>VLOOKUP(H7,'EV of Far Future'!$K$3:$M$14,2,FALSE)</f>
        <v>1.6190861620062103E+40</v>
      </c>
      <c r="J7">
        <f>VLOOKUP(H7,'EV of Far Future'!$K$3:$M$14,3,FALSE)</f>
        <v>3.5113686573257055</v>
      </c>
    </row>
    <row r="8" spans="1:10" ht="30">
      <c r="A8" s="46" t="s">
        <v>125</v>
      </c>
      <c r="B8" s="47">
        <v>0.5</v>
      </c>
      <c r="C8" s="47">
        <v>5</v>
      </c>
      <c r="D8" s="74">
        <f>GEOMEAN(B8,C8)</f>
        <v>1.5811388300841898</v>
      </c>
      <c r="E8" s="74">
        <f>LogVariance(B8,C8)</f>
        <v>0.39015207303618948</v>
      </c>
      <c r="F8" s="39" t="s">
        <v>264</v>
      </c>
      <c r="H8" t="s">
        <v>181</v>
      </c>
      <c r="I8">
        <f>VLOOKUP(H8,'EV of Far Future'!$K$3:$M$14,2,FALSE)</f>
        <v>3.8399999999999992E+38</v>
      </c>
      <c r="J8">
        <f>VLOOKUP(H8,'EV of Far Future'!$K$3:$M$14,3,FALSE)</f>
        <v>4.6818248764342734</v>
      </c>
    </row>
    <row r="9" spans="1:10" ht="45">
      <c r="A9" s="46" t="s">
        <v>126</v>
      </c>
      <c r="B9" s="47">
        <v>1000</v>
      </c>
      <c r="C9" s="47">
        <v>100000</v>
      </c>
      <c r="D9" s="74"/>
      <c r="E9" s="74"/>
      <c r="F9" s="39"/>
    </row>
    <row r="10" spans="1:10">
      <c r="A10" s="85" t="s">
        <v>129</v>
      </c>
      <c r="B10" s="86">
        <f>1000/C9</f>
        <v>0.01</v>
      </c>
      <c r="C10" s="86">
        <f>1000/B9</f>
        <v>1</v>
      </c>
      <c r="D10" s="74">
        <f>GEOMEAN(B10,C10)</f>
        <v>0.1</v>
      </c>
      <c r="E10" s="74">
        <f>LogVariance(B10,C10)</f>
        <v>0.78030414607237897</v>
      </c>
      <c r="F10" s="39"/>
      <c r="H10" s="15" t="s">
        <v>176</v>
      </c>
      <c r="I10" s="14">
        <f t="shared" ref="I10:I15" si="0">D13*I3</f>
        <v>1.4142135623730952E+45</v>
      </c>
      <c r="J10" s="14">
        <f t="shared" ref="J10:J15" si="1">E13+J3</f>
        <v>3.7840732535075174</v>
      </c>
    </row>
    <row r="11" spans="1:10" ht="45">
      <c r="A11" s="85" t="s">
        <v>130</v>
      </c>
      <c r="B11" s="86"/>
      <c r="C11" s="86"/>
      <c r="D11" s="74">
        <f>PRODUCT(D3:D8)*D10</f>
        <v>1.5491933384829672E-7</v>
      </c>
      <c r="E11" s="74">
        <f>SUM(E3:E8)+E10</f>
        <v>2.489252642362584</v>
      </c>
      <c r="F11" s="39"/>
      <c r="H11" s="15" t="s">
        <v>133</v>
      </c>
      <c r="I11" s="14">
        <f t="shared" si="0"/>
        <v>4.0000000000000004E+44</v>
      </c>
      <c r="J11" s="14">
        <f t="shared" si="1"/>
        <v>3.9015207303618951</v>
      </c>
    </row>
    <row r="12" spans="1:10">
      <c r="A12" s="85"/>
      <c r="B12" s="86"/>
      <c r="C12" s="86"/>
      <c r="D12" s="74"/>
      <c r="E12" s="74"/>
      <c r="F12" s="39"/>
      <c r="H12" s="15" t="s">
        <v>187</v>
      </c>
      <c r="I12" s="14">
        <f t="shared" si="0"/>
        <v>5.4644157967709579E+33</v>
      </c>
      <c r="J12" s="14">
        <f t="shared" si="1"/>
        <v>2.7310645112533267</v>
      </c>
    </row>
    <row r="13" spans="1:10" ht="60">
      <c r="A13" s="46" t="s">
        <v>265</v>
      </c>
      <c r="B13" s="47">
        <v>0.01</v>
      </c>
      <c r="C13" s="47">
        <v>0.05</v>
      </c>
      <c r="D13" s="74">
        <f t="shared" ref="D13:D18" si="2">GEOMEAN(B13,C13)</f>
        <v>2.2360679774997897E-2</v>
      </c>
      <c r="E13" s="74">
        <f t="shared" ref="E13:E18" si="3">LogVariance(B13,C13)</f>
        <v>0.27270459618181209</v>
      </c>
      <c r="F13" s="39"/>
      <c r="H13" s="15" t="s">
        <v>134</v>
      </c>
      <c r="I13" s="14">
        <f t="shared" si="0"/>
        <v>1.0240000000000001E+36</v>
      </c>
      <c r="J13" s="14">
        <f t="shared" si="1"/>
        <v>3.3561115379982707</v>
      </c>
    </row>
    <row r="14" spans="1:10" ht="30">
      <c r="A14" s="46" t="s">
        <v>266</v>
      </c>
      <c r="B14" s="47">
        <v>0.01</v>
      </c>
      <c r="C14" s="47">
        <v>0.1</v>
      </c>
      <c r="D14" s="74">
        <f t="shared" si="2"/>
        <v>3.1622776601683791E-2</v>
      </c>
      <c r="E14" s="74">
        <f t="shared" si="3"/>
        <v>0.39015207303618948</v>
      </c>
      <c r="F14" s="39"/>
      <c r="H14" s="15" t="s">
        <v>135</v>
      </c>
      <c r="I14" s="14">
        <f t="shared" si="0"/>
        <v>1.6190861620062104E+39</v>
      </c>
      <c r="J14" s="14">
        <f t="shared" si="1"/>
        <v>3.7462636110344603</v>
      </c>
    </row>
    <row r="15" spans="1:10" ht="30">
      <c r="A15" s="46" t="s">
        <v>267</v>
      </c>
      <c r="B15" s="47">
        <v>1</v>
      </c>
      <c r="C15" s="47">
        <v>1</v>
      </c>
      <c r="D15" s="74">
        <f t="shared" si="2"/>
        <v>1</v>
      </c>
      <c r="E15" s="74">
        <f t="shared" si="3"/>
        <v>0</v>
      </c>
      <c r="F15" s="39"/>
      <c r="H15" s="15" t="s">
        <v>136</v>
      </c>
      <c r="I15" s="14">
        <f t="shared" si="0"/>
        <v>3.8399999999999994E+37</v>
      </c>
      <c r="J15" s="14">
        <f t="shared" si="1"/>
        <v>4.9167198301430277</v>
      </c>
    </row>
    <row r="16" spans="1:10" ht="30">
      <c r="A16" s="46" t="s">
        <v>131</v>
      </c>
      <c r="B16" s="47">
        <v>0.1</v>
      </c>
      <c r="C16" s="47">
        <v>0.4</v>
      </c>
      <c r="D16" s="74">
        <f t="shared" si="2"/>
        <v>0.2</v>
      </c>
      <c r="E16" s="74">
        <f t="shared" si="3"/>
        <v>0.23489495370875477</v>
      </c>
      <c r="F16" s="39"/>
      <c r="H16" s="30" t="s">
        <v>167</v>
      </c>
      <c r="I16" s="31" t="str">
        <f>WriteArray(SumLognormDists(I10:J15))</f>
        <v>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1.53160350210786E-322,1.29692232033327E-320,1.04147061880751E-318,8.2248096194484E-317,6.39560088807195E-315,4.89681688338299E-313,3.69167544482427E-311,2.74037795376272E-309,2.00297203320699E-307,1.44150761464095E-305,1.02149630341434E-303,7.1274574044927E-302,4.89678014487503E-300,3.31256872372814E-298,2.20646823368002E-296,1.44713526921114E-294,9.34543284385646E-293,5.94249379461013E-291,3.7206366225412E-289,2.29374514494957E-287,1.39236352687803E-285,8.32223299432522E-284,4.89786765599086E-282,2.83827423247554E-280,1.61950385773091E-278,9.09892606619879E-277,5.03360343284902E-275,2.74188203719477E-273,1.47061720483741E-271,7.76661587121799E-270,4.03873649779535E-268,2.06795424975965E-266,1.04260128145739E-264,5.17580268319299E-263,2.52999409796062E-261,1.21770995642144E-259,5.77099865458483E-258,2.69302926706761E-256,1.23741215197895E-254,5.598492553299E-253,2.49408632717101E-251,1.09404637796578E-249,4.72545994958694E-248,2.0097256450175E-246,8.4161608835089E-245,3.47037244167998E-243,1.40903955111233E-241,5.63320508947017E-240,2.21755023593849E-238,8.59561869632721E-237,3.28070239791038E-235,1.23294243728087E-233,4.56252535517637E-232,1.66247285476011E-230,5.96473119039383E-229,2.1072423910339E-227,7.33036639432375E-226,2.51087278664182E-224,8.46860443640626E-223,2.81246658560812E-221,9.19711377215554E-220,2.96145195799588E-218,9.38959919704749E-217,2.9314259977856E-215,9.01157341812783E-214,2.72779933932888E-212,8.13045063633613E-211,2.38620372827526E-209,6.89590759597582E-208,1.96230570878184E-206,5.49836460418629E-205,1.51702365972075E-203,4.121387463255E-202,1.10252167211242E-200,2.90418148165914E-199,7.5327513101884E-198,1.92387613134567E-196,4.83831929088969E-195,1.19813631531246E-193,2.9215449886633E-192,7.01477783297217E-191,1.658481457458E-189,3.86102880962569E-188,8.85098403356996E-187,1.99791285583846E-185,4.4407709712599E-184,9.71935500942217E-183,2.09466291201059E-181,4.44517502516866E-180,9.28885140660963E-179,1.9113226277673E-177,3.87262315119096E-176,7.72638142637109E-175,1.51791393416091E-173,2.93642343343104E-172,5.59359712782818E-171,1.0492164734594E-169,1.93794249013549E-168,3.52467432906121E-167,6.3124783083145E-166,1.11322786420681E-164,1.93317862600591E-163,3.30570532000303E-162,5.56622836573371E-161,9.22918048513975E-160,1.50685341102222E-158,2.422619116379E-157,3.8353594362646E-156,5.97907960641896E-155,9.178473982163E-154,1.38744272022384E-152,2.0652310444236E-151,3.02713508750731E-150,4.36923213015867E-149,6.20996552253625E-148,8.69129753321294E-147,1.19782126708004E-145,1.62559375133102E-144,2.17242733894468E-143,2.85885667605674E-142,3.70470859439908E-141,4.72749350337726E-140,5.94051000541147E-139,7.350774894092E-138,8.95694332794495E-137,1.07474285046507E-135,1.26989576915337E-134,1.4775803708117E-133,1.69299018945759E-132,1.91020001080618E-131,2.12238963033188E-130,2.32217031962536E-129,2.50199557164933E-128,2.65462610728599E-127,2.77361007678368E-126,2.85373441871584E-125,2.89140348801987E-124,2.88490665975329E-123,2.83454716291536E-122,2.74261862689014E-121,2.61323186583041E-120,2.45201012142562E-119,2.26568422794918E-118,2.06162825238373E-117,1.84738006085716E-116,1.63018974155248E-115,1.4166324441636E-114,1.21231220158245E-113,1.02167131314442E-112,8.47907636312762E-112,6.92991231679537E-111,5.57763420321751E-110,4.42096110228626E-109,3.45087355143249E-108,2.65270177357078E-107,2.00815030098974E-106,1.49711036154471E-105,1.09916445757904E-104,7.94738545222167E-104,5.659005754458E-103,3.96836681602731E-102,2.74056997687923E-101,1.86392757524699E-100,1.24846940595349e-99,8.23548603023879e-99,5.35013569878705e-98,3.42299616367837e-97,2.15683016820285e-96,1.33842897471833e-95,8.17987237135278e-95,4.92347312973391e-94,2.91858636988912e-93,1.70392944153813e-92,9.79740250786674e-92,5.54820950409214e-91,3.09442277349059e-90,1.69978403901144e-89,9.19597166861316e-89,4.89997465676493e-88,2.57149097081584e-87,1.32914953531212e-86,6.7664853628109e-86,3.39278072316801e-85,1.67553980275638e-84,8.15010270141879e-84,3.90466653237329e-83,1.84255566633719e-82,8.56399592220118e-82,3.92062163111572e-81,1.76790795553739e-80,7.85225364311644e-80,3.43528503560593e-79,1.48036562041255e-78,6.28372341822286e-78,2.62730947628618e-77,1.08207134082616e-76,4.38990975537882e-76,1.75434510603279e-75,6.90619883605847e-75,2.67813696092285e-74,1.02306063367643e-73,3.84990726207185e-73,1.42720081106608e-72,5.21208687296706e-72,1.8751499210078e-71,6.64606222569923e-71,2.32061648586744e-70,7.98288107537134e-70,2.70545474865458e-69,9.03342620360134e-69,2.97169275753631e-68,9.63168677953941e-68,3.07578523885495e-67,9.67772714946659e-67,3.00029032039854e-66,9.16505168500958e-66,2.75865788558529e-65,8.18204767835945e-65,2.39132030810472e-64,6.88709156919892e-64,1.95464340205372e-63,5.46694207698058e-63,1.50688053552564e-62,4.0933912446284e-62,1.09590009827195e-61,2.89171638499877e-61,7.52058742624838e-61,1.92785376712818e-60,4.8712252222113e-60,1.21327799307707e-59,2.97890936229481e-59,7.21018970124378e-59,1.72046892475657e-58,4.04740610169734e-58,9.3876393593065e-58,2.14687300377004e-57,4.84114599909056e-57,1.07647581021098e-56,2.36046707532696e-56,5.10450270150963e-56,1.08866923754691e-55,2.29008540447515e-55,4.75168701454144e-55,9.72551568840978e-55,1.96370126249621e-54,3.9117091243936e-54,7.68807342835134e-54,1.49094259801113e-53,2.85318856270846e-53,5.38841489092685e-53,1.00435806195691e-52,1.84777983675079e-52,3.3557085982903e-52,6.0163070366628e-52,1.06494689519013e-51,1.86131413640667e-51,3.21253430582381e-51,5.47590465215532e-51,9.21910153735345e-51,1.53317413807655e-50,2.51890025979273e-50,4.08878542602486e-50,6.5582740629814e-50,1.03955010675401e-49,1.62858819148291e-49,2.52195333581935e-49,3.8607628776864e-49,5.84346358501835e-49,8.74540306570089e-49,1.29435376849999e-48,1.89470415004362e-48,2.74344815953281e-48,3.92980294357707e-48,5.56948648859769e-48,7.81054827404954e-48,1.08398021910118e-47,1.4889700659756e-47,2.02454033354667e-47,2.72516991802076e-47,3.63193423376335e-47,4.79302674636374e-47,6.26410679764697e-47,8.10840614152149e-47,1.03965240618822e-46,1.32058428239181e-46,1.6619502411374e-46,2.07248866404246e-46,2.56115920360191e-46,3.13688760343539e-46,3.8082611301362e-46,4.5831806820244e-46,5.46847919511234e-46,6.46951945139154e-46,7.58978754206627e-46,8.83050077380244e-46,1.01902504705166e-45,1.16647006981568e-45,1.32463632701047e-45,1.49244674032794e-45,1.66849391117138e-45,1.85105009670327e-45,2.03808974414578e-45,2.22732449794426e-45,2.41624995822053e-45,2.60220284347134e-45,2.78242663621689e-45,2.95414330520644e-45,3.1146283342408e-45,3.26128607002782e-45,3.39172234421254e-45,3.50381143137127e-45,3.59575466784658e-45,3.66612845805806e-45,3.71391990885055e-45,3.73854892548416e-45,3.7398762380275e-45,3.71819746603786e-45,3.67422393593182e-45,3.60905150684634e-45,3.52411911058185e-45,3.42115905036642e-45,3.30214132082678e-45,3.16921430509482e-45,3.02464417952309e-45,2.87075522379102e-45,2.70987301123466e-45,2.54427216156985e-45,2.37612999818264e-45,2.20748708739942e-45,2.04021526892036e-45,1.87599343375518e-45,1.7162909840946e-45,1.56235863034436e-45,1.41522595183647e-45,1.27570497346445e-45,1.14439889113301e-45,1.0217150119759e-45,9.07880955957198e-46,8.02963187251696e-46,7.06886999210469e-46,6.19457157858872e-46,5.40378507944396e-46,4.69275955250532e-46,4.05713352717744e-46,3.49210930348684e-46,2.99261015488429e-46,2.55341887523313e-46,2.16929697040973e-46,1.83508452694811e-46,1.54578138895807e-46,1.2966107417015e-46,1.08306654261886e-46,9.00946469057023e-47,7.46372179868042e-47,6.15798730292859e-47,5.06014951478047e-47,4.14136522681448e-47,3.37593339912056e-47,2.74112632330565e-47,2.2169910854547e-47,1.78613238594957e-47,1.43348601772522e-47,1.14609061694738e-47,9.12863726903185e-48,7.24386788424176e-48,5.7270240722172e-48,4.51126158401994e-48,3.54074270918492e-48,2.76907783002463e-48,2.15793162063384e-48,1.675789243249e-48,1.29687453846304e-48,1.00020990130014e-48,7.6880610946687e-49,5.88969658723305e-49,4.49715011892407e-49,3.42269447322787e-49,2.5965878211952e-49,1.96363045730008e-49,1.48032108660558e-49,1.11252263754851e-49,8.3355762951049e-50,6.2266293090282e-50,4.6374303568669e-50,3.44369589531455e-50,2.54982710272285e-50,1.88256627447488e-50,1.38598312087345e-50,1.01753111171748e-50,7.44959927515123e-51,5.43909119167973e-51,3.96040953630351e-51,2.87597857617494e-51,2.08292573288437e-51,1.50457777371139e-51,1.08397102366866e-51,7.78917869978456e-52,5.5827059786912e-52,3.99102474619836e-52,2.84588610586152e-52,2.02418537559497e-52,1.43611222424505e-52,1.01633503909269e-52,7.17464477301533e-53,5.05222812417425e-53,3.54885398672602e-53,2.48667533736705e-53,1.73811520342551e-53,1.21190592389858e-53,8.42931253858621e-54,5.84857429498346e-54,4.04803163137709e-54,2.79495608494188e-54,1.92505983275363e-54,1.32267266328792e-54,9.06567193327453e-55,6.19851302043625e-55,4.22780770117828e-55,2.87662533192543e-55,1.95250352511618e-55,1.32202846963089e-55,8.92956251346161e-56,6.01672045653734e-56,4.04417188724949e-56,2.71168541521813e-56,1.81379714813078e-56,1.21025698494412e-56,8.05574490252594e-57,5.34900223032566e-57,3.54306040999313e-57,2.34111515693301e-57,1.54313945581657e-57,1.01467157872148e-57,6.65554284745138e-58,4.35490707004529e-58,2.84257204061979e-58,1.85089172832201e-58,1.2022291939107e-58,7.78986672693957e-59,5.0351113278314e-59,3.24656584886591e-59,2.08821517385049e-59,1.33986789816864e-59,8.57598944108156e-60,5.47572762959839e-60,3.48766377969114e-60,2.21596242974911e-60,1.40451060532392e-60,8.88019178871936e-61,5.60085345815171e-61,3.52387479343093e-61,2.21167332736886e-61,1.3846997201796e-61,8.64816974677687e-62,5.38798838250328e-62,3.34859643559688e-62,2.07602490234125e-62,1.28391351610612e-62,7.92085979031287e-63,4.87463502568636e-63,2.99257463938153e-63,1.83265565423835e-63,1.11956582395857e-63,6.82261973419504e-64,4.1474901557485e-64,2.51508183450259e-64,1.52142774693934e-64,9.18085013394584e-65,5.52645601780108e-65,3.31850666686422e-65,1.98779105329582e-65,1.18776557891169e-65,7.07982648148125e-66,4.20965278372092e-66,2.49690278854726e-66,1.47736770501316e-66,8.71981139788236e-67,5.13401368811039e-67,3.01535404220328e-67,1.76665146924524e-67,1.03251090353974e-67,6.01962639230457e-68,3.50086591162303e-68,2.03101154026773e-68,1.17538517349144e-68,6.78545317494405e-69,3.90758353974882e-69,2.24475207647743e-69,1.28634991934039e-69,7.35326863787092e-70,4.19307128502937e-70,2.38514344286571e-70,1.35340302751912e-70,7.66072919838573e-71,4.32557002414697e-71,2.43638994009577e-71,1.36892737692383e-71,7.67262775935198e-72,4.28980850779841e-72,2.39255368816766e-72,1.33111457319535e-72,7.38752728979429e-73,4.08989941131386e-73,2.25868662725949e-73,1.24431150545903e-73,6.83804563152388e-74,3.74856092902097e-74,2.04987235019823e-74,1.11819793863302e-74,6.08471369501146e-75,3.30286760644862e-75,1.78842901344147e-75,9.66010261867936e-76,5.20500600320075e-76,2.79762926382048e-76,1.49999045109179e-76,8.02261968660468e-77,4.2802907300027e-77,2.27803116630904e-77,1.20941502843541e-77,6.40501786731003e-78,3.38372137868043e-78,1.78319193490887e-78,9.37412662794798e-79,4.9157835573342e-79,2.57148435590735e-79,1.34185072087007e-79,6.98479544174927e-80,3.62687292190423e-80,1.8786251646524e-80,9.70682214472074e-81,5.00314559766164e-81,2.57239902943083e-81,1.3193579960607e-81,6.75019139324003e-82,3.44507463089038e-82,1.75392207745929e-82,8.90740229914429e-83,4.51253884558754e-83,2.28044685161602e-83,1.14960349457843e-83,5.78103127776336e-84,2.8999578939416e-84,1.45113294389241e-84,7.24355656361936e-85,3.60682992411049e-85,1.79154877966222e-85,8.87688896883545e-86,4.38755050212642e-86,2.16327969377927e-86,1.06397748885264e-86,5.220131491249e-87,2.55481643712414e-87,1.24728941227444e-87,6.07440949814868e-88,2.95100682607684e-88,1.43009768464522e-88,6.91338206792947e-89,3.33384040553658e-89,1.60371972831171e-89,7.69558403418746e-90,3.68369933063918e-90,1.75896125573663e-90,8.37833868277876e-91,3.98097201721844e-91,1.88690461496898e-91,8.92155205498452e-92,4.20785304377666e-92,1.97975038533608e-92,9.29159070190627e-93,4.35010269162462e-93,2.03160276457719e-93,9.46472440348611e-94,4.39852523072264e-94,2.03908902518365e-94,9.4296445051191e-95,4.34995272248765e-95,2.00172258115984e-95,9.18868636099127e-96,4.20758801880898e-96,1.92195533093988e-96,8.75757217766259e-97,3.98065532921446e-97,1.80491144845386e-97,8.16371360294956e-98,3.68341134246856e-98,1.65784279533238e-98,7.44332877489938e-99,3.33366424749332e-99,1.48938638957693e-99,6.63779512388661E-100,2.95101433285608E-100,1.30872946526593E-100,5.78974723963314E-101,2.55505685338647E-101,1.12479363781217E-101,4.93942657645496E-102,2.1637730114126E-102,9.45536790489745E-103,4.12170416018191E-103,1.79228447042638E-103,7.77443607060725E-104,3.36405255912833E-104,1.45207370852388E-104,6.25239864371752E-105,2.68557239006303E-105,1.15069273158612E-105,4.91829166672373E-106,2.09701576520885E-106,8.91911411446605E-107,3.78420330527143E-107,1.60162199311946E-107,6.7620522061719E-108,2.84793490859356E-108,1.19650565651638E-108,5.01455877693257E-109,2.09644796106152E-109,8.74317068823091E-110,3.63736981677661E-110,1.50952293275145E-110,6.24922055051893E-111,2.58075036499208E-111,1.0631640441545E-111,4.36906829389828E-112,1.7910668257148E-112,7.32435332625778E-113,2.98786837331068E-113,1.21587367294789E-113,4.93571881215029E-114,1.99869935135529E-114,8.07383345585946E-115,3.25347523231708E-115,1.30782844201996E-115,5.2443269552984E-116,2.097802538846E-116,8.37096406018643E-117,3.33213457332586E-117,1.3231404185056E-117,5.24114112081167E-118,2.07101122453678E-118,8.16349073823216E-119,3.21000997104792E-119,1.25914011189555E-119,4.926960900358E-120,1.92318795911056E-120,7.48862508731804E-121,2.9088436110616E-121,1.12713717015818E-121,4.35683864672997E-122,1.67998219462892E-122,6.46214315839918E-123,2.47963274270183E-123,9.49155223307741E-124,3.62431900936367E-124,1.38055938531348E-124,5.24594191805075E-125,1.98852833291296E-125,7.51934865485623E-126,2.83641002599751E-126,1.06732914836859E-126,4.00653110302823E-127,1.5003054316414E-127,5.604438216225E-128,2.0884590336624E-128,7.76357116601323E-129,2.87898268872341E-129,1.06502240309686E-129,3.93025607962267E-130,1.44685700235497E-130,5.31340935019201E-131,1.94654340234648E-131,7.11374525869371E-132,2.59343985915675E-132,9.43187342792404E-133,3.42187322708301E-133,1.23843808098762E-133,4.47125432738109E-134,1.61038386023065E-134,5.7859499683995E-135,2.0737931656115E-135,7.41484330997965E-136,2.64474964576342E-136,9.41051706868901E-137,3.34032725167332E-137,1.18280034160633E-137,4.17812132285147E-138,1.47230613452709E-138,5.17562684698236E-139,1.81499672632794E-139,</v>
      </c>
      <c r="J16" s="31" t="s">
        <v>148</v>
      </c>
    </row>
    <row r="17" spans="1:12" ht="30">
      <c r="A17" s="46" t="s">
        <v>132</v>
      </c>
      <c r="B17" s="47">
        <v>0.05</v>
      </c>
      <c r="C17" s="47">
        <v>0.2</v>
      </c>
      <c r="D17" s="74">
        <f t="shared" si="2"/>
        <v>0.1</v>
      </c>
      <c r="E17" s="74">
        <f t="shared" si="3"/>
        <v>0.23489495370875477</v>
      </c>
      <c r="F17" s="39"/>
      <c r="H17" s="3" t="s">
        <v>151</v>
      </c>
      <c r="I17" s="3">
        <f>STupidExcelMean(I16)</f>
        <v>4.5107626437167748E+49</v>
      </c>
      <c r="J17" s="3">
        <f>STupidExcelVariance(I16,I17)</f>
        <v>6.9063207904531377E+107</v>
      </c>
      <c r="K17" s="3"/>
      <c r="L17" s="3"/>
    </row>
    <row r="18" spans="1:12" ht="30">
      <c r="A18" s="46" t="s">
        <v>124</v>
      </c>
      <c r="B18" s="47">
        <v>0.05</v>
      </c>
      <c r="C18" s="47">
        <v>0.2</v>
      </c>
      <c r="D18" s="74">
        <f t="shared" si="2"/>
        <v>0.1</v>
      </c>
      <c r="E18" s="74">
        <f t="shared" si="3"/>
        <v>0.23489495370875477</v>
      </c>
      <c r="F18" s="39"/>
      <c r="H18" s="15" t="s">
        <v>163</v>
      </c>
      <c r="I18" s="14">
        <f>EXP(MuFromParams(ABS(I17),J17))</f>
        <v>2.4483673318138147E+45</v>
      </c>
      <c r="J18" s="14">
        <f>(SigmaFromParams(I17,J17) / LN(10))^2</f>
        <v>3.7048562608731159</v>
      </c>
      <c r="K18" s="3"/>
      <c r="L18" s="3"/>
    </row>
    <row r="19" spans="1:12">
      <c r="K19" s="3"/>
      <c r="L19" s="3"/>
    </row>
    <row r="20" spans="1:12">
      <c r="K20" s="3"/>
      <c r="L20" s="3"/>
    </row>
    <row r="21" spans="1:12">
      <c r="K21" s="3"/>
      <c r="L21" s="3"/>
    </row>
    <row r="22" spans="1:12" ht="20">
      <c r="A22" s="6" t="s">
        <v>59</v>
      </c>
    </row>
    <row r="23" spans="1:12">
      <c r="A23" s="33" t="s">
        <v>169</v>
      </c>
      <c r="B23" s="100">
        <f>ParetoPosterior(median,alpha,I18:J18)</f>
        <v>7.21322996525908E+36</v>
      </c>
    </row>
    <row r="24" spans="1:12" ht="30">
      <c r="A24" s="33" t="s">
        <v>170</v>
      </c>
      <c r="B24" s="100">
        <f>LognormPosterior(mu_far_future,sigma_far_future,I18:J18)</f>
        <v>25902525.57153099</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Summary</vt:lpstr>
      <vt:lpstr>Globals</vt:lpstr>
      <vt:lpstr>EV of Far Future</vt:lpstr>
      <vt:lpstr>GiveDirectly</vt:lpstr>
      <vt:lpstr>THL</vt:lpstr>
      <vt:lpstr>Cage-Free</vt:lpstr>
      <vt:lpstr>AI Safety</vt:lpstr>
      <vt:lpstr>AI Targeted Values Spreading</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Dickens</dc:creator>
  <cp:lastModifiedBy>Michael Dickens</cp:lastModifiedBy>
  <dcterms:created xsi:type="dcterms:W3CDTF">2016-03-23T01:55:09Z</dcterms:created>
  <dcterms:modified xsi:type="dcterms:W3CDTF">2016-05-18T02:46:33Z</dcterms:modified>
</cp:coreProperties>
</file>