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340" tabRatio="500" activeTab="4"/>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I13" i="2" l="1"/>
  <c r="I13" i="3"/>
  <c r="L15" i="3"/>
  <c r="L16" i="3"/>
  <c r="M16" i="3"/>
  <c r="L6" i="3"/>
  <c r="L7" i="3"/>
  <c r="M7" i="3"/>
  <c r="M18" i="3"/>
  <c r="L18" i="3"/>
  <c r="M19" i="3"/>
  <c r="H13" i="5"/>
  <c r="I13" i="5"/>
  <c r="O9" i="3"/>
  <c r="G16" i="3"/>
  <c r="L9" i="3"/>
  <c r="I13" i="1"/>
  <c r="E7" i="1"/>
  <c r="D7" i="1"/>
  <c r="G5" i="5"/>
  <c r="L19" i="3"/>
  <c r="L13" i="5"/>
  <c r="L14" i="5"/>
  <c r="L25" i="5"/>
  <c r="M13" i="5"/>
  <c r="M14" i="5"/>
  <c r="M25" i="5"/>
  <c r="L27" i="5"/>
  <c r="L28" i="5"/>
  <c r="M28" i="5"/>
  <c r="G13" i="5"/>
  <c r="G14" i="5"/>
  <c r="H14" i="5"/>
  <c r="H15" i="5"/>
  <c r="G15" i="5"/>
  <c r="C24" i="5"/>
  <c r="B24" i="5"/>
  <c r="C25" i="5"/>
  <c r="B25" i="5"/>
  <c r="B31" i="5"/>
  <c r="C3" i="7"/>
  <c r="I14" i="12"/>
  <c r="G15" i="3"/>
  <c r="I13" i="12"/>
  <c r="E15" i="1"/>
  <c r="D16" i="1"/>
  <c r="I16" i="12"/>
  <c r="I17" i="12"/>
  <c r="N21" i="12"/>
  <c r="J14" i="12"/>
  <c r="H15" i="3"/>
  <c r="H3" i="3"/>
  <c r="H16" i="3"/>
  <c r="M9" i="3"/>
  <c r="J13" i="12"/>
  <c r="E16" i="1"/>
  <c r="J16" i="12"/>
  <c r="J17" i="12"/>
  <c r="O21" i="12"/>
  <c r="I25" i="12"/>
  <c r="G21" i="3"/>
  <c r="G22" i="3"/>
  <c r="L10" i="3"/>
  <c r="I24" i="12"/>
  <c r="I27" i="12"/>
  <c r="I28" i="12"/>
  <c r="N22" i="12"/>
  <c r="J25" i="12"/>
  <c r="H21" i="3"/>
  <c r="H22" i="3"/>
  <c r="M10" i="3"/>
  <c r="J24" i="12"/>
  <c r="J27" i="12"/>
  <c r="J28" i="12"/>
  <c r="O22" i="12"/>
  <c r="I35" i="12"/>
  <c r="G27" i="3"/>
  <c r="G28" i="3"/>
  <c r="L11" i="3"/>
  <c r="I34" i="12"/>
  <c r="I37" i="12"/>
  <c r="I38" i="12"/>
  <c r="N23" i="12"/>
  <c r="J35" i="12"/>
  <c r="H27" i="3"/>
  <c r="H28" i="3"/>
  <c r="M11" i="3"/>
  <c r="J34" i="12"/>
  <c r="J37" i="12"/>
  <c r="J38" i="12"/>
  <c r="O23" i="12"/>
  <c r="N5" i="12"/>
  <c r="G34" i="3"/>
  <c r="G35" i="3"/>
  <c r="L12" i="3"/>
  <c r="N4" i="12"/>
  <c r="N7" i="12"/>
  <c r="N8" i="12"/>
  <c r="N24" i="12"/>
  <c r="O5" i="12"/>
  <c r="H34" i="3"/>
  <c r="H35" i="3"/>
  <c r="M12" i="3"/>
  <c r="O4" i="12"/>
  <c r="O7" i="12"/>
  <c r="O8" i="12"/>
  <c r="O24" i="12"/>
  <c r="N14" i="12"/>
  <c r="C27" i="2"/>
  <c r="G27" i="2"/>
  <c r="K27" i="2"/>
  <c r="B10" i="3"/>
  <c r="B11" i="3"/>
  <c r="L4" i="3"/>
  <c r="N13" i="12"/>
  <c r="N16" i="12"/>
  <c r="N17" i="12"/>
  <c r="N25" i="12"/>
  <c r="O14" i="12"/>
  <c r="H27" i="2"/>
  <c r="L27" i="2"/>
  <c r="C10" i="3"/>
  <c r="C11" i="3"/>
  <c r="M4" i="3"/>
  <c r="O13" i="12"/>
  <c r="O16" i="12"/>
  <c r="O17" i="12"/>
  <c r="O25" i="12"/>
  <c r="N26" i="12"/>
  <c r="N27" i="12"/>
  <c r="O27" i="12"/>
  <c r="C17" i="12"/>
  <c r="B17" i="12"/>
  <c r="C18" i="12"/>
  <c r="B18" i="12"/>
  <c r="B20" i="12"/>
  <c r="I7" i="12"/>
  <c r="B24" i="12"/>
  <c r="C5" i="7"/>
  <c r="D5" i="7"/>
  <c r="B19" i="12"/>
  <c r="B23" i="12"/>
  <c r="B5" i="7"/>
  <c r="E11" i="12"/>
  <c r="J26" i="12"/>
  <c r="J36" i="12"/>
  <c r="O6" i="12"/>
  <c r="O15" i="12"/>
  <c r="D11" i="12"/>
  <c r="I15" i="12"/>
  <c r="J15" i="12"/>
  <c r="I26" i="12"/>
  <c r="I36" i="12"/>
  <c r="N6" i="12"/>
  <c r="N15" i="12"/>
  <c r="O12" i="12"/>
  <c r="N12" i="12"/>
  <c r="O3" i="12"/>
  <c r="N3" i="12"/>
  <c r="J33" i="12"/>
  <c r="I33" i="12"/>
  <c r="J23" i="12"/>
  <c r="I23" i="12"/>
  <c r="D8" i="12"/>
  <c r="B4" i="12"/>
  <c r="C4" i="12"/>
  <c r="D4" i="12"/>
  <c r="D5" i="12"/>
  <c r="D6" i="12"/>
  <c r="D7" i="12"/>
  <c r="D9" i="12"/>
  <c r="E8" i="12"/>
  <c r="E4" i="12"/>
  <c r="E5" i="12"/>
  <c r="E6" i="12"/>
  <c r="E7" i="12"/>
  <c r="E9" i="12"/>
  <c r="J14" i="1"/>
  <c r="I14" i="1"/>
  <c r="I15" i="1"/>
  <c r="I16" i="1"/>
  <c r="N19" i="1"/>
  <c r="J13" i="1"/>
  <c r="J15" i="1"/>
  <c r="J16" i="1"/>
  <c r="O19" i="1"/>
  <c r="I24" i="1"/>
  <c r="I23" i="1"/>
  <c r="I25" i="1"/>
  <c r="I26" i="1"/>
  <c r="N20" i="1"/>
  <c r="J24" i="1"/>
  <c r="J23" i="1"/>
  <c r="J25" i="1"/>
  <c r="J26" i="1"/>
  <c r="O20" i="1"/>
  <c r="I33" i="1"/>
  <c r="I32" i="1"/>
  <c r="I34" i="1"/>
  <c r="I35" i="1"/>
  <c r="N21" i="1"/>
  <c r="J33" i="1"/>
  <c r="J32" i="1"/>
  <c r="J34" i="1"/>
  <c r="J35" i="1"/>
  <c r="O21" i="1"/>
  <c r="N5" i="1"/>
  <c r="N4" i="1"/>
  <c r="N6" i="1"/>
  <c r="N7" i="1"/>
  <c r="N22" i="1"/>
  <c r="O5" i="1"/>
  <c r="O4" i="1"/>
  <c r="O6" i="1"/>
  <c r="O7" i="1"/>
  <c r="O22" i="1"/>
  <c r="N13" i="1"/>
  <c r="N12" i="1"/>
  <c r="N14" i="1"/>
  <c r="N15" i="1"/>
  <c r="N23" i="1"/>
  <c r="O13" i="1"/>
  <c r="O12" i="1"/>
  <c r="O14" i="1"/>
  <c r="O15" i="1"/>
  <c r="O23" i="1"/>
  <c r="N24" i="1"/>
  <c r="I22" i="1"/>
  <c r="J22" i="1"/>
  <c r="I31" i="1"/>
  <c r="J31" i="1"/>
  <c r="N3" i="1"/>
  <c r="O3" i="1"/>
  <c r="N11" i="1"/>
  <c r="O11" i="1"/>
  <c r="N25" i="1"/>
  <c r="O25" i="1"/>
  <c r="C28" i="1"/>
  <c r="C29" i="1"/>
  <c r="B29" i="1"/>
  <c r="B31" i="1"/>
  <c r="D8" i="1"/>
  <c r="D9" i="1"/>
  <c r="D10" i="1"/>
  <c r="D12" i="1"/>
  <c r="E8" i="1"/>
  <c r="E9" i="1"/>
  <c r="E10" i="1"/>
  <c r="E12" i="1"/>
  <c r="D13" i="1"/>
  <c r="E13" i="1"/>
  <c r="D14" i="1"/>
  <c r="I7" i="1"/>
  <c r="B35" i="1"/>
  <c r="B4" i="1"/>
  <c r="C4" i="1"/>
  <c r="D4" i="1"/>
  <c r="D11" i="1"/>
  <c r="E4" i="1"/>
  <c r="E11" i="1"/>
  <c r="E10" i="12"/>
  <c r="J3" i="12"/>
  <c r="J4" i="12"/>
  <c r="J5" i="12"/>
  <c r="D10" i="12"/>
  <c r="I3" i="12"/>
  <c r="I4" i="12"/>
  <c r="I5" i="12"/>
  <c r="I6" i="12"/>
  <c r="J6" i="7"/>
  <c r="K3" i="6"/>
  <c r="K5" i="6"/>
  <c r="K6" i="6"/>
  <c r="K7" i="6"/>
  <c r="E4" i="6"/>
  <c r="K8" i="6"/>
  <c r="K14" i="6"/>
  <c r="K15" i="6"/>
  <c r="K16" i="6"/>
  <c r="K20" i="6"/>
  <c r="E17" i="7"/>
  <c r="I4" i="7"/>
  <c r="D17" i="7"/>
  <c r="H4" i="7"/>
  <c r="K4" i="7"/>
  <c r="F4" i="2"/>
  <c r="G4" i="2"/>
  <c r="D18" i="1"/>
  <c r="E18" i="1"/>
  <c r="D19" i="1"/>
  <c r="E19" i="1"/>
  <c r="D20" i="1"/>
  <c r="E20" i="1"/>
  <c r="D21" i="1"/>
  <c r="E21" i="1"/>
  <c r="K5" i="7"/>
  <c r="G12" i="7"/>
  <c r="B26" i="5"/>
  <c r="G4" i="5"/>
  <c r="B30" i="5"/>
  <c r="B3" i="7"/>
  <c r="F12" i="7"/>
  <c r="K3" i="7"/>
  <c r="E18" i="7"/>
  <c r="D18" i="7"/>
  <c r="G18" i="7"/>
  <c r="G17" i="7"/>
  <c r="H3" i="5"/>
  <c r="D4" i="2"/>
  <c r="I24" i="6"/>
  <c r="I25" i="6"/>
  <c r="I26" i="6"/>
  <c r="J7" i="6"/>
  <c r="J8" i="6"/>
  <c r="J20" i="6"/>
  <c r="H24" i="6"/>
  <c r="H25" i="6"/>
  <c r="H26" i="6"/>
  <c r="B12" i="6"/>
  <c r="C6" i="7"/>
  <c r="G15" i="7"/>
  <c r="E23" i="7"/>
  <c r="D23" i="7"/>
  <c r="D22" i="7"/>
  <c r="G23" i="7"/>
  <c r="E24" i="7"/>
  <c r="D24" i="7"/>
  <c r="G24" i="7"/>
  <c r="E19" i="7"/>
  <c r="D19" i="7"/>
  <c r="G19" i="7"/>
  <c r="E20" i="7"/>
  <c r="D20" i="7"/>
  <c r="G20" i="7"/>
  <c r="E21" i="7"/>
  <c r="D21" i="7"/>
  <c r="G21" i="7"/>
  <c r="E22" i="7"/>
  <c r="G22" i="7"/>
  <c r="C4" i="7"/>
  <c r="G13" i="7"/>
  <c r="K6" i="7"/>
  <c r="G14" i="7"/>
  <c r="J3" i="1"/>
  <c r="H23" i="2"/>
  <c r="J23" i="2"/>
  <c r="L23" i="2"/>
  <c r="J4" i="1"/>
  <c r="J5" i="1"/>
  <c r="I4" i="1"/>
  <c r="I3" i="1"/>
  <c r="I5" i="1"/>
  <c r="I6" i="1"/>
  <c r="J5" i="7"/>
  <c r="J3" i="7"/>
  <c r="H24" i="2"/>
  <c r="J24" i="2"/>
  <c r="L24" i="2"/>
  <c r="I3" i="10"/>
  <c r="I10" i="10"/>
  <c r="J3" i="10"/>
  <c r="J10" i="10"/>
  <c r="B30" i="2"/>
  <c r="C30" i="2"/>
  <c r="G30" i="2"/>
  <c r="K30" i="2"/>
  <c r="B25" i="3"/>
  <c r="B26" i="3"/>
  <c r="O14" i="3"/>
  <c r="L14" i="3"/>
  <c r="I4" i="10"/>
  <c r="I11" i="10"/>
  <c r="H30" i="2"/>
  <c r="L30" i="2"/>
  <c r="C25" i="3"/>
  <c r="C26" i="3"/>
  <c r="M14" i="3"/>
  <c r="J4" i="10"/>
  <c r="J11" i="10"/>
  <c r="I5" i="10"/>
  <c r="I12" i="10"/>
  <c r="J5" i="10"/>
  <c r="J12" i="10"/>
  <c r="I6" i="10"/>
  <c r="I13" i="10"/>
  <c r="J6" i="10"/>
  <c r="J13" i="10"/>
  <c r="I7" i="10"/>
  <c r="I14" i="10"/>
  <c r="J7" i="10"/>
  <c r="J14" i="10"/>
  <c r="I8" i="10"/>
  <c r="I15" i="10"/>
  <c r="J8" i="10"/>
  <c r="J15" i="10"/>
  <c r="I16" i="10"/>
  <c r="G4" i="3"/>
  <c r="G14" i="3"/>
  <c r="P36" i="2"/>
  <c r="P37" i="2"/>
  <c r="H4" i="3"/>
  <c r="P39" i="2"/>
  <c r="H14" i="3"/>
  <c r="G20" i="3"/>
  <c r="P40" i="2"/>
  <c r="H20" i="3"/>
  <c r="H25" i="2"/>
  <c r="J25" i="2"/>
  <c r="L25" i="2"/>
  <c r="G26" i="3"/>
  <c r="P41" i="2"/>
  <c r="H26" i="3"/>
  <c r="H26" i="2"/>
  <c r="J26" i="2"/>
  <c r="L26" i="2"/>
  <c r="G32" i="3"/>
  <c r="G33" i="3"/>
  <c r="H32" i="3"/>
  <c r="P42" i="2"/>
  <c r="H33" i="3"/>
  <c r="B3" i="3"/>
  <c r="B4" i="3"/>
  <c r="B5" i="3"/>
  <c r="B6" i="3"/>
  <c r="L36" i="2"/>
  <c r="C3" i="3"/>
  <c r="L37" i="2"/>
  <c r="C4" i="3"/>
  <c r="L38" i="2"/>
  <c r="C5" i="3"/>
  <c r="L39" i="2"/>
  <c r="C6" i="3"/>
  <c r="J27" i="2"/>
  <c r="M10" i="5"/>
  <c r="M11" i="5"/>
  <c r="M12" i="5"/>
  <c r="O11" i="3"/>
  <c r="O10" i="3"/>
  <c r="O12" i="3"/>
  <c r="O4" i="3"/>
  <c r="I3" i="7"/>
  <c r="H3" i="7"/>
  <c r="I6" i="7"/>
  <c r="H6" i="7"/>
  <c r="B20" i="3"/>
  <c r="B21" i="3"/>
  <c r="O13" i="3"/>
  <c r="L13" i="3"/>
  <c r="H29" i="2"/>
  <c r="J29" i="2"/>
  <c r="L29" i="2"/>
  <c r="C20" i="3"/>
  <c r="C21" i="3"/>
  <c r="M13" i="3"/>
  <c r="J30" i="2"/>
  <c r="G8" i="3"/>
  <c r="G9" i="3"/>
  <c r="G10" i="3"/>
  <c r="O3" i="3"/>
  <c r="L3" i="3"/>
  <c r="P38" i="2"/>
  <c r="H8" i="3"/>
  <c r="H21" i="2"/>
  <c r="J21" i="2"/>
  <c r="L21" i="2"/>
  <c r="H9" i="3"/>
  <c r="H10" i="3"/>
  <c r="M3" i="3"/>
  <c r="C28" i="2"/>
  <c r="G28" i="2"/>
  <c r="K28" i="2"/>
  <c r="B15" i="3"/>
  <c r="B16" i="3"/>
  <c r="O5" i="3"/>
  <c r="L5" i="3"/>
  <c r="H28" i="2"/>
  <c r="J28" i="2"/>
  <c r="L28" i="2"/>
  <c r="C15" i="3"/>
  <c r="C16" i="3"/>
  <c r="M5" i="3"/>
  <c r="E13" i="10"/>
  <c r="E14" i="10"/>
  <c r="E15" i="10"/>
  <c r="E16" i="10"/>
  <c r="E17" i="10"/>
  <c r="E18" i="10"/>
  <c r="I17" i="10"/>
  <c r="J17" i="10"/>
  <c r="J18" i="10"/>
  <c r="I18" i="10"/>
  <c r="B24" i="10"/>
  <c r="C7" i="7"/>
  <c r="G16" i="7"/>
  <c r="B23" i="10"/>
  <c r="B7" i="7"/>
  <c r="F16" i="7"/>
  <c r="B11" i="6"/>
  <c r="B6" i="7"/>
  <c r="F15" i="7"/>
  <c r="F14" i="7"/>
  <c r="B30" i="1"/>
  <c r="B34" i="1"/>
  <c r="B4" i="7"/>
  <c r="F13" i="7"/>
  <c r="F17" i="7"/>
  <c r="F18" i="7"/>
  <c r="F19" i="7"/>
  <c r="F20" i="7"/>
  <c r="F21" i="7"/>
  <c r="F22" i="7"/>
  <c r="F23" i="7"/>
  <c r="F24"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I30" i="2"/>
  <c r="O38" i="2"/>
  <c r="C21" i="2"/>
  <c r="G21" i="2"/>
  <c r="I21" i="2"/>
  <c r="K21" i="2"/>
  <c r="D27" i="2"/>
  <c r="I27" i="2"/>
  <c r="I28" i="2"/>
  <c r="C24" i="2"/>
  <c r="D24" i="2"/>
  <c r="E24" i="2"/>
  <c r="G24" i="2"/>
  <c r="I24" i="2"/>
  <c r="K24" i="2"/>
  <c r="I5" i="7"/>
  <c r="H5" i="7"/>
  <c r="B7" i="5"/>
  <c r="C7" i="5"/>
  <c r="L12" i="5"/>
  <c r="L20" i="5"/>
  <c r="L21" i="5"/>
  <c r="L26" i="5"/>
  <c r="M20" i="5"/>
  <c r="M19" i="5"/>
  <c r="M21" i="5"/>
  <c r="M26" i="5"/>
  <c r="G12" i="5"/>
  <c r="H10" i="5"/>
  <c r="H11" i="5"/>
  <c r="C22" i="2"/>
  <c r="L10" i="5"/>
  <c r="B6" i="5"/>
  <c r="C6" i="5"/>
  <c r="L11" i="5"/>
  <c r="B9" i="5"/>
  <c r="C9" i="5"/>
  <c r="L19" i="5"/>
  <c r="I32" i="6"/>
  <c r="I33" i="6"/>
  <c r="H32" i="6"/>
  <c r="H33" i="6"/>
  <c r="K33" i="6"/>
  <c r="J33" i="6"/>
  <c r="H15" i="6"/>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7" i="7"/>
  <c r="D3" i="7"/>
  <c r="K13" i="6"/>
  <c r="D6" i="7"/>
</calcChain>
</file>

<file path=xl/sharedStrings.xml><?xml version="1.0" encoding="utf-8"?>
<sst xmlns="http://schemas.openxmlformats.org/spreadsheetml/2006/main" count="578" uniqueCount="297">
  <si>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</si>
  <si>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</si>
  <si>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</si>
  <si>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</si>
  <si>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</si>
  <si>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</si>
  <si>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</si>
  <si>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</si>
  <si>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</si>
  <si>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</si>
  <si>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</si>
  <si>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</si>
  <si>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</si>
  <si>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</si>
  <si>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</si>
  <si>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</si>
  <si>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</si>
  <si>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</si>
  <si>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</si>
  <si>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</si>
  <si>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</si>
  <si>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</si>
  <si>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</si>
  <si>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</si>
  <si>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</si>
  <si>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</si>
  <si>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</si>
  <si>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</si>
  <si>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</si>
  <si>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</si>
  <si>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</si>
  <si>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</si>
  <si>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</si>
  <si>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</si>
  <si>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</si>
  <si>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</si>
  <si>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</si>
  <si>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</si>
  <si>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</si>
  <si>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</si>
  <si>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</si>
  <si>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</si>
  <si>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</si>
  <si>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</si>
  <si>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</si>
  <si>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</si>
  <si>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</si>
  <si>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</si>
  <si>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</si>
  <si>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</si>
  <si>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</si>
  <si>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</si>
  <si>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</si>
  <si>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</si>
  <si>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</si>
  <si>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</si>
  <si>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</si>
  <si>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</si>
  <si>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</si>
  <si>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</si>
  <si>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</si>
  <si>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</si>
  <si>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</si>
  <si>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</si>
  <si>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</si>
  <si>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</si>
  <si>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</si>
  <si>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</si>
  <si>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</si>
  <si>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</si>
  <si>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</si>
  <si>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</si>
  <si>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</si>
  <si>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</si>
  <si>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</si>
  <si>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</si>
  <si>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</si>
  <si>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</si>
  <si>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</si>
  <si>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</si>
  <si>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</si>
  <si>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</si>
  <si>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</si>
  <si>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</si>
  <si>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</si>
  <si>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</si>
  <si>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</si>
  <si>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</si>
  <si>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</si>
  <si>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</si>
  <si>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</si>
  <si>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</si>
  <si>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</si>
  <si>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</si>
  <si>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</si>
  <si>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</si>
  <si>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</si>
  <si>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</si>
  <si>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</si>
  <si>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</si>
  <si>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</si>
  <si>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</si>
  <si>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</si>
  <si>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</si>
  <si>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</si>
  <si>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</si>
  <si>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</si>
  <si>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</si>
  <si>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</si>
  <si>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</si>
  <si>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</si>
  <si>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</si>
  <si>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</si>
  <si>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</si>
  <si>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</si>
  <si>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</si>
  <si>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</si>
  <si>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</si>
  <si>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</si>
  <si>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</si>
  <si>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</si>
  <si>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</si>
  <si>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</si>
  <si>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</si>
  <si>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</si>
  <si>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</si>
  <si>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</si>
  <si>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</si>
  <si>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</si>
  <si>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</si>
  <si>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</si>
  <si>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</si>
  <si>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</si>
  <si>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</si>
  <si>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</si>
  <si>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</si>
  <si>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</si>
  <si>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</si>
  <si>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</si>
  <si>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</si>
  <si>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</si>
  <si>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</si>
  <si>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</si>
  <si>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</si>
  <si>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</si>
  <si>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</si>
  <si>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</si>
  <si>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</si>
  <si>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</si>
  <si>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</si>
  <si>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</si>
  <si>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</si>
  <si>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</si>
  <si>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</si>
  <si>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</si>
  <si>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</si>
  <si>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</si>
  <si>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</si>
  <si>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</si>
  <si>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</si>
  <si>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</si>
  <si>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</si>
  <si>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</si>
  <si>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</si>
  <si>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</si>
  <si>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</si>
  <si>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</si>
  <si>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</si>
  <si>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</si>
  <si>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</si>
  <si>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</si>
  <si>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</si>
  <si>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</si>
  <si>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</si>
  <si>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</si>
  <si>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</si>
  <si>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</si>
  <si>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</si>
  <si>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</si>
  <si>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</si>
  <si>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</si>
  <si>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</si>
  <si>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</si>
  <si>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</si>
  <si>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</si>
  <si>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</si>
  <si>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</si>
  <si>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</si>
  <si>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</si>
  <si>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</si>
  <si>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</si>
  <si>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</si>
  <si>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</si>
  <si>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</si>
  <si>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</si>
  <si>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</si>
  <si>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</si>
  <si>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</si>
  <si>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</si>
  <si>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</si>
  <si>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</si>
  <si>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</si>
  <si>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</si>
  <si>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</si>
  <si>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</si>
  <si>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</si>
  <si>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</si>
  <si>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</si>
  <si>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</si>
  <si>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</si>
  <si>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</si>
  <si>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</si>
  <si>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</si>
  <si>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</si>
  <si>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</si>
  <si>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</si>
  <si>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</si>
  <si>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</si>
  <si>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</si>
  <si>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</si>
  <si>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</si>
  <si>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</si>
  <si>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</si>
  <si>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</si>
  <si>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</si>
  <si>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</si>
  <si>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</si>
  <si>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</si>
  <si>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</si>
  <si>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</si>
  <si>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</si>
  <si>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</si>
  <si>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</si>
  <si>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</si>
  <si>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</si>
  <si>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</si>
  <si>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</si>
  <si>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</si>
  <si>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</si>
  <si>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</si>
  <si>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computer emulations of human-like brains</t>
  </si>
  <si>
    <t>maximally happy beings</t>
  </si>
  <si>
    <t>computers that don't do anything useful</t>
  </si>
  <si>
    <t>maximally unhappy beings</t>
  </si>
  <si>
    <t>WAS = wild animal suffering</t>
  </si>
  <si>
    <t>Model 3 (INCOMPLETE)</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</si>
  <si>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</si>
  <si>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</si>
  <si>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</si>
  <si>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</si>
  <si>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</si>
  <si>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</si>
  <si>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</si>
  <si>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</si>
  <si>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</si>
  <si>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</si>
  <si>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</si>
  <si>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</si>
  <si>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</si>
  <si>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</si>
  <si>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</si>
  <si>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</si>
  <si>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</si>
  <si>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</si>
  <si>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</si>
  <si>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</si>
  <si>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</si>
  <si>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</si>
  <si>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</si>
  <si>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</si>
  <si>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</si>
  <si>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</si>
  <si>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</si>
  <si>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</si>
  <si>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</si>
  <si>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</si>
  <si>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</si>
  <si>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</si>
  <si>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</si>
  <si>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</si>
  <si>
    <t>Cage-Free Campaigns*</t>
  </si>
  <si>
    <t>memetically relevant humans</t>
  </si>
  <si>
    <t>veg-years indirectly created per $1000</t>
  </si>
  <si>
    <t>veg-years directly created per $1000</t>
  </si>
  <si>
    <t>1/memetically relevant humans</t>
  </si>
  <si>
    <t>veg-years permanently created per $1000</t>
  </si>
  <si>
    <t>vegetarians per $1000</t>
  </si>
  <si>
    <t>Estimated by doubling the 80% CI for online ads from https://docs.google.com/spreadsheets/d/1YSkZDTWacpkmnZMdRsIMLuCOdIILNVmGTIQAomZDxD4</t>
  </si>
  <si>
    <t>years spent being vegetarian</t>
  </si>
  <si>
    <t>vegetarian-years per $1000</t>
  </si>
  <si>
    <t>I suspect this is low-ish b/c cage-free has weaker memetic effects than vegetarianism</t>
  </si>
  <si>
    <t>values spreading effect of cage-free year vs vegetarian-year</t>
  </si>
  <si>
    <t>cage-free years per cage prevented</t>
  </si>
  <si>
    <t>veg-years per cage-free year</t>
  </si>
  <si>
    <t>http://www.unitedegg.org/GeneralStats/default.cfm</t>
  </si>
  <si>
    <t>Cage-Free</t>
  </si>
  <si>
    <t>For detailed explanations of everything, see http://mdickens.me/2016/05/17/quantifying_far_future_effects/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</si>
</sst>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1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62">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xf numFmtId="0" fontId="0" fillId="0" borderId="2" xfId="0" applyNumberFormat="1" applyFill="1" applyBorder="1" applyAlignment="1">
      <alignment horizontal="center" vertical="center"/>
    </xf>
    <xf numFmtId="11" fontId="0" fillId="8" borderId="2" xfId="0" applyNumberFormat="1" applyFill="1" applyBorder="1" applyAlignment="1">
      <alignment horizontal="center" vertical="center"/>
    </xf>
    <xf numFmtId="0" fontId="0" fillId="0" borderId="2" xfId="0" applyBorder="1" applyAlignment="1">
      <alignment horizontal="left"/>
    </xf>
    <xf numFmtId="0" fontId="5" fillId="0" borderId="2" xfId="0" applyFont="1" applyBorder="1" applyAlignment="1">
      <alignment horizontal="center" vertical="center" wrapText="1"/>
    </xf>
    <xf numFmtId="11" fontId="5" fillId="0" borderId="2" xfId="0" applyNumberFormat="1" applyFont="1" applyBorder="1" applyAlignment="1">
      <alignment horizontal="center" vertical="center"/>
    </xf>
    <xf numFmtId="0" fontId="0" fillId="8" borderId="0" xfId="0" applyFill="1" applyBorder="1" applyAlignment="1">
      <alignment vertical="center"/>
    </xf>
    <xf numFmtId="0" fontId="0" fillId="11" borderId="0" xfId="0" applyFill="1" applyAlignment="1">
      <alignment horizontal="center" wrapText="1"/>
    </xf>
    <xf numFmtId="0" fontId="0" fillId="8" borderId="3" xfId="0" applyFill="1" applyBorder="1" applyAlignment="1">
      <alignment vertical="center"/>
    </xf>
    <xf numFmtId="11" fontId="0" fillId="8" borderId="0" xfId="0" applyNumberFormat="1" applyFill="1" applyBorder="1" applyAlignment="1">
      <alignment horizontal="center" vertical="center"/>
    </xf>
    <xf numFmtId="11" fontId="0" fillId="16" borderId="0" xfId="0" applyNumberFormat="1" applyFill="1"/>
    <xf numFmtId="11" fontId="0" fillId="0" borderId="0" xfId="0" applyNumberFormat="1" applyFill="1" applyAlignment="1">
      <alignment wrapText="1"/>
    </xf>
    <xf numFmtId="0" fontId="0" fillId="6" borderId="0" xfId="0" applyNumberFormat="1" applyFill="1" applyBorder="1" applyAlignment="1">
      <alignment horizontal="center" vertical="center" wrapText="1"/>
    </xf>
    <xf numFmtId="0" fontId="0" fillId="0" borderId="0" xfId="0" applyNumberFormat="1" applyAlignment="1">
      <alignment vertical="center"/>
    </xf>
    <xf numFmtId="0" fontId="0" fillId="0" borderId="0" xfId="0" applyNumberFormat="1"/>
    <xf numFmtId="0" fontId="0" fillId="0" borderId="0" xfId="0" applyNumberFormat="1" applyFill="1"/>
    <xf numFmtId="0" fontId="0" fillId="13" borderId="0" xfId="0" applyNumberFormat="1" applyFont="1" applyFill="1" applyAlignment="1">
      <alignment wrapText="1"/>
    </xf>
    <xf numFmtId="0" fontId="0" fillId="0" borderId="0" xfId="0" applyNumberFormat="1" applyAlignment="1">
      <alignment wrapText="1"/>
    </xf>
  </cellXfs>
  <cellStyles count="21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0" builtinId="9" hidden="1"/>
    <cellStyle name="Followed Hyperlink" xfId="2141" builtinId="9" hidden="1"/>
    <cellStyle name="Followed Hyperlink" xfId="2142" builtinId="9" hidden="1"/>
    <cellStyle name="Followed Hyperlink" xfId="2143" builtinId="9" hidden="1"/>
    <cellStyle name="Followed Hyperlink" xfId="2144" builtinId="9" hidden="1"/>
    <cellStyle name="Followed Hyperlink" xfId="2145" builtinId="9" hidden="1"/>
    <cellStyle name="Followed Hyperlink" xfId="2146" builtinId="9" hidden="1"/>
    <cellStyle name="Followed Hyperlink" xfId="2147" builtinId="9" hidden="1"/>
    <cellStyle name="Followed Hyperlink" xfId="2148" builtinId="9" hidden="1"/>
    <cellStyle name="Followed Hyperlink" xfId="21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C5" sqref="C5"/>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139</v>
      </c>
      <c r="G1" s="6" t="s">
        <v>141</v>
      </c>
    </row>
    <row r="2" spans="1:12" ht="30" customHeight="1">
      <c r="A2" s="44"/>
      <c r="B2" s="58" t="s">
        <v>111</v>
      </c>
      <c r="C2" s="58" t="s">
        <v>112</v>
      </c>
      <c r="D2" s="58" t="s">
        <v>140</v>
      </c>
      <c r="G2" s="44"/>
      <c r="H2" s="44" t="s">
        <v>119</v>
      </c>
      <c r="I2" s="44" t="s">
        <v>30</v>
      </c>
      <c r="J2" s="58" t="s">
        <v>111</v>
      </c>
      <c r="K2" s="58" t="s">
        <v>112</v>
      </c>
    </row>
    <row r="3" spans="1:12" ht="30" customHeight="1">
      <c r="A3" s="95" t="s">
        <v>113</v>
      </c>
      <c r="B3" s="96" t="e">
        <f>GiveDirectly!B30</f>
        <v>#VALUE!</v>
      </c>
      <c r="C3" s="96" t="e">
        <f>GiveDirectly!B31</f>
        <v>#VALUE!</v>
      </c>
      <c r="D3" s="96" t="e">
        <f>C3/$C$3</f>
        <v>#VALUE!</v>
      </c>
      <c r="G3" s="138" t="s">
        <v>113</v>
      </c>
      <c r="H3" s="80">
        <f>GiveDirectly!G3</f>
        <v>0</v>
      </c>
      <c r="I3" s="79">
        <f>GiveDirectly!H3</f>
        <v>4.0000000000000008E-2</v>
      </c>
      <c r="J3" s="96" t="e">
        <f>GiveDirectly!G4</f>
        <v>#VALUE!</v>
      </c>
      <c r="K3" s="96" t="str">
        <f>GiveDirectly!G5</f>
        <v>disabled</v>
      </c>
    </row>
    <row r="4" spans="1:12" ht="30" customHeight="1">
      <c r="A4" s="95" t="s">
        <v>171</v>
      </c>
      <c r="B4" s="96" t="e">
        <f>THL!B34</f>
        <v>#VALUE!</v>
      </c>
      <c r="C4" s="96" t="e">
        <f>THL!B35</f>
        <v>#VALUE!</v>
      </c>
      <c r="D4" s="96" t="e">
        <f>C4/C3</f>
        <v>#VALUE!</v>
      </c>
      <c r="G4" s="80" t="s">
        <v>118</v>
      </c>
      <c r="H4" s="137">
        <f>D17</f>
        <v>11.224972160321824</v>
      </c>
      <c r="I4" s="137">
        <f>E17</f>
        <v>7.4864535847752101E-2</v>
      </c>
      <c r="J4" s="96">
        <f>ParetoPosterior(median,alpha,H4:I4)</f>
        <v>7.6651731591110082</v>
      </c>
      <c r="K4" s="96">
        <f>LognormPosterior(mu_global_poverty,sigma_global_poverty,H4:I4)</f>
        <v>7.68136697438384</v>
      </c>
    </row>
    <row r="5" spans="1:12" ht="30" customHeight="1">
      <c r="A5" s="58" t="s">
        <v>295</v>
      </c>
      <c r="B5" s="139" t="e">
        <f>'Cage-Free'!B23</f>
        <v>#VALUE!</v>
      </c>
      <c r="C5" s="139" t="e">
        <f>'Cage-Free'!B24</f>
        <v>#VALUE!</v>
      </c>
      <c r="D5" s="139" t="e">
        <f>C5/C3</f>
        <v>#VALUE!</v>
      </c>
      <c r="G5" s="80" t="s">
        <v>171</v>
      </c>
      <c r="H5" s="137">
        <f>THL!I5</f>
        <v>5429.9171264394072</v>
      </c>
      <c r="I5" s="79">
        <f>THL!J5</f>
        <v>0.49504262895320128</v>
      </c>
      <c r="J5" s="96">
        <f>THL!I6</f>
        <v>396.49368154968971</v>
      </c>
      <c r="K5" s="96" t="str">
        <f>THL!I7</f>
        <v>disabled</v>
      </c>
    </row>
    <row r="6" spans="1:12" ht="30" customHeight="1">
      <c r="A6" s="95" t="s">
        <v>114</v>
      </c>
      <c r="B6" s="96" t="e">
        <f>'AI Safety'!B11</f>
        <v>#VALUE!</v>
      </c>
      <c r="C6" s="96" t="str">
        <f>'AI Safety'!B12</f>
        <v>disabled</v>
      </c>
      <c r="D6" s="96" t="e">
        <f>C6/$C$3</f>
        <v>#VALUE!</v>
      </c>
      <c r="G6" s="80" t="s">
        <v>250</v>
      </c>
      <c r="H6" s="137">
        <f>'Cage-Free'!I5</f>
        <v>88741.196746494257</v>
      </c>
      <c r="I6" s="137">
        <f>'Cage-Free'!J5</f>
        <v>0.31528753718843733</v>
      </c>
      <c r="J6" s="96">
        <f>'Cage-Free'!I6</f>
        <v>16679.269175199799</v>
      </c>
      <c r="K6" s="96" t="str">
        <f>'Cage-Free'!I7</f>
        <v>disabled</v>
      </c>
    </row>
    <row r="7" spans="1:12" ht="30" customHeight="1">
      <c r="A7" s="95" t="s">
        <v>138</v>
      </c>
      <c r="B7" s="96" t="e">
        <f>'AI Targeted Values Spreading'!B23</f>
        <v>#VALUE!</v>
      </c>
      <c r="C7" s="96" t="str">
        <f>'AI Targeted Values Spreading'!B24</f>
        <v>disabled</v>
      </c>
      <c r="D7" s="96" t="e">
        <f>C7/$C$3</f>
        <v>#VALUE!</v>
      </c>
    </row>
    <row r="8" spans="1:12" ht="30" customHeight="1">
      <c r="G8" s="3"/>
      <c r="H8" s="9"/>
      <c r="I8" s="3"/>
      <c r="K8" s="3"/>
      <c r="L8" s="3"/>
    </row>
    <row r="9" spans="1:12" ht="30" customHeight="1"/>
    <row r="10" spans="1:12" ht="30" customHeight="1">
      <c r="A10" s="6" t="s">
        <v>249</v>
      </c>
    </row>
    <row r="11" spans="1:12" ht="30" customHeight="1">
      <c r="A11" s="44" t="s">
        <v>246</v>
      </c>
      <c r="B11" s="44" t="s">
        <v>0</v>
      </c>
      <c r="C11" s="44" t="s">
        <v>1</v>
      </c>
      <c r="D11" s="44" t="s">
        <v>156</v>
      </c>
      <c r="E11" s="44" t="s">
        <v>158</v>
      </c>
      <c r="F11" s="58" t="s">
        <v>111</v>
      </c>
      <c r="G11" s="58" t="s">
        <v>112</v>
      </c>
      <c r="H11" s="44" t="s">
        <v>27</v>
      </c>
    </row>
    <row r="12" spans="1:12" ht="30" customHeight="1">
      <c r="A12" s="44" t="s">
        <v>113</v>
      </c>
      <c r="B12" s="44"/>
      <c r="C12" s="44"/>
      <c r="D12" s="44"/>
      <c r="E12" s="44"/>
      <c r="F12" s="139" t="e">
        <f>B3</f>
        <v>#VALUE!</v>
      </c>
      <c r="G12" s="139" t="e">
        <f>C3</f>
        <v>#VALUE!</v>
      </c>
    </row>
    <row r="13" spans="1:12" ht="30" customHeight="1">
      <c r="A13" s="44" t="s">
        <v>171</v>
      </c>
      <c r="B13" s="44"/>
      <c r="C13" s="44"/>
      <c r="D13" s="44"/>
      <c r="E13" s="44"/>
      <c r="F13" s="139" t="e">
        <f>B4</f>
        <v>#VALUE!</v>
      </c>
      <c r="G13" s="139" t="e">
        <f>C4</f>
        <v>#VALUE!</v>
      </c>
    </row>
    <row r="14" spans="1:12" ht="30" customHeight="1">
      <c r="A14" s="44" t="s">
        <v>280</v>
      </c>
      <c r="B14" s="44"/>
      <c r="C14" s="44"/>
      <c r="D14" s="44"/>
      <c r="E14" s="44"/>
      <c r="F14" s="139">
        <f>J6</f>
        <v>16679.269175199799</v>
      </c>
      <c r="G14" s="139" t="str">
        <f>K6</f>
        <v>disabled</v>
      </c>
    </row>
    <row r="15" spans="1:12" ht="30" customHeight="1">
      <c r="A15" s="44" t="s">
        <v>114</v>
      </c>
      <c r="B15" s="44"/>
      <c r="C15" s="44"/>
      <c r="D15" s="44"/>
      <c r="E15" s="44"/>
      <c r="F15" s="139" t="e">
        <f>B6</f>
        <v>#VALUE!</v>
      </c>
      <c r="G15" s="139" t="str">
        <f>C6</f>
        <v>disabled</v>
      </c>
    </row>
    <row r="16" spans="1:12" ht="30" customHeight="1">
      <c r="A16" s="44" t="s">
        <v>138</v>
      </c>
      <c r="B16" s="44"/>
      <c r="C16" s="44"/>
      <c r="D16" s="44"/>
      <c r="E16" s="44"/>
      <c r="F16" s="139" t="e">
        <f>B7</f>
        <v>#VALUE!</v>
      </c>
      <c r="G16" s="139" t="str">
        <f>C7</f>
        <v>disabled</v>
      </c>
    </row>
    <row r="17" spans="1:8" ht="30" customHeight="1">
      <c r="A17" s="62" t="s">
        <v>274</v>
      </c>
      <c r="B17" s="91">
        <v>9</v>
      </c>
      <c r="C17" s="91">
        <v>14</v>
      </c>
      <c r="D17" s="137">
        <f t="shared" ref="D17:D22" si="0">GEOMEAN(B17,C17)</f>
        <v>11.224972160321824</v>
      </c>
      <c r="E17" s="80">
        <f t="shared" ref="E17:E22" si="1">LogVariance(B17,C17)</f>
        <v>7.4864535847752101E-2</v>
      </c>
      <c r="F17" s="139">
        <f t="shared" ref="F17:F22" si="2">ParetoPosterior(median,alpha,$D17:$E17)</f>
        <v>7.6651731591110082</v>
      </c>
      <c r="G17" s="139">
        <f>LognormPosterior(mu_global_poverty,sigma_global_poverty,$D17:$E17)</f>
        <v>7.68136697438384</v>
      </c>
    </row>
    <row r="18" spans="1:8" ht="30" customHeight="1">
      <c r="A18" s="62" t="s">
        <v>275</v>
      </c>
      <c r="B18" s="91">
        <v>6</v>
      </c>
      <c r="C18" s="91">
        <v>30</v>
      </c>
      <c r="D18" s="137">
        <f t="shared" si="0"/>
        <v>13.416407864998737</v>
      </c>
      <c r="E18" s="80">
        <f t="shared" si="1"/>
        <v>0.27270459618181209</v>
      </c>
      <c r="F18" s="139">
        <f t="shared" si="2"/>
        <v>3.7274882658620698</v>
      </c>
      <c r="G18" s="139">
        <f>LognormPosterior(mu_global_poverty,sigma_global_poverty,$D18:$E18)</f>
        <v>4.4094745822667356</v>
      </c>
    </row>
    <row r="19" spans="1:8" ht="30" customHeight="1">
      <c r="A19" s="62" t="s">
        <v>276</v>
      </c>
      <c r="B19" s="91">
        <v>0.5</v>
      </c>
      <c r="C19" s="91">
        <v>15</v>
      </c>
      <c r="D19" s="137">
        <f t="shared" si="0"/>
        <v>2.7386127875258306</v>
      </c>
      <c r="E19" s="80">
        <f t="shared" si="1"/>
        <v>0.57630191965469357</v>
      </c>
      <c r="F19" s="139">
        <f t="shared" si="2"/>
        <v>0.60816760992752539</v>
      </c>
      <c r="G19" s="139">
        <f>LognormPosterior(mu_policy,sigma_policy,$D19:$E19)</f>
        <v>1.0908863363038546</v>
      </c>
      <c r="H19" s="126" t="s">
        <v>247</v>
      </c>
    </row>
    <row r="20" spans="1:8" ht="30" customHeight="1">
      <c r="A20" s="62" t="s">
        <v>277</v>
      </c>
      <c r="B20" s="91">
        <v>2</v>
      </c>
      <c r="C20" s="91">
        <v>25</v>
      </c>
      <c r="D20" s="137">
        <f t="shared" si="0"/>
        <v>7.0710678118654755</v>
      </c>
      <c r="E20" s="80">
        <f t="shared" si="1"/>
        <v>0.42796171550924683</v>
      </c>
      <c r="F20" s="139">
        <f t="shared" si="2"/>
        <v>1.3899606988089097</v>
      </c>
      <c r="G20" s="139">
        <f>LognormPosterior(mu_policy,sigma_policy,$D20:$E20)</f>
        <v>2.1388077929344163</v>
      </c>
    </row>
    <row r="21" spans="1:8" ht="30" customHeight="1">
      <c r="A21" s="62" t="s">
        <v>278</v>
      </c>
      <c r="B21" s="91">
        <v>0.1</v>
      </c>
      <c r="C21" s="91">
        <v>10</v>
      </c>
      <c r="D21" s="137">
        <f t="shared" si="0"/>
        <v>1</v>
      </c>
      <c r="E21" s="80">
        <f t="shared" si="1"/>
        <v>0.78030414607237897</v>
      </c>
      <c r="F21" s="139">
        <f t="shared" si="2"/>
        <v>0.32990094699021733</v>
      </c>
      <c r="G21" s="139">
        <f>LognormPosterior(mu_policy,sigma_policy,$D21:$E21)</f>
        <v>0.62405286763824308</v>
      </c>
    </row>
    <row r="22" spans="1:8" ht="30" customHeight="1">
      <c r="A22" s="62" t="s">
        <v>279</v>
      </c>
      <c r="B22" s="91">
        <v>1</v>
      </c>
      <c r="C22" s="91">
        <v>100</v>
      </c>
      <c r="D22" s="137">
        <f t="shared" si="0"/>
        <v>10</v>
      </c>
      <c r="E22" s="80">
        <f t="shared" si="1"/>
        <v>0.78030414607237897</v>
      </c>
      <c r="F22" s="139">
        <f t="shared" si="2"/>
        <v>0.91744602369328643</v>
      </c>
      <c r="G22" s="139">
        <f>LognormPosterior(mu_policy,sigma_policy,$D22:$E22)</f>
        <v>1.6372722236599835</v>
      </c>
    </row>
    <row r="23" spans="1:8" ht="30" customHeight="1">
      <c r="A23" s="62" t="s">
        <v>251</v>
      </c>
      <c r="B23" s="44"/>
      <c r="C23" s="44"/>
      <c r="D23" s="140" t="e">
        <f>'AI Safety'!H26/10</f>
        <v>#VALUE!</v>
      </c>
      <c r="E23" s="140" t="e">
        <f>'AI Safety'!I26</f>
        <v>#VALUE!</v>
      </c>
      <c r="F23" s="139" t="e">
        <f>ParetoPosterior(1,alpha,$D23:$E23)</f>
        <v>#VALUE!</v>
      </c>
      <c r="G23" s="139" t="str">
        <f>LognormPosterior(mu_far_future,sigma_far_future,$D23:$E23)</f>
        <v>disabled</v>
      </c>
    </row>
    <row r="24" spans="1:8" ht="30" customHeight="1">
      <c r="A24" s="62" t="s">
        <v>252</v>
      </c>
      <c r="B24" s="44"/>
      <c r="C24" s="44"/>
      <c r="D24" s="140" t="e">
        <f>D23</f>
        <v>#VALUE!</v>
      </c>
      <c r="E24" s="140" t="e">
        <f>E23</f>
        <v>#VALUE!</v>
      </c>
      <c r="F24" s="139" t="e">
        <f>ParetoPosterior(median,alpha,$D24:$E24)</f>
        <v>#VALUE!</v>
      </c>
      <c r="G24" s="139" t="str">
        <f>LognormPosterior(mu_far_future,sigma_far_future,$D24:$E24)</f>
        <v>disabled</v>
      </c>
    </row>
    <row r="25" spans="1:8" ht="30" customHeight="1">
      <c r="A25" s="45" t="s">
        <v>273</v>
      </c>
      <c r="B25" s="3"/>
      <c r="C25" s="3"/>
      <c r="D25" s="3"/>
    </row>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tabSelected="1" workbookViewId="0">
      <selection activeCell="F4" sqref="F4"/>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146</v>
      </c>
      <c r="C1" s="6" t="s">
        <v>79</v>
      </c>
      <c r="J1" s="6" t="s">
        <v>4</v>
      </c>
      <c r="M1" s="1"/>
    </row>
    <row r="2" spans="1:13" ht="30" customHeight="1">
      <c r="A2" s="24">
        <v>0</v>
      </c>
      <c r="B2" t="s">
        <v>147</v>
      </c>
      <c r="D2" t="s">
        <v>248</v>
      </c>
      <c r="E2" s="5" t="s">
        <v>143</v>
      </c>
      <c r="F2" s="5" t="s">
        <v>144</v>
      </c>
      <c r="G2" s="5" t="s">
        <v>145</v>
      </c>
      <c r="H2" s="3"/>
    </row>
    <row r="3" spans="1:13" s="44" customFormat="1" ht="30" customHeight="1">
      <c r="A3" s="39" t="s">
        <v>296</v>
      </c>
      <c r="C3" s="71" t="s">
        <v>80</v>
      </c>
      <c r="D3" s="72">
        <v>0.1</v>
      </c>
      <c r="E3" s="72">
        <v>0.1</v>
      </c>
      <c r="F3" s="72"/>
      <c r="G3" s="108"/>
      <c r="H3" s="71" t="s">
        <v>80</v>
      </c>
      <c r="I3" s="73" t="s">
        <v>189</v>
      </c>
      <c r="J3" s="74"/>
      <c r="K3" s="71" t="s">
        <v>3</v>
      </c>
      <c r="L3" s="75">
        <v>0.1</v>
      </c>
    </row>
    <row r="4" spans="1:13" s="44" customFormat="1" ht="30" customHeight="1">
      <c r="C4" s="71" t="s">
        <v>81</v>
      </c>
      <c r="D4" s="72">
        <f>sigma_global_poverty</f>
        <v>0.75</v>
      </c>
      <c r="E4" s="72">
        <v>0.75</v>
      </c>
      <c r="F4" s="72">
        <f>sigma_global_poverty</f>
        <v>0.75</v>
      </c>
      <c r="G4" s="72">
        <f>sigma_global_poverty</f>
        <v>0.75</v>
      </c>
      <c r="H4" s="71" t="s">
        <v>81</v>
      </c>
      <c r="I4" s="73" t="s">
        <v>190</v>
      </c>
      <c r="J4" s="74"/>
      <c r="K4" s="71" t="s">
        <v>2</v>
      </c>
      <c r="L4" s="72">
        <v>1.5</v>
      </c>
    </row>
    <row r="5" spans="1:13" ht="30" customHeight="1">
      <c r="C5" s="102" t="s">
        <v>191</v>
      </c>
      <c r="G5" s="102" t="s">
        <v>253</v>
      </c>
    </row>
    <row r="6" spans="1:13" ht="30" customHeight="1">
      <c r="D6" s="118"/>
      <c r="E6" s="34"/>
    </row>
    <row r="7" spans="1:13" ht="30" customHeight="1">
      <c r="A7" s="76" t="s">
        <v>13</v>
      </c>
      <c r="B7" s="34"/>
      <c r="C7" s="34"/>
      <c r="D7" s="118" t="s">
        <v>271</v>
      </c>
      <c r="E7" s="34"/>
      <c r="F7" s="34"/>
      <c r="J7" s="6" t="s">
        <v>88</v>
      </c>
      <c r="L7" s="48" t="s">
        <v>65</v>
      </c>
    </row>
    <row r="8" spans="1:13" s="44" customFormat="1" ht="30" customHeight="1">
      <c r="A8" s="77" t="s">
        <v>5</v>
      </c>
      <c r="B8" s="78">
        <v>0.2</v>
      </c>
      <c r="C8" s="77" t="s">
        <v>12</v>
      </c>
      <c r="D8" s="78">
        <v>0.7</v>
      </c>
      <c r="E8" s="79" t="s">
        <v>244</v>
      </c>
      <c r="F8" s="79"/>
      <c r="J8" s="58" t="s">
        <v>90</v>
      </c>
      <c r="L8" s="66" t="s">
        <v>26</v>
      </c>
      <c r="M8" s="107">
        <v>20000000000</v>
      </c>
    </row>
    <row r="9" spans="1:13" s="44" customFormat="1" ht="30" customHeight="1">
      <c r="A9" s="77" t="s">
        <v>218</v>
      </c>
      <c r="B9" s="78">
        <v>0.4</v>
      </c>
      <c r="C9" s="77" t="s">
        <v>6</v>
      </c>
      <c r="D9" s="78">
        <v>0.8</v>
      </c>
      <c r="E9" s="77" t="s">
        <v>61</v>
      </c>
      <c r="F9" s="78"/>
      <c r="J9" s="59" t="s">
        <v>89</v>
      </c>
      <c r="L9" s="66" t="s">
        <v>95</v>
      </c>
      <c r="M9" s="91">
        <v>0.05</v>
      </c>
    </row>
    <row r="10" spans="1:13" s="44" customFormat="1" ht="30" customHeight="1">
      <c r="A10" s="80"/>
      <c r="B10" s="80"/>
      <c r="C10" s="80"/>
      <c r="D10" s="125" t="s">
        <v>232</v>
      </c>
      <c r="E10" s="77" t="s">
        <v>8</v>
      </c>
      <c r="F10" s="156">
        <v>0.4</v>
      </c>
      <c r="J10" s="60" t="s">
        <v>52</v>
      </c>
    </row>
    <row r="11" spans="1:13" s="44" customFormat="1" ht="30" customHeight="1">
      <c r="A11" s="79"/>
      <c r="B11" s="79"/>
      <c r="C11" s="79"/>
      <c r="D11" s="79"/>
      <c r="E11" s="77" t="s">
        <v>7</v>
      </c>
      <c r="F11" s="156">
        <v>0.3</v>
      </c>
      <c r="J11" s="61" t="s">
        <v>185</v>
      </c>
    </row>
    <row r="12" spans="1:13" s="44" customFormat="1" ht="30" customHeight="1">
      <c r="A12" s="77" t="s">
        <v>219</v>
      </c>
      <c r="B12" s="78">
        <v>0.4</v>
      </c>
      <c r="C12" s="77" t="s">
        <v>9</v>
      </c>
      <c r="D12" s="78">
        <v>0.05</v>
      </c>
      <c r="E12" s="80" t="s">
        <v>241</v>
      </c>
      <c r="F12" s="79"/>
      <c r="J12" s="44" t="s">
        <v>186</v>
      </c>
    </row>
    <row r="13" spans="1:13" s="44" customFormat="1" ht="30" customHeight="1">
      <c r="A13" s="79"/>
      <c r="B13" s="79"/>
      <c r="C13" s="77" t="s">
        <v>196</v>
      </c>
      <c r="D13" s="78">
        <v>0.3</v>
      </c>
      <c r="E13" s="79" t="s">
        <v>240</v>
      </c>
      <c r="F13" s="79"/>
      <c r="I13" s="44" t="e">
        <f>VLOOKUP($H13,'EV of Far Future'!$K$3:$N$14,2,FALSE)</f>
        <v>#N/A</v>
      </c>
      <c r="J13" s="62" t="s">
        <v>270</v>
      </c>
    </row>
    <row r="14" spans="1:13" s="44" customFormat="1" ht="30" customHeight="1">
      <c r="A14" s="79"/>
      <c r="B14" s="79"/>
      <c r="C14" s="77" t="s">
        <v>10</v>
      </c>
      <c r="D14" s="78">
        <v>0.64</v>
      </c>
      <c r="E14" s="79" t="s">
        <v>242</v>
      </c>
      <c r="F14" s="79"/>
      <c r="J14" s="143" t="s">
        <v>270</v>
      </c>
    </row>
    <row r="15" spans="1:13" s="44" customFormat="1" ht="30" customHeight="1">
      <c r="A15" s="79"/>
      <c r="B15" s="79"/>
      <c r="C15" s="77" t="s">
        <v>11</v>
      </c>
      <c r="D15" s="78">
        <v>1E-3</v>
      </c>
      <c r="E15" s="79" t="s">
        <v>243</v>
      </c>
      <c r="F15" s="79"/>
      <c r="J15" s="144" t="s">
        <v>270</v>
      </c>
    </row>
    <row r="16" spans="1:13" ht="30" customHeight="1">
      <c r="D16" s="102" t="s">
        <v>231</v>
      </c>
    </row>
    <row r="17" spans="1:13" ht="30" customHeight="1"/>
    <row r="18" spans="1:13" ht="30" customHeight="1">
      <c r="A18" s="6" t="s">
        <v>37</v>
      </c>
      <c r="D18" s="39" t="s">
        <v>239</v>
      </c>
    </row>
    <row r="19" spans="1:13" ht="30" customHeight="1">
      <c r="A19" s="6"/>
      <c r="B19" s="39" t="s">
        <v>208</v>
      </c>
      <c r="D19" s="39" t="s">
        <v>203</v>
      </c>
    </row>
    <row r="20" spans="1:13" ht="30" customHeight="1">
      <c r="B20" s="44" t="s">
        <v>0</v>
      </c>
      <c r="C20" s="44" t="s">
        <v>1</v>
      </c>
      <c r="D20" s="45" t="s">
        <v>0</v>
      </c>
      <c r="E20" s="44" t="s">
        <v>1</v>
      </c>
      <c r="F20" s="44" t="s">
        <v>60</v>
      </c>
      <c r="G20" s="103" t="s">
        <v>204</v>
      </c>
      <c r="H20" s="44" t="s">
        <v>206</v>
      </c>
      <c r="I20" s="44" t="s">
        <v>205</v>
      </c>
      <c r="J20" s="44" t="s">
        <v>207</v>
      </c>
      <c r="K20" s="44" t="s">
        <v>156</v>
      </c>
      <c r="L20" s="44" t="s">
        <v>158</v>
      </c>
      <c r="M20" s="44" t="s">
        <v>27</v>
      </c>
    </row>
    <row r="21" spans="1:13" ht="30" customHeight="1">
      <c r="A21" s="62" t="s">
        <v>221</v>
      </c>
      <c r="B21" s="105">
        <v>1</v>
      </c>
      <c r="C21" s="45">
        <f>B21</f>
        <v>1</v>
      </c>
      <c r="D21" s="105">
        <v>1</v>
      </c>
      <c r="E21" s="45">
        <v>1</v>
      </c>
      <c r="F21" s="91">
        <v>1</v>
      </c>
      <c r="G21" s="44">
        <f t="shared" ref="G21" si="0">GEOMEAN(B21,C21)</f>
        <v>1</v>
      </c>
      <c r="H21" s="44">
        <f t="shared" ref="H21" si="1">LogVariance(B21,C21)</f>
        <v>0</v>
      </c>
      <c r="I21" s="44">
        <f t="shared" ref="I21" si="2">GEOMEAN(D21,E21)</f>
        <v>1</v>
      </c>
      <c r="J21" s="44">
        <f t="shared" ref="J21" si="3">LogVariance(D21,E21)</f>
        <v>0</v>
      </c>
      <c r="K21" s="104">
        <f>G21*I21</f>
        <v>1</v>
      </c>
      <c r="L21" s="45">
        <f>H21+J21</f>
        <v>0</v>
      </c>
      <c r="M21" s="39" t="s">
        <v>238</v>
      </c>
    </row>
    <row r="22" spans="1:13" s="44" customFormat="1" ht="30" customHeight="1">
      <c r="A22" s="64" t="s">
        <v>220</v>
      </c>
      <c r="B22" s="65">
        <v>0.6</v>
      </c>
      <c r="C22" s="91">
        <f t="shared" ref="C22:C29" si="4">B22</f>
        <v>0.6</v>
      </c>
      <c r="D22" s="105">
        <v>1</v>
      </c>
      <c r="E22" s="45">
        <v>1</v>
      </c>
      <c r="F22" s="91">
        <v>1</v>
      </c>
      <c r="G22" s="44">
        <f t="shared" ref="G22:G30" si="5">GEOMEAN(B22,C22)</f>
        <v>0.6</v>
      </c>
      <c r="H22" s="44">
        <f t="shared" ref="H22:H30" si="6">LogVariance(B22,C22)</f>
        <v>0</v>
      </c>
      <c r="I22" s="44">
        <f t="shared" ref="I22:I30" si="7">GEOMEAN(D22,E22)</f>
        <v>1</v>
      </c>
      <c r="J22" s="44">
        <f t="shared" ref="J22:J30" si="8">LogVariance(D22,E22)</f>
        <v>0</v>
      </c>
      <c r="K22" s="104">
        <f>G22*I22</f>
        <v>0.6</v>
      </c>
      <c r="L22" s="45">
        <f>H22+J22</f>
        <v>0</v>
      </c>
      <c r="M22" s="39" t="s">
        <v>222</v>
      </c>
    </row>
    <row r="23" spans="1:13" s="44" customFormat="1" ht="30" customHeight="1">
      <c r="A23" s="64" t="s">
        <v>38</v>
      </c>
      <c r="B23" s="65">
        <v>6</v>
      </c>
      <c r="C23" s="91">
        <f t="shared" si="4"/>
        <v>6</v>
      </c>
      <c r="D23" s="65">
        <v>0.3</v>
      </c>
      <c r="E23" s="91">
        <f>D23</f>
        <v>0.3</v>
      </c>
      <c r="F23" s="91">
        <v>-1</v>
      </c>
      <c r="G23" s="44">
        <f t="shared" si="5"/>
        <v>6</v>
      </c>
      <c r="H23" s="44">
        <f t="shared" si="6"/>
        <v>0</v>
      </c>
      <c r="I23" s="44">
        <f t="shared" si="7"/>
        <v>0.3</v>
      </c>
      <c r="J23" s="44">
        <f t="shared" si="8"/>
        <v>0</v>
      </c>
      <c r="K23" s="104">
        <f t="shared" ref="K23:K30" si="9">G23*I23</f>
        <v>1.7999999999999998</v>
      </c>
      <c r="L23" s="45">
        <f t="shared" ref="L23:L30" si="10">H23+J23</f>
        <v>0</v>
      </c>
      <c r="M23" s="39" t="s">
        <v>149</v>
      </c>
    </row>
    <row r="24" spans="1:13" s="44" customFormat="1" ht="30" customHeight="1">
      <c r="A24" s="66" t="s">
        <v>116</v>
      </c>
      <c r="B24" s="65">
        <v>1</v>
      </c>
      <c r="C24" s="91">
        <f t="shared" si="4"/>
        <v>1</v>
      </c>
      <c r="D24" s="65">
        <f>D23</f>
        <v>0.3</v>
      </c>
      <c r="E24" s="91">
        <f t="shared" ref="E24:E26" si="11">D24</f>
        <v>0.3</v>
      </c>
      <c r="F24" s="91">
        <v>1</v>
      </c>
      <c r="G24" s="44">
        <f t="shared" si="5"/>
        <v>1</v>
      </c>
      <c r="H24" s="44">
        <f t="shared" si="6"/>
        <v>0</v>
      </c>
      <c r="I24" s="44">
        <f t="shared" si="7"/>
        <v>0.3</v>
      </c>
      <c r="J24" s="44">
        <f t="shared" si="8"/>
        <v>0</v>
      </c>
      <c r="K24" s="104">
        <f t="shared" si="9"/>
        <v>0.3</v>
      </c>
      <c r="L24" s="45">
        <f t="shared" si="10"/>
        <v>0</v>
      </c>
      <c r="M24" s="39"/>
    </row>
    <row r="25" spans="1:13" s="44" customFormat="1" ht="30" customHeight="1">
      <c r="A25" s="64" t="s">
        <v>39</v>
      </c>
      <c r="B25" s="65">
        <v>2</v>
      </c>
      <c r="C25" s="91">
        <f t="shared" si="4"/>
        <v>2</v>
      </c>
      <c r="D25" s="65">
        <v>0.2</v>
      </c>
      <c r="E25" s="91">
        <f t="shared" si="11"/>
        <v>0.2</v>
      </c>
      <c r="F25" s="91">
        <v>-1</v>
      </c>
      <c r="G25" s="44">
        <f t="shared" si="5"/>
        <v>2</v>
      </c>
      <c r="H25" s="44">
        <f t="shared" si="6"/>
        <v>0</v>
      </c>
      <c r="I25" s="44">
        <f t="shared" si="7"/>
        <v>0.2</v>
      </c>
      <c r="J25" s="44">
        <f t="shared" si="8"/>
        <v>0</v>
      </c>
      <c r="K25" s="104">
        <f t="shared" si="9"/>
        <v>0.4</v>
      </c>
      <c r="L25" s="45">
        <f t="shared" si="10"/>
        <v>0</v>
      </c>
      <c r="M25" s="39"/>
    </row>
    <row r="26" spans="1:13" s="44" customFormat="1" ht="30" customHeight="1">
      <c r="A26" s="64" t="s">
        <v>40</v>
      </c>
      <c r="B26" s="65">
        <v>4</v>
      </c>
      <c r="C26" s="91">
        <f t="shared" si="4"/>
        <v>4</v>
      </c>
      <c r="D26" s="65">
        <v>0.01</v>
      </c>
      <c r="E26" s="91">
        <f t="shared" si="11"/>
        <v>0.01</v>
      </c>
      <c r="F26" s="91">
        <v>-1</v>
      </c>
      <c r="G26" s="44">
        <f t="shared" si="5"/>
        <v>4</v>
      </c>
      <c r="H26" s="44">
        <f t="shared" si="6"/>
        <v>0</v>
      </c>
      <c r="I26" s="44">
        <f t="shared" si="7"/>
        <v>0.01</v>
      </c>
      <c r="J26" s="44">
        <f t="shared" si="8"/>
        <v>0</v>
      </c>
      <c r="K26" s="104">
        <f t="shared" si="9"/>
        <v>0.04</v>
      </c>
      <c r="L26" s="45">
        <f t="shared" si="10"/>
        <v>0</v>
      </c>
      <c r="M26" s="39" t="s">
        <v>142</v>
      </c>
    </row>
    <row r="27" spans="1:13" s="44" customFormat="1" ht="30" customHeight="1">
      <c r="A27" s="64" t="s">
        <v>42</v>
      </c>
      <c r="B27" s="153">
        <v>10000000</v>
      </c>
      <c r="C27" s="91">
        <f t="shared" si="4"/>
        <v>10000000</v>
      </c>
      <c r="D27" s="105">
        <f>D22</f>
        <v>1</v>
      </c>
      <c r="E27" s="45">
        <v>1</v>
      </c>
      <c r="F27" s="45">
        <v>1</v>
      </c>
      <c r="G27" s="44">
        <f t="shared" si="5"/>
        <v>10000000</v>
      </c>
      <c r="H27" s="44">
        <f t="shared" si="6"/>
        <v>0</v>
      </c>
      <c r="I27" s="44">
        <f t="shared" si="7"/>
        <v>1</v>
      </c>
      <c r="J27" s="44">
        <f t="shared" si="8"/>
        <v>0</v>
      </c>
      <c r="K27" s="104">
        <f t="shared" si="9"/>
        <v>10000000</v>
      </c>
      <c r="L27" s="45">
        <f t="shared" si="10"/>
        <v>0</v>
      </c>
      <c r="M27" s="39" t="s">
        <v>45</v>
      </c>
    </row>
    <row r="28" spans="1:13" s="44" customFormat="1" ht="30" customHeight="1">
      <c r="A28" s="64" t="s">
        <v>193</v>
      </c>
      <c r="B28" s="65">
        <v>3</v>
      </c>
      <c r="C28" s="91">
        <f t="shared" si="4"/>
        <v>3</v>
      </c>
      <c r="D28" s="105">
        <v>1</v>
      </c>
      <c r="E28" s="45">
        <v>1</v>
      </c>
      <c r="F28" s="91">
        <v>1</v>
      </c>
      <c r="G28" s="44">
        <f t="shared" si="5"/>
        <v>3</v>
      </c>
      <c r="H28" s="44">
        <f t="shared" si="6"/>
        <v>0</v>
      </c>
      <c r="I28" s="44">
        <f t="shared" si="7"/>
        <v>1</v>
      </c>
      <c r="J28" s="44">
        <f t="shared" si="8"/>
        <v>0</v>
      </c>
      <c r="K28" s="104">
        <f t="shared" si="9"/>
        <v>3</v>
      </c>
      <c r="L28" s="45">
        <f t="shared" si="10"/>
        <v>0</v>
      </c>
    </row>
    <row r="29" spans="1:13" s="44" customFormat="1" ht="30" customHeight="1">
      <c r="A29" s="64" t="s">
        <v>43</v>
      </c>
      <c r="B29" s="65">
        <v>0.1</v>
      </c>
      <c r="C29" s="91">
        <f t="shared" si="4"/>
        <v>0.1</v>
      </c>
      <c r="D29" s="105">
        <v>1</v>
      </c>
      <c r="E29" s="45">
        <v>1</v>
      </c>
      <c r="F29" s="91">
        <v>-1</v>
      </c>
      <c r="G29" s="44">
        <f t="shared" si="5"/>
        <v>0.1</v>
      </c>
      <c r="H29" s="44">
        <f t="shared" si="6"/>
        <v>0</v>
      </c>
      <c r="I29" s="44">
        <f t="shared" si="7"/>
        <v>1</v>
      </c>
      <c r="J29" s="44">
        <f t="shared" si="8"/>
        <v>0</v>
      </c>
      <c r="K29" s="104">
        <f t="shared" si="9"/>
        <v>0.1</v>
      </c>
      <c r="L29" s="45">
        <f t="shared" si="10"/>
        <v>0</v>
      </c>
    </row>
    <row r="30" spans="1:13" s="44" customFormat="1" ht="30" customHeight="1">
      <c r="A30" s="64" t="s">
        <v>44</v>
      </c>
      <c r="B30" s="65">
        <f>B27</f>
        <v>10000000</v>
      </c>
      <c r="C30" s="91">
        <f>C27</f>
        <v>10000000</v>
      </c>
      <c r="D30" s="105">
        <v>1</v>
      </c>
      <c r="E30" s="45">
        <v>1</v>
      </c>
      <c r="F30" s="45">
        <v>-1</v>
      </c>
      <c r="G30" s="44">
        <f t="shared" si="5"/>
        <v>10000000</v>
      </c>
      <c r="H30" s="44">
        <f t="shared" si="6"/>
        <v>0</v>
      </c>
      <c r="I30" s="44">
        <f t="shared" si="7"/>
        <v>1</v>
      </c>
      <c r="J30" s="44">
        <f t="shared" si="8"/>
        <v>0</v>
      </c>
      <c r="K30" s="104">
        <f t="shared" si="9"/>
        <v>10000000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156</v>
      </c>
      <c r="L35" s="54" t="s">
        <v>157</v>
      </c>
      <c r="O35" s="54" t="s">
        <v>156</v>
      </c>
      <c r="P35" s="54" t="s">
        <v>157</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122</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tabSelected="1" workbookViewId="0">
      <selection activeCell="F4" sqref="F4"/>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224</v>
      </c>
    </row>
    <row r="2" spans="1:18" ht="45">
      <c r="A2" s="5">
        <v>0</v>
      </c>
      <c r="B2" s="109" t="s">
        <v>156</v>
      </c>
      <c r="C2" s="109" t="s">
        <v>157</v>
      </c>
      <c r="D2" s="5" t="s">
        <v>27</v>
      </c>
      <c r="E2" s="5"/>
      <c r="F2" s="5"/>
      <c r="G2" s="109" t="s">
        <v>156</v>
      </c>
      <c r="H2" s="109" t="s">
        <v>157</v>
      </c>
      <c r="I2" s="5" t="s">
        <v>27</v>
      </c>
      <c r="L2" s="3" t="s">
        <v>160</v>
      </c>
      <c r="M2" s="3" t="s">
        <v>158</v>
      </c>
      <c r="O2" t="s">
        <v>161</v>
      </c>
      <c r="Q2" s="3"/>
      <c r="R2" s="3"/>
    </row>
    <row r="3" spans="1:18">
      <c r="A3" s="5" t="s">
        <v>14</v>
      </c>
      <c r="B3" s="8">
        <f>VLOOKUP($A3,Globals!$J$36:$L$40,2,FALSE)</f>
        <v>3162277660168.3794</v>
      </c>
      <c r="C3" s="8">
        <f>VLOOKUP($A3,Globals!$J$36:$L$40,3,FALSE)</f>
        <v>1.1704562191085683</v>
      </c>
      <c r="D3" s="5"/>
      <c r="E3" s="5"/>
      <c r="F3" s="5"/>
      <c r="G3" s="5"/>
      <c r="H3" s="5" t="e">
        <f>VLOOKUP($F3,Globals!$N$36:$P$42,3,FALSE)</f>
        <v>#N/A</v>
      </c>
      <c r="I3" s="5"/>
      <c r="K3" s="15" t="s">
        <v>183</v>
      </c>
      <c r="L3" s="14" t="e">
        <f>G10*O3</f>
        <v>#N/A</v>
      </c>
      <c r="M3" s="14" t="e">
        <f>H10</f>
        <v>#N/A</v>
      </c>
      <c r="N3" t="s">
        <v>70</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177</v>
      </c>
      <c r="L4" s="14">
        <f>B11*O4</f>
        <v>6.3245553203367608E+50</v>
      </c>
      <c r="M4" s="14">
        <f>C11</f>
        <v>3.5113686573257055</v>
      </c>
      <c r="N4" t="s">
        <v>74</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194</v>
      </c>
      <c r="L5" s="14">
        <f>B16*O5</f>
        <v>1.1384199576606165E+45</v>
      </c>
      <c r="M5" s="14">
        <f>C16</f>
        <v>3.5113686573257055</v>
      </c>
      <c r="N5" t="s">
        <v>195</v>
      </c>
      <c r="O5">
        <f>p_computronium*p_ems</f>
        <v>0.12</v>
      </c>
      <c r="Q5" s="3"/>
      <c r="R5" s="3"/>
    </row>
    <row r="6" spans="1:18">
      <c r="A6" s="5" t="s">
        <v>41</v>
      </c>
      <c r="B6" s="8">
        <f>VLOOKUP($A6,Globals!$J$36:$L$40,2,FALSE)</f>
        <v>0.1</v>
      </c>
      <c r="C6" s="8">
        <f>VLOOKUP($A6,Globals!$J$36:$L$40,3,FALSE)</f>
        <v>0</v>
      </c>
      <c r="D6" s="5"/>
      <c r="E6" s="5"/>
      <c r="F6" s="5"/>
      <c r="G6" s="5"/>
      <c r="H6" s="5"/>
      <c r="I6" s="5"/>
      <c r="K6" s="30" t="s">
        <v>152</v>
      </c>
      <c r="L6" s="31" t="str">
        <f>WriteArray(SumLognormDists(L3:M5))</f>
        <v>disabled</v>
      </c>
      <c r="M6" s="31" t="s">
        <v>148</v>
      </c>
      <c r="Q6" s="3"/>
      <c r="R6" s="3"/>
    </row>
    <row r="7" spans="1:18">
      <c r="B7" s="5"/>
      <c r="C7" s="5"/>
      <c r="D7" s="5"/>
      <c r="E7" s="5"/>
      <c r="F7" s="10" t="s">
        <v>50</v>
      </c>
      <c r="G7" s="5"/>
      <c r="H7" s="5"/>
      <c r="I7" s="5"/>
      <c r="K7" s="3" t="s">
        <v>155</v>
      </c>
      <c r="L7" s="3" t="e">
        <f>STupidExcelMean(L6)</f>
        <v>#VALUE!</v>
      </c>
      <c r="M7" s="3" t="e">
        <f>STupidExcelVariance(L6,L7)</f>
        <v>#VALUE!</v>
      </c>
      <c r="N7" t="s">
        <v>150</v>
      </c>
      <c r="Q7" s="3"/>
      <c r="R7" s="3"/>
    </row>
    <row r="8" spans="1:18">
      <c r="B8" s="5"/>
      <c r="C8" s="5"/>
      <c r="D8" s="5"/>
      <c r="E8" s="5"/>
      <c r="F8" s="5" t="s">
        <v>17</v>
      </c>
      <c r="G8" s="5">
        <f>VLOOKUP($F8,Globals!$N$36:$P$42,2,FALSE)</f>
        <v>100000000000</v>
      </c>
      <c r="H8" s="5">
        <f>VLOOKUP($F8,Globals!$N$36:$P$42,3,FALSE)</f>
        <v>0.78030414607237897</v>
      </c>
      <c r="I8" s="5"/>
      <c r="Q8" s="3"/>
      <c r="R8" s="3"/>
    </row>
    <row r="9" spans="1:18">
      <c r="A9" s="10" t="s">
        <v>47</v>
      </c>
      <c r="B9" s="5"/>
      <c r="C9" s="5"/>
      <c r="D9" s="5"/>
      <c r="E9" s="5"/>
      <c r="F9" s="5"/>
      <c r="G9" s="5" t="e">
        <f>VLOOKUP(F9,Globals!$A$21:$L$30,11,FALSE)</f>
        <v>#N/A</v>
      </c>
      <c r="H9" s="5" t="e">
        <f>VLOOKUP(F9,Globals!$A$21:$L$30,12,FALSE)</f>
        <v>#N/A</v>
      </c>
      <c r="I9" s="12" t="s">
        <v>223</v>
      </c>
      <c r="K9" s="15" t="s">
        <v>182</v>
      </c>
      <c r="L9" s="14">
        <f>G16*O9</f>
        <v>0</v>
      </c>
      <c r="M9" s="14" t="e">
        <f>H16</f>
        <v>#N/A</v>
      </c>
      <c r="N9" t="s">
        <v>62</v>
      </c>
      <c r="O9">
        <f>p_biological*p_not_care_about_animals*p_factory_farming</f>
        <v>0</v>
      </c>
      <c r="Q9" s="3"/>
      <c r="R9" s="3"/>
    </row>
    <row r="10" spans="1:18">
      <c r="A10" s="5" t="s">
        <v>42</v>
      </c>
      <c r="B10" s="5">
        <f>VLOOKUP(A10,Globals!$A$21:$L$30,11,FALSE)</f>
        <v>10000000</v>
      </c>
      <c r="C10" s="5">
        <f>VLOOKUP(A10,Globals!$A$21:$L$30,12,FALSE)</f>
        <v>0</v>
      </c>
      <c r="D10" s="5"/>
      <c r="E10" s="5"/>
      <c r="F10" s="160" t="s">
        <v>52</v>
      </c>
      <c r="G10" s="110" t="e">
        <f>PRODUCT(G$3:G$4)*PRODUCT(G8:G9)</f>
        <v>#N/A</v>
      </c>
      <c r="H10" s="110" t="e">
        <f>SUM(H$3:H$4)+SUM(H8:H9)</f>
        <v>#N/A</v>
      </c>
      <c r="I10" s="5"/>
      <c r="K10" s="15" t="s">
        <v>179</v>
      </c>
      <c r="L10" s="14">
        <f>G22*O10</f>
        <v>5.1200000000000011E+24</v>
      </c>
      <c r="M10" s="14" t="e">
        <f>H22</f>
        <v>#N/A</v>
      </c>
      <c r="N10" t="s">
        <v>71</v>
      </c>
      <c r="O10">
        <f>p_biological*p_not_care_about_animals*p_spread_was</f>
        <v>0.12800000000000003</v>
      </c>
      <c r="Q10" s="3"/>
      <c r="R10" s="3"/>
    </row>
    <row r="11" spans="1:18">
      <c r="A11" s="16" t="s">
        <v>52</v>
      </c>
      <c r="B11" s="110">
        <f>PRODUCT($B$3:$B$6)*B10</f>
        <v>3.1622776601683798E+52</v>
      </c>
      <c r="C11" s="110">
        <f>SUM(C$3:C$6)+C10</f>
        <v>3.5113686573257055</v>
      </c>
      <c r="D11" s="5"/>
      <c r="E11" s="5"/>
      <c r="F11" s="161"/>
      <c r="G11" s="5"/>
      <c r="H11" s="5"/>
      <c r="I11" s="5"/>
      <c r="K11" s="15" t="s">
        <v>180</v>
      </c>
      <c r="L11" s="14">
        <f>G28*O11</f>
        <v>1.6190861620062105E+28</v>
      </c>
      <c r="M11" s="14" t="e">
        <f>H28</f>
        <v>#N/A</v>
      </c>
      <c r="N11" t="s">
        <v>72</v>
      </c>
      <c r="O11">
        <f>p_biological*p_not_care_about_animals*p_spread_was</f>
        <v>0.12800000000000003</v>
      </c>
      <c r="Q11" s="3"/>
      <c r="R11" s="3"/>
    </row>
    <row r="12" spans="1:18">
      <c r="B12" s="8"/>
      <c r="C12" s="5"/>
      <c r="D12" s="5"/>
      <c r="E12" s="5"/>
      <c r="F12" s="5"/>
      <c r="G12" s="5"/>
      <c r="H12" s="5"/>
      <c r="I12" s="5"/>
      <c r="K12" s="15" t="s">
        <v>181</v>
      </c>
      <c r="L12" s="14">
        <f>G35*O12</f>
        <v>3.8399999999999999E+26</v>
      </c>
      <c r="M12" s="14" t="e">
        <f>H35</f>
        <v>#N/A</v>
      </c>
      <c r="N12" t="s">
        <v>73</v>
      </c>
      <c r="O12">
        <f>p_biological*p_not_care_about_animals*p_suffering_simulations</f>
        <v>9.6000000000000016E-2</v>
      </c>
      <c r="Q12" s="3"/>
      <c r="R12" s="3"/>
    </row>
    <row r="13" spans="1:18" ht="30">
      <c r="B13" s="5"/>
      <c r="C13" s="5"/>
      <c r="D13" s="5"/>
      <c r="E13" s="5"/>
      <c r="F13" s="10" t="s">
        <v>53</v>
      </c>
      <c r="G13" s="5"/>
      <c r="H13" s="5"/>
      <c r="I13" s="5" t="e">
        <f>VLOOKUP($H13,'EV of Far Future'!$K$3:$N$14,2,FALSE)</f>
        <v>#N/A</v>
      </c>
      <c r="K13" s="15" t="s">
        <v>184</v>
      </c>
      <c r="L13" s="14">
        <f>B21*O13</f>
        <v>8.0954308100310524E+43</v>
      </c>
      <c r="M13" s="14">
        <f>C21</f>
        <v>3.5113686573257055</v>
      </c>
      <c r="N13" t="s">
        <v>75</v>
      </c>
      <c r="O13">
        <f>p_computronium*p_paperclip</f>
        <v>0.25600000000000001</v>
      </c>
      <c r="Q13" s="3"/>
      <c r="R13" s="3"/>
    </row>
    <row r="14" spans="1:18" ht="30">
      <c r="A14" s="10" t="s">
        <v>192</v>
      </c>
      <c r="B14" s="5"/>
      <c r="C14" s="5"/>
      <c r="D14" s="5"/>
      <c r="E14" s="5"/>
      <c r="F14" s="5" t="s">
        <v>18</v>
      </c>
      <c r="G14" s="5">
        <f>VLOOKUP($F14,Globals!$N$36:$P$42,2,FALSE)</f>
        <v>100000000000</v>
      </c>
      <c r="H14" s="5">
        <f>VLOOKUP($F14,Globals!$N$36:$P$42,3,FALSE)</f>
        <v>0.78030414607237897</v>
      </c>
      <c r="I14" s="5"/>
      <c r="K14" s="15" t="s">
        <v>178</v>
      </c>
      <c r="L14" s="14">
        <f>B26*O14</f>
        <v>1.264911064067352E+49</v>
      </c>
      <c r="M14" s="14">
        <f>C26</f>
        <v>3.5113686573257055</v>
      </c>
      <c r="N14" t="s">
        <v>76</v>
      </c>
      <c r="O14">
        <f>p_computronium*p_dolorium</f>
        <v>4.0000000000000002E-4</v>
      </c>
    </row>
    <row r="15" spans="1:18" ht="30">
      <c r="A15" s="5" t="s">
        <v>193</v>
      </c>
      <c r="B15" s="5">
        <f>VLOOKUP(A15,Globals!$A$21:$L$30,11,FALSE)</f>
        <v>3</v>
      </c>
      <c r="C15" s="5">
        <f>VLOOKUP(A15,Globals!$A$21:$L$30,12,FALSE)</f>
        <v>0</v>
      </c>
      <c r="D15" s="5">
        <v>1E-3</v>
      </c>
      <c r="E15" s="5"/>
      <c r="F15" s="5" t="s">
        <v>38</v>
      </c>
      <c r="G15" s="5">
        <f>VLOOKUP(F15,Globals!$A$21:$L$30,11,FALSE)</f>
        <v>1.7999999999999998</v>
      </c>
      <c r="H15" s="5">
        <f>VLOOKUP(F15,Globals!$A$21:$L$30,12,FALSE)</f>
        <v>0</v>
      </c>
      <c r="I15" s="5"/>
      <c r="K15" s="30" t="s">
        <v>153</v>
      </c>
      <c r="L15" s="31" t="str">
        <f>WriteArray(SumLognormDists(L9:M14))</f>
        <v>disabled</v>
      </c>
      <c r="M15" s="31" t="s">
        <v>148</v>
      </c>
    </row>
    <row r="16" spans="1:18">
      <c r="A16" s="16" t="s">
        <v>52</v>
      </c>
      <c r="B16" s="110">
        <f>PRODUCT($B$3:$B$6)*B15</f>
        <v>9.4868329805051385E+45</v>
      </c>
      <c r="C16" s="110">
        <f>SUM(C$3:C$6)+C15</f>
        <v>3.5113686573257055</v>
      </c>
      <c r="D16" s="5"/>
      <c r="E16" s="5"/>
      <c r="F16" s="17" t="s">
        <v>52</v>
      </c>
      <c r="G16" s="110">
        <f>PRODUCT(G$3:G$4)*PRODUCT(G14:G15)</f>
        <v>5.6920997883030807E+22</v>
      </c>
      <c r="H16" s="110" t="e">
        <f>SUM(H$3:H$4)+SUM(H14:H15)</f>
        <v>#N/A</v>
      </c>
      <c r="I16" s="5"/>
      <c r="K16" s="3" t="s">
        <v>154</v>
      </c>
      <c r="L16" s="3" t="e">
        <f>STupidExcelMean(L15)</f>
        <v>#VALUE!</v>
      </c>
      <c r="M16" s="3" t="e">
        <f>STupidExcelVariance(L15,L16)</f>
        <v>#VALUE!</v>
      </c>
      <c r="N16" s="7" t="s">
        <v>150</v>
      </c>
    </row>
    <row r="17" spans="1:23">
      <c r="B17" s="5"/>
      <c r="C17" s="5"/>
      <c r="D17" s="5"/>
      <c r="E17" s="5"/>
      <c r="F17" s="5"/>
      <c r="G17" s="5"/>
      <c r="H17" s="5"/>
      <c r="I17" s="5"/>
    </row>
    <row r="18" spans="1:23">
      <c r="B18" s="5"/>
      <c r="C18" s="5"/>
      <c r="D18" s="5"/>
      <c r="E18" s="5"/>
      <c r="F18" s="5"/>
      <c r="G18" s="5"/>
      <c r="H18" s="5"/>
      <c r="I18" s="5"/>
      <c r="K18" s="3" t="s">
        <v>151</v>
      </c>
      <c r="L18" s="3" t="e">
        <f>L7-L16</f>
        <v>#VALUE!</v>
      </c>
      <c r="M18" t="e">
        <f>DifferenceVariance(L7:M7,L16:M16)</f>
        <v>#VALUE!</v>
      </c>
    </row>
    <row r="19" spans="1:23" ht="30">
      <c r="A19" s="10" t="s">
        <v>48</v>
      </c>
      <c r="B19" s="5"/>
      <c r="C19" s="5"/>
      <c r="D19" s="5"/>
      <c r="E19" s="5"/>
      <c r="F19" s="10" t="s">
        <v>55</v>
      </c>
      <c r="G19" s="5"/>
      <c r="H19" s="5"/>
      <c r="I19" s="5"/>
      <c r="K19" s="27" t="s">
        <v>106</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0">
        <f>PRODUCT($B$3:$B$6)*B20</f>
        <v>3.1622776601683798E+44</v>
      </c>
      <c r="C21" s="110">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0">
        <f>PRODUCT(G$3:G$4)*PRODUCT(G20:G21)</f>
        <v>3.9999999999999995E+25</v>
      </c>
      <c r="H22" s="110" t="e">
        <f>SUM(H$3:H$4)+SUM(H20:H21)</f>
        <v>#N/A</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10000000</v>
      </c>
      <c r="C25" s="5">
        <f>VLOOKUP(A25,Globals!$A$21:$L$30,12,FALSE)</f>
        <v>0</v>
      </c>
      <c r="D25" s="5"/>
      <c r="E25" s="5"/>
      <c r="F25" s="10" t="s">
        <v>56</v>
      </c>
      <c r="G25" s="5"/>
      <c r="H25" s="5"/>
      <c r="I25" s="5"/>
      <c r="M25" s="28"/>
      <c r="S25" s="8"/>
      <c r="T25" s="3"/>
      <c r="U25" s="3"/>
      <c r="V25" s="3"/>
      <c r="W25" s="3"/>
    </row>
    <row r="26" spans="1:23">
      <c r="A26" s="16" t="s">
        <v>52</v>
      </c>
      <c r="B26" s="110">
        <f>PRODUCT($B$3:$B$6)*B25</f>
        <v>3.1622776601683798E+52</v>
      </c>
      <c r="C26" s="110">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155">
        <v>10000000</v>
      </c>
      <c r="C27" s="8"/>
      <c r="D27" s="5"/>
      <c r="E27" s="5"/>
      <c r="F27" s="5" t="s">
        <v>40</v>
      </c>
      <c r="G27" s="5">
        <f>VLOOKUP(F27,Globals!$A$21:$L$30,11,FALSE)</f>
        <v>0.04</v>
      </c>
      <c r="H27" s="5">
        <f>VLOOKUP(F27,Globals!$A$21:$L$30,12,FALSE)</f>
        <v>0</v>
      </c>
      <c r="I27" s="5"/>
      <c r="M27" s="28"/>
      <c r="S27" s="3"/>
      <c r="T27" s="3"/>
      <c r="U27" s="3"/>
      <c r="V27" s="3"/>
      <c r="W27" s="3"/>
    </row>
    <row r="28" spans="1:23">
      <c r="B28" s="5">
        <v>3</v>
      </c>
      <c r="C28" s="5"/>
      <c r="D28" s="5"/>
      <c r="E28" s="5"/>
      <c r="F28" s="17" t="s">
        <v>52</v>
      </c>
      <c r="G28" s="110">
        <f>PRODUCT(G$3:G$4)*PRODUCT(G26:G27)</f>
        <v>1.2649110640673516E+29</v>
      </c>
      <c r="H28" s="110" t="e">
        <f>SUM(H$3:H$4)+SUM(H26:H27)</f>
        <v>#N/A</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0">
        <f>PRODUCT(G$3:G$4)*PRODUCT(G32:G34)</f>
        <v>3.999999999999999E+27</v>
      </c>
      <c r="H35" s="110" t="e">
        <f>SUM(H$3:H$4)+SUM(H32:H34)</f>
        <v>#N/A</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F4" sqref="F4"/>
    </sheetView>
  </sheetViews>
  <sheetFormatPr baseColWidth="10" defaultRowHeight="15" x14ac:dyDescent="0"/>
  <cols>
    <col min="1" max="1" width="21.6640625" customWidth="1"/>
    <col min="2" max="2" width="12.83203125" bestFit="1" customWidth="1"/>
    <col min="3" max="3" width="12.1640625" bestFit="1" customWidth="1"/>
    <col min="4" max="4" width="10.83203125" style="102"/>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2" t="s">
        <v>120</v>
      </c>
      <c r="B1" s="81"/>
      <c r="C1" s="81"/>
      <c r="D1" s="118"/>
      <c r="F1" s="1" t="s">
        <v>63</v>
      </c>
    </row>
    <row r="2" spans="1:16">
      <c r="A2" s="74">
        <v>0</v>
      </c>
      <c r="B2" s="74" t="s">
        <v>0</v>
      </c>
      <c r="C2" s="74" t="s">
        <v>1</v>
      </c>
      <c r="D2" s="118" t="s">
        <v>27</v>
      </c>
      <c r="G2" s="7" t="s">
        <v>156</v>
      </c>
      <c r="H2" s="7" t="s">
        <v>157</v>
      </c>
      <c r="I2" t="s">
        <v>159</v>
      </c>
    </row>
    <row r="3" spans="1:16" ht="30">
      <c r="A3" s="42" t="s">
        <v>96</v>
      </c>
      <c r="B3" s="50">
        <v>50000000000</v>
      </c>
      <c r="C3" s="50">
        <v>2000000000000</v>
      </c>
      <c r="D3" s="118" t="s">
        <v>230</v>
      </c>
      <c r="F3" s="15"/>
      <c r="G3" s="14"/>
      <c r="H3" s="14">
        <f>I3^2</f>
        <v>4.0000000000000008E-2</v>
      </c>
      <c r="I3">
        <v>0.2</v>
      </c>
    </row>
    <row r="4" spans="1:16">
      <c r="A4" s="46" t="s">
        <v>91</v>
      </c>
      <c r="B4" s="47">
        <v>0.1</v>
      </c>
      <c r="C4" s="47">
        <v>0.5</v>
      </c>
      <c r="D4" s="118" t="s">
        <v>188</v>
      </c>
      <c r="F4" s="18" t="s">
        <v>78</v>
      </c>
      <c r="G4" s="19" t="e">
        <f>ParetoPosterior(median,alpha,G3:H3)</f>
        <v>#VALUE!</v>
      </c>
      <c r="H4" s="3"/>
    </row>
    <row r="5" spans="1:16" ht="45">
      <c r="A5" s="46" t="s">
        <v>254</v>
      </c>
      <c r="B5" s="47">
        <v>5.0000000000000001E-3</v>
      </c>
      <c r="C5" s="47">
        <v>0.2</v>
      </c>
      <c r="D5" s="118"/>
      <c r="F5" s="18" t="s">
        <v>85</v>
      </c>
      <c r="G5" s="19" t="str">
        <f>LognormPosterior(mu_global_poverty,sigma_global_poverty,G3:H3)</f>
        <v>disabled</v>
      </c>
      <c r="H5" s="3"/>
    </row>
    <row r="6" spans="1:16" ht="45">
      <c r="A6" s="46" t="s">
        <v>255</v>
      </c>
      <c r="B6" s="47">
        <f>B5*1.01</f>
        <v>5.0499999999999998E-3</v>
      </c>
      <c r="C6" s="47">
        <f>C5*1.01</f>
        <v>0.20200000000000001</v>
      </c>
      <c r="D6" s="118"/>
    </row>
    <row r="7" spans="1:16" ht="30">
      <c r="A7" s="115" t="s">
        <v>87</v>
      </c>
      <c r="B7" s="106">
        <f>1000/C3*interest_rate</f>
        <v>2.5000000000000004E-11</v>
      </c>
      <c r="C7" s="106">
        <f>1000/B3*interest_rate</f>
        <v>1.0000000000000001E-9</v>
      </c>
      <c r="D7" s="118"/>
      <c r="G7" s="7"/>
      <c r="H7" s="7"/>
    </row>
    <row r="8" spans="1:16" ht="45">
      <c r="A8" s="90" t="s">
        <v>256</v>
      </c>
      <c r="B8" s="65">
        <v>1.21</v>
      </c>
      <c r="C8" s="65">
        <v>192</v>
      </c>
      <c r="D8" s="119" t="s">
        <v>226</v>
      </c>
      <c r="F8" s="1" t="s">
        <v>86</v>
      </c>
      <c r="K8" s="1" t="s">
        <v>94</v>
      </c>
    </row>
    <row r="9" spans="1:16" ht="30">
      <c r="A9" s="117" t="s">
        <v>227</v>
      </c>
      <c r="B9" s="44">
        <f>B8/365</f>
        <v>3.3150684931506848E-3</v>
      </c>
      <c r="C9" s="44">
        <f>C8/365</f>
        <v>0.52602739726027392</v>
      </c>
      <c r="G9" t="s">
        <v>156</v>
      </c>
      <c r="H9" t="s">
        <v>158</v>
      </c>
      <c r="J9" s="13"/>
      <c r="L9" s="7" t="s">
        <v>156</v>
      </c>
      <c r="M9" s="7" t="s">
        <v>158</v>
      </c>
      <c r="N9" s="13"/>
      <c r="O9" s="3"/>
      <c r="P9" s="3"/>
    </row>
    <row r="10" spans="1:16">
      <c r="A10" s="117"/>
      <c r="F10" s="158" t="s">
        <v>91</v>
      </c>
      <c r="G10">
        <f>GEOMEAN($B$4,$C$4)</f>
        <v>0.22360679774997896</v>
      </c>
      <c r="H10">
        <f>LogVariance($B$4,$C$4)</f>
        <v>0.27270459618181209</v>
      </c>
      <c r="J10" s="3"/>
      <c r="K10" t="s">
        <v>91</v>
      </c>
      <c r="L10">
        <f>GEOMEAN($B$4,$C$4)</f>
        <v>0.22360679774997896</v>
      </c>
      <c r="M10">
        <f>LogVariance($B$4,$C$4)</f>
        <v>0.27270459618181209</v>
      </c>
      <c r="N10" s="3"/>
      <c r="O10" s="3"/>
      <c r="P10" s="3"/>
    </row>
    <row r="11" spans="1:16">
      <c r="A11" s="117"/>
      <c r="F11" s="159" t="s">
        <v>92</v>
      </c>
      <c r="G11">
        <f>GEOMEAN($B$5,$C$5)</f>
        <v>3.1622776601683791E-2</v>
      </c>
      <c r="H11">
        <f>LogVariance($B$5,$C$5)</f>
        <v>0.62504702674494428</v>
      </c>
      <c r="J11" s="3"/>
      <c r="K11" s="3" t="s">
        <v>93</v>
      </c>
      <c r="L11">
        <f>GEOMEAN($B$6,$C$6)</f>
        <v>3.1939004367700634E-2</v>
      </c>
      <c r="M11">
        <f>LogVariance($B$6,$C$6)</f>
        <v>0.62504702674494439</v>
      </c>
      <c r="N11" s="3"/>
      <c r="O11" s="3"/>
      <c r="P11" s="3"/>
    </row>
    <row r="12" spans="1:16">
      <c r="A12" s="117"/>
      <c r="F12" t="s">
        <v>87</v>
      </c>
      <c r="G12">
        <f>GEOMEAN($B$7,$C$7)</f>
        <v>1.5811388300841898E-10</v>
      </c>
      <c r="J12" s="3"/>
      <c r="K12" t="s">
        <v>87</v>
      </c>
      <c r="L12">
        <f>GEOMEAN($B$7,$C$7)</f>
        <v>1.5811388300841898E-10</v>
      </c>
      <c r="M12">
        <f>LogVariance($B$7,$C$7)</f>
        <v>0.62504702674494428</v>
      </c>
      <c r="N12" s="3"/>
      <c r="O12" s="3"/>
      <c r="P12" s="3"/>
    </row>
    <row r="13" spans="1:16">
      <c r="A13" s="102"/>
      <c r="F13" t="s">
        <v>106</v>
      </c>
      <c r="G13" t="e">
        <f>VLOOKUP(F13,'EV of Far Future'!$K$18:$M$19,2,FALSE)</f>
        <v>#VALUE!</v>
      </c>
      <c r="H13" t="e">
        <f>VLOOKUP(F13,'EV of Far Future'!$K$18:$M$19,3,FALSE)</f>
        <v>#VALUE!</v>
      </c>
      <c r="I13" t="e">
        <f>VLOOKUP($H13,'EV of Far Future'!$K$3:$N$14,2,FALSE)</f>
        <v>#VALUE!</v>
      </c>
      <c r="J13" s="3"/>
      <c r="K13" t="s">
        <v>106</v>
      </c>
      <c r="L13" t="e">
        <f>VLOOKUP(K13,'EV of Far Future'!$K$18:$M$19,2,FALSE)</f>
        <v>#VALUE!</v>
      </c>
      <c r="M13" t="e">
        <f>VLOOKUP(K13,'EV of Far Future'!$K$18:$M$19,3,FALSE)</f>
        <v>#VALUE!</v>
      </c>
      <c r="N13" s="3"/>
      <c r="O13" s="3"/>
      <c r="P13" s="3"/>
    </row>
    <row r="14" spans="1:16">
      <c r="A14" s="102"/>
      <c r="F14" s="15" t="s">
        <v>52</v>
      </c>
      <c r="G14" s="14" t="e">
        <f>PRODUCT(G10:G13)</f>
        <v>#VALUE!</v>
      </c>
      <c r="H14" s="14" t="e">
        <f>SUM(H10:H13)</f>
        <v>#VALUE!</v>
      </c>
      <c r="J14" s="3"/>
      <c r="K14" s="15" t="s">
        <v>52</v>
      </c>
      <c r="L14" s="14" t="e">
        <f>PRODUCT(L10:L13)</f>
        <v>#VALUE!</v>
      </c>
      <c r="M14" s="14" t="e">
        <f>SUM(M10:M13)</f>
        <v>#VALUE!</v>
      </c>
      <c r="N14" s="3"/>
      <c r="O14" s="3"/>
      <c r="P14" s="3"/>
    </row>
    <row r="15" spans="1:16">
      <c r="D15" s="102">
        <v>1E-3</v>
      </c>
      <c r="F15" s="3" t="s">
        <v>155</v>
      </c>
      <c r="G15" t="e">
        <f>meanFromParams(G14:H14)</f>
        <v>#VALUE!</v>
      </c>
      <c r="H15" t="e">
        <f>VarianceFromParams(G14:H14)</f>
        <v>#VALUE!</v>
      </c>
      <c r="J15" s="3"/>
      <c r="K15" s="3"/>
      <c r="L15" s="3"/>
      <c r="M15" s="3"/>
      <c r="N15" s="3"/>
      <c r="O15" s="3"/>
      <c r="P15" s="3"/>
    </row>
    <row r="16" spans="1:16">
      <c r="J16" s="3"/>
      <c r="K16" s="116"/>
      <c r="L16" s="116"/>
      <c r="M16" s="116"/>
      <c r="N16" s="3"/>
      <c r="O16" s="3"/>
      <c r="P16" s="3"/>
    </row>
    <row r="17" spans="1:16">
      <c r="J17" s="3"/>
      <c r="K17" s="120" t="s">
        <v>225</v>
      </c>
      <c r="L17" s="116"/>
      <c r="M17" s="116"/>
      <c r="N17" s="3"/>
      <c r="O17" s="3"/>
      <c r="P17" s="3"/>
    </row>
    <row r="18" spans="1:16">
      <c r="J18" s="3"/>
      <c r="K18" s="12"/>
      <c r="L18" s="116" t="s">
        <v>156</v>
      </c>
      <c r="M18" s="116" t="s">
        <v>158</v>
      </c>
      <c r="O18" s="3"/>
      <c r="P18" s="3"/>
    </row>
    <row r="19" spans="1:16">
      <c r="J19" s="3"/>
      <c r="K19" s="102" t="s">
        <v>227</v>
      </c>
      <c r="L19" s="116">
        <f>GEOMEAN(B9,C9)</f>
        <v>4.1759033168783891E-2</v>
      </c>
      <c r="M19" s="116">
        <f>LogVariance(B9,C9)</f>
        <v>0.85853582389873684</v>
      </c>
      <c r="N19" s="3"/>
      <c r="O19" s="3"/>
      <c r="P19" s="3"/>
    </row>
    <row r="20" spans="1:16">
      <c r="J20" s="13"/>
      <c r="K20" s="116" t="s">
        <v>38</v>
      </c>
      <c r="L20">
        <f>VLOOKUP(K20,Globals!$A$22:$L$30,11,FALSE)</f>
        <v>1.7999999999999998</v>
      </c>
      <c r="M20">
        <f>VLOOKUP(K20,Globals!$A$22:$L$30,12,FALSE)</f>
        <v>0</v>
      </c>
      <c r="N20" s="13"/>
      <c r="O20" s="3"/>
      <c r="P20" s="3"/>
    </row>
    <row r="21" spans="1:16">
      <c r="J21" s="3"/>
      <c r="K21" s="122" t="s">
        <v>52</v>
      </c>
      <c r="L21" s="121">
        <f>PRODUCT(L19:L20)</f>
        <v>7.5166259703810995E-2</v>
      </c>
      <c r="M21" s="121">
        <f>SUM(M19:M20)</f>
        <v>0.85853582389873684</v>
      </c>
      <c r="N21" s="3"/>
      <c r="O21" s="3"/>
      <c r="P21" s="3"/>
    </row>
    <row r="22" spans="1:16" ht="20">
      <c r="A22" s="32" t="s">
        <v>59</v>
      </c>
      <c r="J22" s="3"/>
      <c r="K22" s="116"/>
      <c r="L22" s="116"/>
      <c r="M22" s="116"/>
      <c r="N22" s="3"/>
      <c r="O22" s="3"/>
      <c r="P22" s="3"/>
    </row>
    <row r="23" spans="1:16">
      <c r="A23" s="22" t="s">
        <v>164</v>
      </c>
      <c r="B23" s="3"/>
      <c r="C23" s="3"/>
      <c r="J23" s="3"/>
      <c r="N23" s="3"/>
      <c r="O23" s="3"/>
      <c r="P23" s="3"/>
    </row>
    <row r="24" spans="1:16" ht="30">
      <c r="A24" s="5" t="s">
        <v>162</v>
      </c>
      <c r="B24" t="e">
        <f>G15-L28</f>
        <v>#VALUE!</v>
      </c>
      <c r="C24" t="e">
        <f>DifferenceVariance(G15:H15,L28:M28)</f>
        <v>#VALUE!</v>
      </c>
      <c r="J24" s="3"/>
      <c r="K24" t="s">
        <v>228</v>
      </c>
      <c r="N24" s="3"/>
      <c r="O24" s="3"/>
      <c r="P24" s="3"/>
    </row>
    <row r="25" spans="1:16">
      <c r="A25" s="16" t="s">
        <v>163</v>
      </c>
      <c r="B25" s="14" t="e">
        <f>EXP(MuFromParams(ABS(B24),C24))</f>
        <v>#VALUE!</v>
      </c>
      <c r="C25" s="14" t="e">
        <f>(SigmaFromParams(B24,C24) / LN(10))^2</f>
        <v>#VALUE!</v>
      </c>
      <c r="K25" s="12" t="s">
        <v>229</v>
      </c>
      <c r="L25" s="12" t="e">
        <f>L14</f>
        <v>#VALUE!</v>
      </c>
      <c r="M25" s="12" t="e">
        <f>M14</f>
        <v>#VALUE!</v>
      </c>
    </row>
    <row r="26" spans="1:16">
      <c r="A26" s="36" t="s">
        <v>78</v>
      </c>
      <c r="B26" s="19" t="e">
        <f>ParetoPosterior(median,alpha,B25:C25)*SIGN(B24)</f>
        <v>#VALUE!</v>
      </c>
      <c r="K26" s="12" t="s">
        <v>144</v>
      </c>
      <c r="L26" s="12">
        <f>L21</f>
        <v>7.5166259703810995E-2</v>
      </c>
      <c r="M26" s="12">
        <f>M21</f>
        <v>0.85853582389873684</v>
      </c>
    </row>
    <row r="27" spans="1:16">
      <c r="A27" s="36" t="s">
        <v>85</v>
      </c>
      <c r="B27" s="154">
        <v>10000000</v>
      </c>
      <c r="K27" s="124" t="s">
        <v>167</v>
      </c>
      <c r="L27" s="123" t="str">
        <f>WriteArray(SumLognormDists(L25:M26))</f>
        <v>disabled</v>
      </c>
      <c r="M27" s="123" t="s">
        <v>148</v>
      </c>
    </row>
    <row r="28" spans="1:16">
      <c r="A28" s="5"/>
      <c r="B28">
        <v>3</v>
      </c>
      <c r="K28" s="7" t="s">
        <v>154</v>
      </c>
      <c r="L28" s="7" t="e">
        <f>STupidExcelMean(L27)</f>
        <v>#VALUE!</v>
      </c>
      <c r="M28" s="7" t="e">
        <f>STupidExcelVariance(L27,L28)</f>
        <v>#VALUE!</v>
      </c>
    </row>
    <row r="29" spans="1:16">
      <c r="A29" s="5"/>
    </row>
    <row r="30" spans="1:16">
      <c r="A30" s="33" t="s">
        <v>83</v>
      </c>
      <c r="B30" s="4" t="e">
        <f>B26+G4</f>
        <v>#VALUE!</v>
      </c>
    </row>
    <row r="31" spans="1:16">
      <c r="A31" s="33" t="s">
        <v>84</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tabSelected="1" workbookViewId="0">
      <selection activeCell="F4" sqref="F4"/>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120</v>
      </c>
      <c r="H1" s="1" t="s">
        <v>63</v>
      </c>
      <c r="M1" s="1" t="s">
        <v>77</v>
      </c>
    </row>
    <row r="2" spans="1:15">
      <c r="A2" s="57">
        <v>0</v>
      </c>
      <c r="B2" s="44" t="s">
        <v>0</v>
      </c>
      <c r="C2" s="44" t="s">
        <v>1</v>
      </c>
      <c r="D2" s="54" t="s">
        <v>156</v>
      </c>
      <c r="E2" s="54" t="s">
        <v>158</v>
      </c>
      <c r="F2" t="s">
        <v>27</v>
      </c>
      <c r="I2" s="7" t="s">
        <v>156</v>
      </c>
      <c r="J2" s="7" t="s">
        <v>157</v>
      </c>
      <c r="N2" s="7" t="s">
        <v>156</v>
      </c>
      <c r="O2" s="7" t="s">
        <v>158</v>
      </c>
    </row>
    <row r="3" spans="1:15" ht="30">
      <c r="A3" s="42" t="s">
        <v>117</v>
      </c>
      <c r="B3" s="43">
        <v>0.7</v>
      </c>
      <c r="C3" s="82">
        <v>13</v>
      </c>
      <c r="D3" s="74"/>
      <c r="E3" s="74"/>
      <c r="F3" s="141"/>
      <c r="G3" s="7"/>
      <c r="H3" t="s">
        <v>66</v>
      </c>
      <c r="I3">
        <f>D4</f>
        <v>3016.620625799671</v>
      </c>
      <c r="J3">
        <f>E4</f>
        <v>0.49504262895320128</v>
      </c>
      <c r="M3" s="3" t="s">
        <v>124</v>
      </c>
      <c r="N3" s="25">
        <f>VLOOKUP(M3,$A$18:$E$21,4,FALSE)</f>
        <v>4.4721359549995794E-2</v>
      </c>
      <c r="O3" s="25">
        <f>VLOOKUP(M3,$A$18:$E$21,5,FALSE)</f>
        <v>0.50759954989056688</v>
      </c>
    </row>
    <row r="4" spans="1:15" ht="30">
      <c r="A4" s="84" t="s">
        <v>66</v>
      </c>
      <c r="B4" s="85">
        <f>B3*1000</f>
        <v>700</v>
      </c>
      <c r="C4" s="85">
        <f>C3*1000</f>
        <v>13000</v>
      </c>
      <c r="D4" s="74">
        <f>GEOMEAN(B4,C4)</f>
        <v>3016.620625799671</v>
      </c>
      <c r="E4" s="74">
        <f>LogVariance(B4,C4)</f>
        <v>0.49504262895320128</v>
      </c>
      <c r="F4" s="141"/>
      <c r="G4" s="3"/>
      <c r="H4" t="s">
        <v>38</v>
      </c>
      <c r="I4">
        <f>VLOOKUP($H4,Globals!$A$22:$L$30,11,FALSE)</f>
        <v>1.7999999999999998</v>
      </c>
      <c r="J4">
        <f>VLOOKUP($H4,Globals!$A$22:$L$30,12,FALSE)</f>
        <v>0</v>
      </c>
      <c r="M4" s="3" t="s">
        <v>181</v>
      </c>
      <c r="N4">
        <f>VLOOKUP($M4,'EV of Far Future'!$K$3:$N$14,2,FALSE)</f>
        <v>3.8399999999999999E+26</v>
      </c>
      <c r="O4" t="e">
        <f>VLOOKUP($M4,'EV of Far Future'!$K$3:$N$14,3,FALSE)</f>
        <v>#N/A</v>
      </c>
    </row>
    <row r="5" spans="1:15">
      <c r="F5" s="102"/>
      <c r="H5" s="15" t="s">
        <v>52</v>
      </c>
      <c r="I5" s="14">
        <f>PRODUCT(I3:I4)</f>
        <v>5429.9171264394072</v>
      </c>
      <c r="J5" s="14">
        <f>SUM(J3:J4)</f>
        <v>0.49504262895320128</v>
      </c>
      <c r="M5" s="3" t="s">
        <v>284</v>
      </c>
      <c r="N5" s="2">
        <f>$D$7</f>
        <v>7.0710678118654755E-10</v>
      </c>
      <c r="O5">
        <f>$E$7</f>
        <v>0.11744747685437738</v>
      </c>
    </row>
    <row r="6" spans="1:15" ht="30">
      <c r="A6" s="46" t="s">
        <v>281</v>
      </c>
      <c r="B6" s="146">
        <v>1000000000</v>
      </c>
      <c r="C6" s="146">
        <v>2000000000</v>
      </c>
      <c r="D6" s="3"/>
      <c r="E6" s="3"/>
      <c r="F6" s="102"/>
      <c r="H6" s="18" t="s">
        <v>78</v>
      </c>
      <c r="I6" s="19">
        <f>ParetoPosterior(median,alpha,I5:J5)</f>
        <v>396.49368154968971</v>
      </c>
      <c r="M6" s="147" t="s">
        <v>285</v>
      </c>
      <c r="N6">
        <f>$D$16</f>
        <v>1.3769616143708125E-9</v>
      </c>
      <c r="O6">
        <f>$E$16</f>
        <v>5.0908678113629371</v>
      </c>
    </row>
    <row r="7" spans="1:15" ht="30">
      <c r="A7" s="148" t="s">
        <v>284</v>
      </c>
      <c r="B7" s="149">
        <v>5.0000000000000003E-10</v>
      </c>
      <c r="C7" s="149">
        <v>1.0000000000000001E-9</v>
      </c>
      <c r="D7" s="3">
        <f>GEOMEAN(B7,C7)</f>
        <v>7.0710678118654755E-10</v>
      </c>
      <c r="E7" s="3">
        <f>LogVariance(B7,C7)</f>
        <v>0.11744747685437738</v>
      </c>
      <c r="H7" s="18" t="s">
        <v>67</v>
      </c>
      <c r="I7" s="20" t="str">
        <f>LognormPosterior(mu_factory_farming,sigma_factory_farming,I5:J5)</f>
        <v>disabled</v>
      </c>
      <c r="M7" s="15" t="s">
        <v>52</v>
      </c>
      <c r="N7" s="14">
        <f>PRODUCT(N3:N6)</f>
        <v>16720646.215811355</v>
      </c>
      <c r="O7" s="14" t="e">
        <f>SUM(O3:O6)</f>
        <v>#N/A</v>
      </c>
    </row>
    <row r="8" spans="1:15">
      <c r="A8" s="46" t="s">
        <v>286</v>
      </c>
      <c r="B8" s="83">
        <v>22</v>
      </c>
      <c r="C8" s="83">
        <v>323</v>
      </c>
      <c r="D8" s="3">
        <f>GEOMEAN(B8,C8)</f>
        <v>84.297093662830392</v>
      </c>
      <c r="E8" s="3">
        <f>LogVariance(B8,C8)</f>
        <v>0.45522157394153262</v>
      </c>
      <c r="F8" s="102" t="s">
        <v>287</v>
      </c>
      <c r="I8" s="21"/>
    </row>
    <row r="9" spans="1:15" ht="30">
      <c r="A9" s="46" t="s">
        <v>288</v>
      </c>
      <c r="B9" s="83">
        <v>5</v>
      </c>
      <c r="C9" s="83">
        <v>8</v>
      </c>
      <c r="D9" s="3">
        <f>GEOMEAN(B9,C9)</f>
        <v>6.324555320336759</v>
      </c>
      <c r="E9" s="3">
        <f>LogVariance(B9,C9)</f>
        <v>7.9637834381320105E-2</v>
      </c>
      <c r="F9" s="102"/>
      <c r="I9" s="2"/>
    </row>
    <row r="10" spans="1:15" ht="30">
      <c r="A10" s="86" t="s">
        <v>289</v>
      </c>
      <c r="B10" s="145"/>
      <c r="C10" s="145"/>
      <c r="D10" s="3">
        <f>D8*D9</f>
        <v>533.14163221418005</v>
      </c>
      <c r="E10" s="3">
        <f>E8+E9</f>
        <v>0.53485940832285273</v>
      </c>
      <c r="F10" s="157"/>
      <c r="H10" s="13" t="s">
        <v>64</v>
      </c>
      <c r="M10" s="1" t="s">
        <v>172</v>
      </c>
    </row>
    <row r="11" spans="1:15" ht="45">
      <c r="A11" s="46" t="s">
        <v>103</v>
      </c>
      <c r="B11" s="47">
        <v>5.0000000000000001E-3</v>
      </c>
      <c r="C11" s="47">
        <v>0.03</v>
      </c>
      <c r="D11" s="74">
        <f>GEOMEAN(B11,C11)</f>
        <v>1.2247448713915889E-2</v>
      </c>
      <c r="E11" s="74">
        <f>LogVariance(B11,C11)</f>
        <v>0.30359732347288149</v>
      </c>
      <c r="F11" s="157"/>
      <c r="I11" s="7" t="s">
        <v>156</v>
      </c>
      <c r="J11" s="7" t="s">
        <v>157</v>
      </c>
      <c r="M11" s="3" t="s">
        <v>174</v>
      </c>
      <c r="N11" s="25">
        <f>VLOOKUP(M11,$A$18:$E$21,4,FALSE)</f>
        <v>2.2360679774997897E-2</v>
      </c>
      <c r="O11" s="25">
        <f>VLOOKUP(M11,$A$18:$E$21,5,FALSE)</f>
        <v>0.27270459618181209</v>
      </c>
    </row>
    <row r="12" spans="1:15" ht="30">
      <c r="A12" s="84" t="s">
        <v>283</v>
      </c>
      <c r="B12" s="85"/>
      <c r="C12" s="85"/>
      <c r="D12" s="44">
        <f>D10*interest_rate</f>
        <v>26.657081610709003</v>
      </c>
      <c r="E12" s="44">
        <f>E10</f>
        <v>0.53485940832285273</v>
      </c>
      <c r="F12" s="102"/>
      <c r="H12" s="3"/>
      <c r="I12">
        <v>1</v>
      </c>
      <c r="J12">
        <v>0</v>
      </c>
      <c r="M12" s="3" t="s">
        <v>177</v>
      </c>
      <c r="N12">
        <f>VLOOKUP($M12,'EV of Far Future'!$K$3:$N$14,2,FALSE)</f>
        <v>6.3245553203367608E+50</v>
      </c>
      <c r="O12">
        <f>VLOOKUP($M12,'EV of Far Future'!$K$3:$N$14,3,FALSE)</f>
        <v>3.5113686573257055</v>
      </c>
    </row>
    <row r="13" spans="1:15" ht="30">
      <c r="A13" s="84" t="s">
        <v>282</v>
      </c>
      <c r="B13" s="85"/>
      <c r="C13" s="85"/>
      <c r="D13" s="44">
        <f>D10*D11</f>
        <v>6.5296247977965773</v>
      </c>
      <c r="E13" s="44">
        <f>E10+E11</f>
        <v>0.83845673179573421</v>
      </c>
      <c r="F13" s="102"/>
      <c r="H13" s="3" t="s">
        <v>182</v>
      </c>
      <c r="I13">
        <f>VLOOKUP($H13,'EV of Far Future'!$K$3:$N$14,2,FALSE)</f>
        <v>0</v>
      </c>
      <c r="J13" t="e">
        <f>VLOOKUP($H13,'EV of Far Future'!$K$3:$N$14,3,FALSE)</f>
        <v>#N/A</v>
      </c>
      <c r="M13" s="3" t="s">
        <v>284</v>
      </c>
      <c r="N13" s="2">
        <f>$D$7</f>
        <v>7.0710678118654755E-10</v>
      </c>
      <c r="O13">
        <f>$E$7</f>
        <v>0.11744747685437738</v>
      </c>
    </row>
    <row r="14" spans="1:15">
      <c r="A14" s="114" t="s">
        <v>167</v>
      </c>
      <c r="B14" s="44"/>
      <c r="C14" s="44"/>
      <c r="D14" s="113" t="str">
        <f>WriteArray(SumLognormDists(D12:E13))</f>
        <v>0,0,0,0,3.06801923715307E-261,5.6443364452014E-258,1.98627255916387E-255,8.06574951770373E-253,2.54761723790152E-250,7.67643852316551E-248,2.24349958487824E-245,6.37479281135915E-243,1.75885714105466E-240,4.71506324127615E-238,1.22818291020093E-235,3.10856462034519E-233,7.64501698491128E-231,1.82691716383917E-228,4.24210312498169E-226,9.57118408768777E-224,2.09832288025386E-221,4.4699357664798E-219,9.2523635452938E-217,1.86091552275066E-214,3.63683263952653E-212,6.90625782658705E-210,1.27433966415032E-207,2.28481312890702E-205,3.98051599405265E-203,6.73831636057296E-201,1.10837543492921E-198,1.77151973488533E-196,2.75124232789623E-194,4.15179194314896E-192,6.08788372921227E-190,8.67403743213017E-188,1.20088261147696E-185,1.61549006463453E-183,2.11170208191325E-181,2.68216678167805E-179,3.31027322338929E-177,3.9697850355983E-175,4.62589091305688E-173,5.23780340546667E-171,5.76273401369799E-169,6.16075157797731E-167,6.39977536183978E-165,6.45984126067726E-163,6.33585485246002E-161,6.03830474417456E-159,5.59179768282853E-157,5.03169918212348E-155,4.39951568880174E-153,3.73785321640751E-151,3.08579432846737E-149,2.47536511200169E-147,1.92947567326553E-145,1.46139393862134E-143,1.07553228600378E-141,7.69144544916367E-140,5.34467188316502E-138,3.60880085929667E-136,2.36773878282249E-134,1.50950264803951E-132,9.35111536862839E-131,5.62888819495142E-129,3.29239347290837E-127,1.87124640188173E-125,1.03342889287976E-123,5.54575702476838E-122,2.8918245481378E-120,1.46525818500926E-118,7.21419273223984E-117,3.45138138688312E-115,1.60446428932743E-113,7.24768511684316E-112,3.18127350778246E-110,1.35686115367944E-108,5.6234494931342E-107,2.26466237782643E-105,8.8621215041607E-104,3.36981299074733E-102,1.24511099344741E-100,4.47038379476258e-99,1.55961118311331e-97,5.28716638700852e-96,1.74166669170852e-94,5.57497438550031e-93,1.73403078876364e-91,5.24091568652456e-90,1.53919743611114e-88,4.39256942809096e-87,1.21809299347608e-85,3.28231405048477e-84,8.59444963102491e-83,2.18672739042038e-81,5.40642577397604e-80,1.29886875198775e-78,3.03221591119226e-77,6.87852340559236e-76,1.51625058649453e-74,3.24778925027098e-73,6.75999279048837e-72,1.36724583105619e-70,2.68713460581459e-69,5.13186403212156e-68,9.52366787363917e-67,1.71742273646381e-65,3.00950131009495e-64,5.12456178220923e-63,8.47938422587479e-62,1.36338279412518e-60,2.13018712074868e-59,3.23418383919091e-58,4.77154710915203e-57,6.84072086712228e-56,9.53000769894911e-55,1.29013145137516e-53,1.69716715404043e-52,2.16953093033373e-51,2.69499702386529e-50,3.25313890537096e-49,3.81592185605943e-48,4.34960254405755e-47,4.81785381124657e-46,5.18575897105513e-45,5.42408444744635e-44,5.51311081561394e-43,5.44532673525577e-42,5.22647533079176e-41,4.87475083915624e-40,4.41830137411491e-39,3.89151317364986e-38,3.33075595410755e-37,2.77031508277939e-36,2.23912581522607e-35,1.75869999063253e-34,1.34236290603755e-33,9.95666860080149e-33,7.17670558234215e-32,5.02694630362703e-31,3.42178329979157e-30,2.26345066528174e-29,1.45499334478043e-28,9.08915749646452e-28,5.51772614396129e-27,3.25515615661478e-26,1.86620783933997e-25,1.03974311888483e-24,5.62952013049746e-24,2.96208444261287e-23,1.51462716781386e-22,7.5265831408111e-22,3.63475731204533e-21,1.70584705377166e-20,7.78025120001162e-20,3.44856024309751e-19,1.48550652377042e-18,6.21878886974606e-18,2.53007618195158e-17,1.0003685681134e-16,3.84403503570173e-16,1.43554826517913e-15,5.21019315634517e-15,1.83779863087601e-14,6.3001765855555e-14,2.09904122364826e-13,6.79681641301249e-13,2.13899346002803e-12,6.54238187421833e-12,1.94485922539732e-11,5.61913940035209e-11,1.57791820657266e-10,4.30661558336695e-10,1.14242783773039e-09,2.94555298601027e-09,7.38167449661943e-09,1.79803358429933e-08,4.25697137844028e-08,9.79645995934283e-08,2.19133585151836e-07,4.76459805408731e-07,1.00699604081117e-06,2.0688094626537e-06,4.1315405302157e-06,8.02066582127749e-06,1.51364621039219e-05,2.77691888111815e-05,4.95264130147659e-05,8.58729131604796e-05,0.000144754733052324,0.000237235210643389,0.000378014871544351,0.000585648018558655,0.000882223174013991,0.00129226490208149,0.0018406651058338,0.00254958022480511,0.00343443786971216,0.00449945818506697,0.00573335938792521,0.00710610963546194,0.00856763032464702,0.0100491913334853,0.0114678547669119,0.0127337708473886,0.0137595184921022,0.0144701618762031,0.0148124079524307,0.0147612953485571,0.0143232364627072,0.0135348930122125,0.0124581379203668,0.011172059763995,0.00976343892299796,0.00831727300124054,0.00690874791943493,0.00559761759953781,0.00442539871398709,0.0034152472843233,0.0025739726909893,0.00189542183019224,0.00136443526265066,0.000960697330757891,0.000662009185096059,0.000446741907614749,0.000295425692923546,0.000191571878031454,0.000121900700933509,7.61680294533001e-05,4.67660123097878e-05,2.82339621722162e-05,1.67718069181265e-05,9.80897973594872e-06,5.65142289275539e-06,3.20936764843973e-06,1.79734149285314e-06,9.93112955435601e-07,5.4165076799191e-07,2.91729304702805e-07,1.55225486000173e-07,8.1629791409047e-08,4.2444154853762e-08,2.18299690998173e-08,1.11106185686909e-08,5.59830703429037e-09,2.79375562280687e-09,1.3813546746343e-09,6.76964246796495e-10,3.28934944509704e-10,1.58509130109719e-10,7.57681699323203e-11,3.59306444265345e-11,1.69049705040804e-11,7.89094968952336e-12,3.65405375446428e-12,1.6783851658365e-12,7.64538339699217e-13,3.45304831879897e-13,1.54595498575235e-13,6.85917852898095e-14,3.01521505321419e-14,1.31289018120023e-14,5.66110613108498e-15,2.41681612277945e-15,1.02134124804361e-15,4.27177175118364e-16,1.76802950107879e-16,7.24033654228553e-17,2.93337595474108e-17,1.17564468085433e-17,4.66069118810336e-18,1.8275234525891e-18,7.0874763140497e-19,2.71843102209023e-19,1.03116627322292e-19,3.86822231949338e-20,1.43501887230158e-20,5.26453912064908e-21,1.90991634045432e-21,6.85197093933515e-22,2.43086467651852e-22,8.52801275122506e-23,2.95852306883664e-23,1.0149411503162e-23,3.44306011211738e-24,1.15500936861528e-24,3.83144919335636e-25,1.25683116532847e-25,4.07687000571193e-26,1.30771365643178e-26,4.14795657174619e-27,1.30104225230131e-27,4.03537777978256e-28,1.2376919071616e-28,3.75384582020716e-29,1.12583778038678e-29,3.33895603208012e-30,9.7922178722322e-31,2.83979450983146e-31,8.14382136527779e-32,2.30943123910422e-32,6.47615605599196e-33,1.79582926954845e-33,4.92434255366008e-34,1.33526337464251e-34,3.58031375391857e-35,9.49315794083474e-36,2.48906246290712e-36,6.4535154414642e-37,1.65459756543576e-37,4.19492188042678e-38,1.05169750467825e-38,2.6073136514456e-39,6.3919178215518e-40,1.54954629589373e-40,3.71461149918143e-41,8.80557480061384e-42,2.06413211830882e-42,4.78467828524224e-43,1.09673943909227e-43,2.48593431730376e-44,5.57200256089609e-45,1.23500419914774e-45,2.70683030642726e-46,5.86663536057242e-47,1.25733970454782e-47,2.66472031973618e-48,5.5845232894395e-49,1.15732690208763e-49,2.3717093165855e-50,4.80620554260373e-51,9.63116203422023e-52,1.90849272230888e-52,3.73970888423879e-53,7.24637079749337e-54,1.38847728556825e-54,2.63082811772923e-55,4.92925901613803e-56,9.13284891768544e-57,1.67327135466972e-57,3.03153054501455e-58,5.43116491048148e-59,9.62187034183999e-60,1.68562700372345e-60,2.92010809983612e-61,5.0023243399387e-62,8.4738395071078e-63,1.4194630461787e-63,2.35127494655324e-64,3.85139632059979e-65,6.23833187432827e-66,9.99204102154576e-67,1.58261548481011e-67,2.47874631870314e-68,3.83905401777934e-69,5.87965485215037e-70,8.90461017921295e-71,1.33356276295109e-71,1.97491076743145e-72,2.89212436522555e-73,4.18814703356499e-74,5.99739074421863e-75,8.49255247927349e-76,1.18918549312832e-76,1.64663156049364e-77,2.25464793903299e-78,3.0527870291488e-79,4.08742453855022e-80,5.41175911287264e-81,7.08537165468464e-82,9.17323001096851e-83,1.17440367076927e-83,1.48678436707823e-84,1.86128998776802e-85,2.30417555859483e-86,2.82067181594704e-87,3.41448352699841e-88,4.08726648130368e-89,4.83811686792121e-90,5.66311296876291e-91,6.55495273537664e-92,7.5027309564549e-93,8.49189569234237e-94,9.50441515209876e-95,1.05191734005268e-95,1.15125969245369e-96,1.24594954001261e-97,1.33340806570386e-98,1.41111097858076e-99,1.47670835757863E-100,1.52814218262623E-101,1.56375339128681E-102,1.58237070540459E-103,1.58337459695534E-104,1.56673152080478E-105,1.53299577596187E-106,1.48327885128337E-107,1.41918862023141E-108,1.34274302428592E-109,1.25626470614607E-110,1.16226425607659E-111,1.06332022407683E-112,9.61963814015827E-114,8.60575278802079E-115,7.61297609415209E-116,6.65971332783038E-117,5.7609230360487E-118,4.92792489900048E-119,4.1684208273092E-120,3.48669936694217E-121,2.88398447261396E-122,2.35888518013234E-123,1.90790240382476E-124,1.52595236852549E-125,1.20687216040647E-126,9.43880535204359E-128,7.29975459472205E-129,5.5825800509399E-130,4.22179486857095E-131,3.15714672146476E-132,2.33468273644672E-133,1.70724735244766E-134,1.23452671657188E-135,8.82754636484344E-137,6.24187390088871E-138,4.364409007202E-139,3.01766735853478E-140,2.0632542873822E-141,1.39498525271071E-142,9.32656982077082E-144,6.16608836691817E-145,4.03118762455623E-146,2.60610403724118E-147,1.66604203678909E-148,1.05321159189721E-149,6.58386284194465E-151,4.06987797806888E-152,2.48781150187562E-153,1.50379633959867E-154,8.98868258493497E-156,5.31298432917599E-157,3.10539246227318E-158,1.79485728971954E-159,1.02583809123191E-160,5.79779944404995E-162,3.24028361382299E-163,1.79076389661065E-164,9.78653840411199E-166,5.28877813304395E-167,2.82629221035918E-168,1.49353100829403E-169,7.80453252976682E-171,4.03287736364582E-172,2.06071819375086E-173,1.0412563534315E-174,5.20274083038427E-176,2.57064549729671E-177,1.25599426459081E-178,6.0683216427581E-180,2.89924553317551E-181,1.36973600162462E-182,6.39917834244946E-184,2.95628994552793E-185,1.35053333380974E-186,6.10097237664214E-188,2.72538761847147E-189,1.20390707778841E-190,5.25887836554585E-192,2.27158375105513E-193,9.70286189922358E-195,4.09832519507176E-196,1.71178198294907E-197,7.07010648981293E-199,2.88761260261674E-200,1.16623849150311E-201,4.65769753831647E-203,1.83946133633494E-204,7.18365577856324E-206,2.77418764492523E-207,1.05940403254254E-208,4.00057926224466E-210,1.49389339193568E-211,5.51634985845513E-213,2.01427826931979E-214,7.27315096082313E-216,2.59693575237467E-217,9.16928091401556E-219,3.20143596938999E-220,1.10532458847495E-221,3.77372554371061E-223,1.27404938045621E-224,4.25341422974665E-226,1.40418576975739E-227,4.58402444113226E-229,1.47980588713688E-230,4.72387118275545E-232,1.4911688083639E-233,4.65469302228014E-235,1.43678156626453E-236,4.3855687091518E-238,1.323721311242E-239,3.95096034995977E-241,1.16612270398432E-242,3.403465086213E-244,9.82276644225688E-246,2.80337893123925E-247,7.91161711840878E-249,2.20792433959261E-250,6.09310387207566E-252,1.66275570178795E-253,4.48697633372521E-255,1.19733197666163E-256,3.15944538672465E-258,8.24408751433501E-260,2.12720724361642E-261,5.42765809419663E-263,1.36946403244961E-264,3.41683689412892E-266,8.43011180302544E-268,2.05673287625738E-269,4.96201319862203E-271,1.18378657175565E-272,2.79270056294392E-274,6.51494577051623E-276,1.50290907457339E-277,3.42838887834221E-279,7.73362158312233E-281,1.72508789150097E-282,3.80517824599734E-284,8.29992662094054E-286,1.79023057296029E-287,3.8183800785403E-289,8.05350273800198E-291,1.67967761714034E-292,3.46419657893907E-294,7.06503944887254E-296,1.42482695648977E-297,2.84148340533966E-299,5.60355442316076E-301,1.0927417433158E-302,2.10720574790059E-304,4.0182025046618E-306,7.57691066876184E-308,1.41282373761478E-309,2.60506922528295E-311,4.74991702320774E-313,8.56422852846466E-315,1.52695404794111E-316,2.69214394156312E-318,4.693129569846E-320,7.95445689804407E-322,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v>
      </c>
      <c r="E14" s="113" t="s">
        <v>148</v>
      </c>
      <c r="F14" s="102" t="s">
        <v>175</v>
      </c>
      <c r="H14" s="3" t="s">
        <v>284</v>
      </c>
      <c r="I14" s="2">
        <f>$D$7</f>
        <v>7.0710678118654755E-10</v>
      </c>
      <c r="J14">
        <f>$E$7</f>
        <v>0.11744747685437738</v>
      </c>
      <c r="M14" s="147" t="s">
        <v>285</v>
      </c>
      <c r="N14">
        <f>$D$16</f>
        <v>1.3769616143708125E-9</v>
      </c>
      <c r="O14">
        <f>$E$16</f>
        <v>5.0908678113629371</v>
      </c>
    </row>
    <row r="15" spans="1:15">
      <c r="A15" s="45" t="s">
        <v>151</v>
      </c>
      <c r="B15" s="44"/>
      <c r="C15" s="44"/>
      <c r="D15" s="45">
        <v>1E-3</v>
      </c>
      <c r="E15" s="45">
        <f>STupidExcelVariance(D14,D15)</f>
        <v>527419.6823514055</v>
      </c>
      <c r="F15" s="102"/>
      <c r="H15" s="147" t="s">
        <v>285</v>
      </c>
      <c r="I15">
        <f>$D$16</f>
        <v>1.3769616143708125E-9</v>
      </c>
      <c r="J15">
        <f>$E$16</f>
        <v>5.0908678113629371</v>
      </c>
      <c r="M15" s="15" t="s">
        <v>52</v>
      </c>
      <c r="N15" s="14">
        <f>PRODUCT(N11:N14)</f>
        <v>1.3769616143708131E+31</v>
      </c>
      <c r="O15" s="14">
        <f>SUM(O11:O14)</f>
        <v>8.9923885417248322</v>
      </c>
    </row>
    <row r="16" spans="1:15" ht="30">
      <c r="A16" s="84" t="s">
        <v>285</v>
      </c>
      <c r="B16" s="85"/>
      <c r="C16" s="85"/>
      <c r="D16" s="45">
        <f>EXP(MuFromParams(ABS(D15),E15))</f>
        <v>1.3769616143708125E-9</v>
      </c>
      <c r="E16" s="45">
        <f>(SigmaFromParams(D15,E15) / LN(10))^2</f>
        <v>5.0908678113629371</v>
      </c>
      <c r="F16" s="102"/>
      <c r="H16" s="15" t="s">
        <v>52</v>
      </c>
      <c r="I16" s="14">
        <f>PRODUCT(I12:I15)</f>
        <v>0</v>
      </c>
      <c r="J16" s="14" t="e">
        <f>SUM(J12:J15)</f>
        <v>#N/A</v>
      </c>
    </row>
    <row r="17" spans="1:15">
      <c r="A17" s="112"/>
      <c r="B17" s="111"/>
      <c r="C17" s="111"/>
      <c r="F17" s="102"/>
    </row>
    <row r="18" spans="1:15" ht="45">
      <c r="A18" s="46" t="s">
        <v>173</v>
      </c>
      <c r="B18" s="47">
        <v>0.01</v>
      </c>
      <c r="C18" s="47">
        <v>0.2</v>
      </c>
      <c r="D18" s="74">
        <f>GEOMEAN(B18,C18)</f>
        <v>4.4721359549995794E-2</v>
      </c>
      <c r="E18" s="74">
        <f>LogVariance(B18,C18)</f>
        <v>0.50759954989056688</v>
      </c>
      <c r="M18" t="s">
        <v>165</v>
      </c>
    </row>
    <row r="19" spans="1:15" ht="30">
      <c r="A19" s="46" t="s">
        <v>132</v>
      </c>
      <c r="B19" s="47">
        <v>5.0000000000000001E-3</v>
      </c>
      <c r="C19" s="47">
        <v>0.1</v>
      </c>
      <c r="D19" s="74">
        <f>GEOMEAN(B19,C19)</f>
        <v>2.2360679774997897E-2</v>
      </c>
      <c r="E19" s="74">
        <f>LogVariance(B19,C19)</f>
        <v>0.50759954989056688</v>
      </c>
      <c r="M19" t="s">
        <v>166</v>
      </c>
      <c r="N19">
        <f>I16</f>
        <v>0</v>
      </c>
      <c r="O19" t="e">
        <f>J16</f>
        <v>#N/A</v>
      </c>
    </row>
    <row r="20" spans="1:15" ht="30">
      <c r="A20" s="46" t="s">
        <v>124</v>
      </c>
      <c r="B20" s="47">
        <v>0.01</v>
      </c>
      <c r="C20" s="47">
        <v>0.2</v>
      </c>
      <c r="D20" s="74">
        <f>GEOMEAN(B20,C20)</f>
        <v>4.4721359549995794E-2</v>
      </c>
      <c r="E20" s="74">
        <f>LogVariance(B20,C20)</f>
        <v>0.50759954989056688</v>
      </c>
      <c r="H20" s="1" t="s">
        <v>69</v>
      </c>
      <c r="N20">
        <f>I26</f>
        <v>222941.94954415146</v>
      </c>
      <c r="O20" t="e">
        <f>J26</f>
        <v>#N/A</v>
      </c>
    </row>
    <row r="21" spans="1:15">
      <c r="A21" s="52" t="s">
        <v>174</v>
      </c>
      <c r="B21" s="51">
        <v>0.01</v>
      </c>
      <c r="C21" s="51">
        <v>0.05</v>
      </c>
      <c r="D21" s="74">
        <f>GEOMEAN(B21,C21)</f>
        <v>2.2360679774997897E-2</v>
      </c>
      <c r="E21" s="74">
        <f>LogVariance(B21,C21)</f>
        <v>0.27270459618181209</v>
      </c>
      <c r="I21" s="7" t="s">
        <v>156</v>
      </c>
      <c r="J21" s="7" t="s">
        <v>158</v>
      </c>
      <c r="N21">
        <f>I35</f>
        <v>352502173.2789281</v>
      </c>
      <c r="O21" t="e">
        <f>J35</f>
        <v>#N/A</v>
      </c>
    </row>
    <row r="22" spans="1:15">
      <c r="A22" s="35"/>
      <c r="B22" s="34"/>
      <c r="C22" s="34"/>
      <c r="D22" s="34"/>
      <c r="E22" s="34"/>
      <c r="H22" s="3" t="s">
        <v>173</v>
      </c>
      <c r="I22" s="25">
        <f>VLOOKUP(H22,$A$18:$E$21,4,FALSE)</f>
        <v>4.4721359549995794E-2</v>
      </c>
      <c r="J22" s="25">
        <f>VLOOKUP(H22,$A$18:$E$21,5,FALSE)</f>
        <v>0.50759954989056688</v>
      </c>
      <c r="M22" s="3"/>
      <c r="N22" s="3">
        <f>N7</f>
        <v>16720646.215811355</v>
      </c>
      <c r="O22" s="3" t="e">
        <f>O7</f>
        <v>#N/A</v>
      </c>
    </row>
    <row r="23" spans="1:15">
      <c r="H23" s="3" t="s">
        <v>179</v>
      </c>
      <c r="I23">
        <f>VLOOKUP($H23,'EV of Far Future'!$K$3:$N$14,2,FALSE)</f>
        <v>5.1200000000000011E+24</v>
      </c>
      <c r="J23" t="e">
        <f>VLOOKUP($H23,'EV of Far Future'!$K$3:$N$14,3,FALSE)</f>
        <v>#N/A</v>
      </c>
      <c r="N23">
        <f>N15</f>
        <v>1.3769616143708131E+31</v>
      </c>
      <c r="O23">
        <f>O15</f>
        <v>8.9923885417248322</v>
      </c>
    </row>
    <row r="24" spans="1:15">
      <c r="H24" s="3" t="s">
        <v>284</v>
      </c>
      <c r="I24" s="2">
        <f>$D$7</f>
        <v>7.0710678118654755E-10</v>
      </c>
      <c r="J24">
        <f>$E$7</f>
        <v>0.11744747685437738</v>
      </c>
      <c r="M24" s="30" t="s">
        <v>167</v>
      </c>
      <c r="N24" s="31" t="str">
        <f>WriteArray(SumLognormDists(N19:O23))</f>
        <v>disabled</v>
      </c>
      <c r="O24" s="31" t="s">
        <v>148</v>
      </c>
    </row>
    <row r="25" spans="1:15">
      <c r="H25" s="147" t="s">
        <v>285</v>
      </c>
      <c r="I25">
        <f>$D$16</f>
        <v>1.3769616143708125E-9</v>
      </c>
      <c r="J25">
        <f>$E$16</f>
        <v>5.0908678113629371</v>
      </c>
      <c r="M25" s="3" t="s">
        <v>151</v>
      </c>
      <c r="N25" s="3" t="e">
        <f>STupidExcelMean(N24)</f>
        <v>#VALUE!</v>
      </c>
      <c r="O25" s="3" t="e">
        <f>STupidExcelVariance(N24,N25)</f>
        <v>#VALUE!</v>
      </c>
    </row>
    <row r="26" spans="1:15" ht="20">
      <c r="A26" s="32" t="s">
        <v>59</v>
      </c>
      <c r="H26" s="15" t="s">
        <v>52</v>
      </c>
      <c r="I26" s="14">
        <f>PRODUCT(I22:I25)</f>
        <v>222941.94954415146</v>
      </c>
      <c r="J26" s="14" t="e">
        <f>SUM(J22:J25)</f>
        <v>#N/A</v>
      </c>
      <c r="M26" s="3"/>
      <c r="N26" s="3"/>
      <c r="O26" s="3"/>
    </row>
    <row r="27" spans="1:15">
      <c r="A27" s="10" t="s">
        <v>168</v>
      </c>
      <c r="B27" s="2">
        <v>10000000</v>
      </c>
      <c r="C27" t="s">
        <v>158</v>
      </c>
      <c r="H27" s="3"/>
      <c r="I27" s="3"/>
      <c r="M27" s="3"/>
      <c r="N27" s="3"/>
      <c r="O27" s="3"/>
    </row>
    <row r="28" spans="1:15">
      <c r="A28" s="8" t="s">
        <v>151</v>
      </c>
      <c r="B28">
        <v>3</v>
      </c>
      <c r="C28" t="e">
        <f>O25</f>
        <v>#VALUE!</v>
      </c>
      <c r="H28" s="3"/>
      <c r="I28" s="21"/>
      <c r="M28" s="3"/>
      <c r="N28" s="3"/>
      <c r="O28" s="3"/>
    </row>
    <row r="29" spans="1:15">
      <c r="A29" s="16" t="s">
        <v>163</v>
      </c>
      <c r="B29" s="14" t="e">
        <f>EXP(MuFromParams(ABS(B28),C28))</f>
        <v>#VALUE!</v>
      </c>
      <c r="C29" s="14" t="e">
        <f>(SigmaFromParams(B28,C28) / LN(10))^2</f>
        <v>#VALUE!</v>
      </c>
      <c r="H29" s="1" t="s">
        <v>82</v>
      </c>
      <c r="M29" s="3"/>
      <c r="N29" s="3"/>
      <c r="O29" s="3"/>
    </row>
    <row r="30" spans="1:15">
      <c r="A30" s="36" t="s">
        <v>78</v>
      </c>
      <c r="B30" s="19" t="e">
        <f>ParetoPosterior(median,alpha,B29:C29)*SIGN(B28)</f>
        <v>#VALUE!</v>
      </c>
      <c r="I30" s="7" t="s">
        <v>156</v>
      </c>
      <c r="J30" s="7" t="s">
        <v>158</v>
      </c>
      <c r="M30" s="3"/>
      <c r="N30" s="21"/>
      <c r="O30" s="3"/>
    </row>
    <row r="31" spans="1:15">
      <c r="A31" s="36" t="s">
        <v>85</v>
      </c>
      <c r="B31" s="19" t="e">
        <f>LognormPosterior(mu_far_future,sigma_far_future,B29:C29)*SIGN(B28)</f>
        <v>#VALUE!</v>
      </c>
      <c r="H31" s="3" t="s">
        <v>132</v>
      </c>
      <c r="I31" s="25">
        <f>VLOOKUP(H31,$A$18:$E$21,4,FALSE)</f>
        <v>2.2360679774997897E-2</v>
      </c>
      <c r="J31" s="25">
        <f>VLOOKUP(H31,$A$18:$E$21,5,FALSE)</f>
        <v>0.50759954989056688</v>
      </c>
      <c r="M31" s="13"/>
      <c r="N31" s="3"/>
      <c r="O31" s="3"/>
    </row>
    <row r="32" spans="1:15">
      <c r="H32" s="3" t="s">
        <v>180</v>
      </c>
      <c r="I32">
        <f>VLOOKUP($H32,'EV of Far Future'!$K$3:$N$14,2,FALSE)</f>
        <v>1.6190861620062105E+28</v>
      </c>
      <c r="J32" t="e">
        <f>VLOOKUP($H32,'EV of Far Future'!$K$3:$N$14,3,FALSE)</f>
        <v>#N/A</v>
      </c>
      <c r="M32" s="3"/>
      <c r="N32" s="29"/>
      <c r="O32" s="29"/>
    </row>
    <row r="33" spans="1:15">
      <c r="A33" s="8"/>
      <c r="B33" s="3"/>
      <c r="C33" s="3"/>
      <c r="D33" s="3"/>
      <c r="H33" s="3" t="s">
        <v>284</v>
      </c>
      <c r="I33" s="2">
        <f>$D$7</f>
        <v>7.0710678118654755E-10</v>
      </c>
      <c r="J33">
        <f>$E$7</f>
        <v>0.11744747685437738</v>
      </c>
      <c r="M33" s="3"/>
      <c r="N33" s="25"/>
      <c r="O33" s="3"/>
    </row>
    <row r="34" spans="1:15">
      <c r="A34" s="33" t="s">
        <v>83</v>
      </c>
      <c r="B34" s="4" t="e">
        <f>B30+I6</f>
        <v>#VALUE!</v>
      </c>
      <c r="C34" s="3"/>
      <c r="D34" s="3"/>
      <c r="H34" s="147" t="s">
        <v>285</v>
      </c>
      <c r="I34">
        <f>$D$16</f>
        <v>1.3769616143708125E-9</v>
      </c>
      <c r="J34">
        <f>$E$16</f>
        <v>5.0908678113629371</v>
      </c>
      <c r="M34" s="3"/>
      <c r="N34" s="3"/>
      <c r="O34" s="3"/>
    </row>
    <row r="35" spans="1:15">
      <c r="A35" s="33" t="s">
        <v>84</v>
      </c>
      <c r="B35" s="4" t="e">
        <f>B31+I7</f>
        <v>#VALUE!</v>
      </c>
      <c r="D35" s="3"/>
      <c r="H35" s="15" t="s">
        <v>52</v>
      </c>
      <c r="I35" s="14">
        <f>PRODUCT(I31:I34)</f>
        <v>352502173.2789281</v>
      </c>
      <c r="J35" s="14" t="e">
        <f>SUM(J31:J34)</f>
        <v>#N/A</v>
      </c>
      <c r="M35" s="3"/>
      <c r="N35" s="3"/>
      <c r="O35" s="3"/>
    </row>
    <row r="36" spans="1:15">
      <c r="H36" s="3"/>
      <c r="I36" s="3"/>
      <c r="M36" s="3"/>
      <c r="N36" s="3"/>
      <c r="O36" s="3"/>
    </row>
    <row r="37" spans="1:15">
      <c r="B37" s="3"/>
      <c r="H37" s="3"/>
      <c r="I37" s="21"/>
      <c r="M37" s="3"/>
      <c r="N37" s="3"/>
      <c r="O37" s="3"/>
    </row>
    <row r="38" spans="1:15">
      <c r="B38" s="3"/>
      <c r="M38" s="3"/>
      <c r="N38" s="3"/>
      <c r="O38" s="3"/>
    </row>
    <row r="39" spans="1:15">
      <c r="M39" s="3"/>
      <c r="N39" s="3"/>
      <c r="O39" s="3"/>
    </row>
    <row r="40" spans="1:15">
      <c r="M40" s="3"/>
      <c r="N40" s="3"/>
      <c r="O40" s="3"/>
    </row>
    <row r="41" spans="1:15">
      <c r="M41" s="3"/>
      <c r="N41" s="3"/>
      <c r="O41" s="3"/>
    </row>
    <row r="42" spans="1:15">
      <c r="M42" s="3"/>
      <c r="N42" s="3"/>
      <c r="O42" s="3"/>
    </row>
    <row r="43" spans="1:15">
      <c r="M43" s="3"/>
      <c r="N43" s="3"/>
      <c r="O43" s="3"/>
    </row>
    <row r="44" spans="1:15">
      <c r="M44" s="3"/>
      <c r="N44" s="3"/>
      <c r="O44" s="3"/>
    </row>
    <row r="45" spans="1: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44"/>
  <sheetViews>
    <sheetView workbookViewId="0">
      <selection activeCell="A4" sqref="A4"/>
    </sheetView>
  </sheetViews>
  <sheetFormatPr baseColWidth="10" defaultRowHeight="15" x14ac:dyDescent="0"/>
  <cols>
    <col min="1" max="1" width="21.6640625" style="129" customWidth="1"/>
    <col min="4" max="4" width="12.1640625" bestFit="1" customWidth="1"/>
    <col min="8" max="8" width="21.6640625" customWidth="1"/>
    <col min="14" max="14" width="12.1640625" bestFit="1" customWidth="1"/>
  </cols>
  <sheetData>
    <row r="1" spans="1:16" ht="20">
      <c r="A1" s="127" t="s">
        <v>120</v>
      </c>
      <c r="H1" s="1" t="s">
        <v>63</v>
      </c>
      <c r="L1" s="3"/>
      <c r="M1" s="1" t="s">
        <v>77</v>
      </c>
      <c r="P1" s="3"/>
    </row>
    <row r="2" spans="1:16">
      <c r="B2" s="128" t="s">
        <v>0</v>
      </c>
      <c r="C2" s="128" t="s">
        <v>1</v>
      </c>
      <c r="D2" s="128" t="s">
        <v>156</v>
      </c>
      <c r="E2" s="128" t="s">
        <v>158</v>
      </c>
      <c r="F2" s="128" t="s">
        <v>27</v>
      </c>
      <c r="I2" s="128" t="s">
        <v>156</v>
      </c>
      <c r="J2" s="128" t="s">
        <v>158</v>
      </c>
      <c r="L2" s="3"/>
      <c r="N2" s="7" t="s">
        <v>156</v>
      </c>
      <c r="O2" s="7" t="s">
        <v>158</v>
      </c>
      <c r="P2" s="3"/>
    </row>
    <row r="3" spans="1:16">
      <c r="A3" s="42" t="s">
        <v>237</v>
      </c>
      <c r="B3" s="135">
        <v>2</v>
      </c>
      <c r="C3" s="135">
        <v>3</v>
      </c>
      <c r="D3" s="102"/>
      <c r="E3" s="102"/>
      <c r="F3" s="102" t="s">
        <v>257</v>
      </c>
      <c r="H3" s="126" t="s">
        <v>236</v>
      </c>
      <c r="I3">
        <f>D10</f>
        <v>295803.98915498087</v>
      </c>
      <c r="J3">
        <f>E10</f>
        <v>0.31528753718843733</v>
      </c>
      <c r="L3" s="3"/>
      <c r="M3" s="3" t="s">
        <v>124</v>
      </c>
      <c r="N3" s="25">
        <f>VLOOKUP(M3,THL!$A$18:$E$21,4,FALSE)</f>
        <v>4.4721359549995794E-2</v>
      </c>
      <c r="O3" s="25">
        <f>VLOOKUP(M3,THL!$A$18:$E$21,5,FALSE)</f>
        <v>0.50759954989056688</v>
      </c>
      <c r="P3" s="3"/>
    </row>
    <row r="4" spans="1:16">
      <c r="A4" s="86" t="s">
        <v>235</v>
      </c>
      <c r="B4" s="130">
        <f>1/C3</f>
        <v>0.33333333333333331</v>
      </c>
      <c r="C4" s="130">
        <f>1/B3</f>
        <v>0.5</v>
      </c>
      <c r="D4" s="102">
        <f>GEOMEAN(B4,C4)</f>
        <v>0.40824829046386302</v>
      </c>
      <c r="E4" s="102">
        <f>LogVariance(B4,C4)</f>
        <v>6.8702369764126706E-2</v>
      </c>
      <c r="F4" s="102"/>
      <c r="H4" s="126" t="s">
        <v>116</v>
      </c>
      <c r="I4">
        <f>Globals!K24</f>
        <v>0.3</v>
      </c>
      <c r="J4">
        <f>Globals!L24</f>
        <v>0</v>
      </c>
      <c r="L4" s="3"/>
      <c r="M4" s="3" t="s">
        <v>181</v>
      </c>
      <c r="N4">
        <f>VLOOKUP($M4,'EV of Far Future'!$K$3:$N$14,2,FALSE)</f>
        <v>3.8399999999999999E+26</v>
      </c>
      <c r="O4" t="e">
        <f>VLOOKUP($M4,'EV of Far Future'!$K$3:$N$14,3,FALSE)</f>
        <v>#N/A</v>
      </c>
      <c r="P4" s="3"/>
    </row>
    <row r="5" spans="1:16" ht="45">
      <c r="A5" s="46" t="s">
        <v>258</v>
      </c>
      <c r="B5" s="131">
        <v>5</v>
      </c>
      <c r="C5" s="131">
        <v>10</v>
      </c>
      <c r="D5" s="102">
        <f t="shared" ref="D5:D6" si="0">GEOMEAN(B5,C5)</f>
        <v>7.0710678118654755</v>
      </c>
      <c r="E5" s="102">
        <f t="shared" ref="E5:E6" si="1">LogVariance(B5,C5)</f>
        <v>0.11744747685437738</v>
      </c>
      <c r="F5" s="102" t="s">
        <v>233</v>
      </c>
      <c r="H5" s="133" t="s">
        <v>52</v>
      </c>
      <c r="I5" s="14">
        <f>I3*I4</f>
        <v>88741.196746494257</v>
      </c>
      <c r="J5" s="14">
        <f>J3+J4</f>
        <v>0.31528753718843733</v>
      </c>
      <c r="L5" s="3"/>
      <c r="M5" s="3" t="s">
        <v>284</v>
      </c>
      <c r="N5" s="2">
        <f>THL!$D$7</f>
        <v>7.0710678118654755E-10</v>
      </c>
      <c r="O5" s="2">
        <f>THL!$E$7</f>
        <v>0.11744747685437738</v>
      </c>
      <c r="P5" s="3"/>
    </row>
    <row r="6" spans="1:16" ht="30">
      <c r="A6" s="46" t="s">
        <v>259</v>
      </c>
      <c r="B6" s="136">
        <v>100</v>
      </c>
      <c r="C6" s="136">
        <v>150</v>
      </c>
      <c r="D6" s="102">
        <f t="shared" si="0"/>
        <v>122.47448713915891</v>
      </c>
      <c r="E6" s="102">
        <f t="shared" si="1"/>
        <v>6.8702369764126706E-2</v>
      </c>
      <c r="F6" s="102"/>
      <c r="H6" s="134" t="s">
        <v>78</v>
      </c>
      <c r="I6" s="19">
        <f>ParetoPosterior(median,alpha,I5:J5)</f>
        <v>16679.269175199799</v>
      </c>
      <c r="L6" s="3"/>
      <c r="M6" s="3" t="s">
        <v>293</v>
      </c>
      <c r="N6" s="2">
        <f>$D$11</f>
        <v>1.7320508075688773E-2</v>
      </c>
      <c r="O6">
        <f>$E$11</f>
        <v>0.59415429945387477</v>
      </c>
      <c r="P6" s="3"/>
    </row>
    <row r="7" spans="1:16" ht="45">
      <c r="A7" s="46" t="s">
        <v>260</v>
      </c>
      <c r="B7" s="131">
        <v>0.7</v>
      </c>
      <c r="C7" s="131">
        <v>1</v>
      </c>
      <c r="D7" s="102">
        <f t="shared" ref="D7:D8" si="2">GEOMEAN(B7,C7)</f>
        <v>0.83666002653407556</v>
      </c>
      <c r="E7" s="102">
        <f t="shared" ref="E7:E8" si="3">LogVariance(B7,C7)</f>
        <v>6.0435320805806568E-2</v>
      </c>
      <c r="F7" s="102"/>
      <c r="H7" s="134" t="s">
        <v>85</v>
      </c>
      <c r="I7" s="19" t="str">
        <f>LognormPosterior(mu_factory_farming,sigma_factory_farming,I5:J5)</f>
        <v>disabled</v>
      </c>
      <c r="L7" s="3"/>
      <c r="M7" s="147" t="s">
        <v>285</v>
      </c>
      <c r="N7">
        <f>THL!$D$16</f>
        <v>1.3769616143708125E-9</v>
      </c>
      <c r="O7">
        <f>THL!$E$16</f>
        <v>5.0908678113629371</v>
      </c>
      <c r="P7" s="3"/>
    </row>
    <row r="8" spans="1:16" ht="30">
      <c r="A8" s="52" t="s">
        <v>292</v>
      </c>
      <c r="B8" s="152">
        <v>1</v>
      </c>
      <c r="C8" s="152">
        <v>1</v>
      </c>
      <c r="D8" s="102">
        <f t="shared" si="2"/>
        <v>1</v>
      </c>
      <c r="E8" s="102">
        <f t="shared" si="3"/>
        <v>0</v>
      </c>
      <c r="F8" s="102" t="s">
        <v>294</v>
      </c>
      <c r="L8" s="3"/>
      <c r="M8" s="15" t="s">
        <v>52</v>
      </c>
      <c r="N8" s="14">
        <f>PRODUCT(N3:N7)</f>
        <v>289610.08781169553</v>
      </c>
      <c r="O8" s="14" t="e">
        <f>SUM(O3:O7)</f>
        <v>#N/A</v>
      </c>
      <c r="P8" s="3"/>
    </row>
    <row r="9" spans="1:16">
      <c r="A9" s="89" t="s">
        <v>234</v>
      </c>
      <c r="B9" s="132"/>
      <c r="C9" s="132"/>
      <c r="D9" s="102">
        <f>PRODUCT(D4:D8)</f>
        <v>295.80398915498085</v>
      </c>
      <c r="E9" s="102">
        <f>SUM(E4:E8)</f>
        <v>0.31528753718843733</v>
      </c>
      <c r="F9" s="102"/>
      <c r="L9" s="3"/>
      <c r="M9" s="3"/>
      <c r="N9" s="3"/>
      <c r="O9" s="3"/>
      <c r="P9" s="3"/>
    </row>
    <row r="10" spans="1:16" ht="30">
      <c r="A10" s="129" t="s">
        <v>236</v>
      </c>
      <c r="D10" s="102">
        <f>D9*1000</f>
        <v>295803.98915498087</v>
      </c>
      <c r="E10" s="102">
        <f>E9</f>
        <v>0.31528753718843733</v>
      </c>
      <c r="H10" s="13" t="s">
        <v>64</v>
      </c>
      <c r="P10" s="3"/>
    </row>
    <row r="11" spans="1:16" ht="45">
      <c r="A11" s="151" t="s">
        <v>291</v>
      </c>
      <c r="B11" s="150">
        <v>3.0000000000000001E-3</v>
      </c>
      <c r="C11" s="150">
        <v>0.1</v>
      </c>
      <c r="D11" s="102">
        <f t="shared" ref="D11" si="4">GEOMEAN(B11,C11)</f>
        <v>1.7320508075688773E-2</v>
      </c>
      <c r="E11" s="102">
        <f t="shared" ref="E11" si="5">LogVariance(B11,C11)</f>
        <v>0.59415429945387477</v>
      </c>
      <c r="F11" s="102" t="s">
        <v>290</v>
      </c>
      <c r="I11" s="7" t="s">
        <v>156</v>
      </c>
      <c r="J11" s="7" t="s">
        <v>157</v>
      </c>
      <c r="M11" s="1" t="s">
        <v>172</v>
      </c>
      <c r="P11" s="3"/>
    </row>
    <row r="12" spans="1:16">
      <c r="H12" s="3" t="s">
        <v>68</v>
      </c>
      <c r="I12">
        <v>1</v>
      </c>
      <c r="J12">
        <v>0</v>
      </c>
      <c r="M12" s="3" t="s">
        <v>174</v>
      </c>
      <c r="N12" s="25">
        <f>VLOOKUP(M12,THL!$A$18:$E$21,4,FALSE)</f>
        <v>2.2360679774997897E-2</v>
      </c>
      <c r="O12" s="25">
        <f>VLOOKUP(M12,THL!$A$18:$E$21,5,FALSE)</f>
        <v>0.27270459618181209</v>
      </c>
      <c r="P12" s="3"/>
    </row>
    <row r="13" spans="1:16">
      <c r="H13" s="3" t="s">
        <v>182</v>
      </c>
      <c r="I13">
        <f>VLOOKUP($H13,'EV of Far Future'!$K$3:$N$14,2,FALSE)</f>
        <v>0</v>
      </c>
      <c r="J13" t="e">
        <f>VLOOKUP($H13,'EV of Far Future'!$K$3:$N$14,3,FALSE)</f>
        <v>#N/A</v>
      </c>
      <c r="M13" s="3" t="s">
        <v>177</v>
      </c>
      <c r="N13">
        <f>VLOOKUP($M13,'EV of Far Future'!$K$3:$N$14,2,FALSE)</f>
        <v>6.3245553203367608E+50</v>
      </c>
      <c r="O13">
        <f>VLOOKUP($M13,'EV of Far Future'!$K$3:$N$14,3,FALSE)</f>
        <v>3.5113686573257055</v>
      </c>
      <c r="P13" s="3"/>
    </row>
    <row r="14" spans="1:16">
      <c r="H14" s="3" t="s">
        <v>284</v>
      </c>
      <c r="I14" s="2">
        <f>THL!$D$7</f>
        <v>7.0710678118654755E-10</v>
      </c>
      <c r="J14" s="2">
        <f>THL!$E$7</f>
        <v>0.11744747685437738</v>
      </c>
      <c r="M14" s="3" t="s">
        <v>284</v>
      </c>
      <c r="N14" s="2">
        <f>THL!$D$7</f>
        <v>7.0710678118654755E-10</v>
      </c>
      <c r="O14" s="2">
        <f>THL!$E$7</f>
        <v>0.11744747685437738</v>
      </c>
      <c r="P14" s="3"/>
    </row>
    <row r="15" spans="1:16" ht="20">
      <c r="A15" s="32" t="s">
        <v>59</v>
      </c>
      <c r="H15" s="3" t="s">
        <v>293</v>
      </c>
      <c r="I15" s="2">
        <f>$D$11</f>
        <v>1.7320508075688773E-2</v>
      </c>
      <c r="J15">
        <f>$E$11</f>
        <v>0.59415429945387477</v>
      </c>
      <c r="M15" s="3" t="s">
        <v>293</v>
      </c>
      <c r="N15" s="2">
        <f>$D$11</f>
        <v>1.7320508075688773E-2</v>
      </c>
      <c r="O15">
        <f>$E$11</f>
        <v>0.59415429945387477</v>
      </c>
      <c r="P15" s="3"/>
    </row>
    <row r="16" spans="1:16">
      <c r="A16" s="10" t="s">
        <v>168</v>
      </c>
      <c r="B16" t="s">
        <v>156</v>
      </c>
      <c r="C16" t="s">
        <v>158</v>
      </c>
      <c r="H16" s="147" t="s">
        <v>285</v>
      </c>
      <c r="I16">
        <f>THL!$D$16</f>
        <v>1.3769616143708125E-9</v>
      </c>
      <c r="J16">
        <f>THL!$E$16</f>
        <v>5.0908678113629371</v>
      </c>
      <c r="M16" s="147" t="s">
        <v>285</v>
      </c>
      <c r="N16">
        <f>THL!$D$16</f>
        <v>1.3769616143708125E-9</v>
      </c>
      <c r="O16">
        <f>THL!$E$16</f>
        <v>5.0908678113629371</v>
      </c>
      <c r="P16" s="3"/>
    </row>
    <row r="17" spans="1:16">
      <c r="A17" s="8" t="s">
        <v>151</v>
      </c>
      <c r="B17" t="e">
        <f>N27</f>
        <v>#VALUE!</v>
      </c>
      <c r="C17" t="e">
        <f>O27</f>
        <v>#VALUE!</v>
      </c>
      <c r="H17" s="15" t="s">
        <v>52</v>
      </c>
      <c r="I17" s="14">
        <f>PRODUCT(I12:I16)</f>
        <v>0</v>
      </c>
      <c r="J17" s="14" t="e">
        <f>SUM(J12:J16)</f>
        <v>#N/A</v>
      </c>
      <c r="M17" s="15" t="s">
        <v>52</v>
      </c>
      <c r="N17" s="14">
        <f>PRODUCT(N12:N16)</f>
        <v>2.3849674761623117E+29</v>
      </c>
      <c r="O17" s="14">
        <f>SUM(O12:O16)</f>
        <v>9.5865428411787068</v>
      </c>
      <c r="P17" s="3"/>
    </row>
    <row r="18" spans="1:16">
      <c r="A18" s="16" t="s">
        <v>163</v>
      </c>
      <c r="B18" s="14" t="e">
        <f>EXP(MuFromParams(ABS(B17),C17))</f>
        <v>#VALUE!</v>
      </c>
      <c r="C18" s="14" t="e">
        <f>(SigmaFromParams(B17,C17) / LN(10))^2</f>
        <v>#VALUE!</v>
      </c>
      <c r="P18" s="3"/>
    </row>
    <row r="19" spans="1:16">
      <c r="A19" s="36" t="s">
        <v>78</v>
      </c>
      <c r="B19" s="19" t="e">
        <f>ParetoPosterior(median,alpha,B18:C18)*SIGN(B17)</f>
        <v>#VALUE!</v>
      </c>
      <c r="P19" s="3"/>
    </row>
    <row r="20" spans="1:16">
      <c r="A20" s="36" t="s">
        <v>85</v>
      </c>
      <c r="B20" s="19" t="e">
        <f>LognormPosterior(mu_far_future,sigma_far_future,B18:C18)*SIGN(B17)</f>
        <v>#VALUE!</v>
      </c>
      <c r="M20" t="s">
        <v>165</v>
      </c>
      <c r="P20" s="3"/>
    </row>
    <row r="21" spans="1:16">
      <c r="A21" s="5"/>
      <c r="H21" s="1" t="s">
        <v>69</v>
      </c>
      <c r="M21" t="s">
        <v>166</v>
      </c>
      <c r="N21">
        <f>I17</f>
        <v>0</v>
      </c>
      <c r="O21" t="e">
        <f>J17</f>
        <v>#N/A</v>
      </c>
      <c r="P21" s="3"/>
    </row>
    <row r="22" spans="1:16">
      <c r="A22" s="8"/>
      <c r="B22" s="3"/>
      <c r="C22" s="3"/>
      <c r="I22" s="7" t="s">
        <v>156</v>
      </c>
      <c r="J22" s="7" t="s">
        <v>158</v>
      </c>
      <c r="N22">
        <f>I28</f>
        <v>3861.4678374892746</v>
      </c>
      <c r="O22" t="e">
        <f>J28</f>
        <v>#N/A</v>
      </c>
      <c r="P22" s="3"/>
    </row>
    <row r="23" spans="1:16">
      <c r="A23" s="33" t="s">
        <v>83</v>
      </c>
      <c r="B23" s="4" t="e">
        <f>B19+I6</f>
        <v>#VALUE!</v>
      </c>
      <c r="C23" s="3"/>
      <c r="H23" s="3" t="s">
        <v>173</v>
      </c>
      <c r="I23" s="25">
        <f>VLOOKUP(H23,THL!$A$18:$E$21,4,FALSE)</f>
        <v>4.4721359549995794E-2</v>
      </c>
      <c r="J23" s="25">
        <f>VLOOKUP(H23,THL!$A$18:$E$21,5,FALSE)</f>
        <v>0.50759954989056688</v>
      </c>
      <c r="N23">
        <f>I38</f>
        <v>6105516.7389755175</v>
      </c>
      <c r="O23" t="e">
        <f>J38</f>
        <v>#N/A</v>
      </c>
      <c r="P23" s="3"/>
    </row>
    <row r="24" spans="1:16">
      <c r="A24" s="33" t="s">
        <v>84</v>
      </c>
      <c r="B24" s="4" t="e">
        <f>B20+I7</f>
        <v>#VALUE!</v>
      </c>
      <c r="H24" s="3" t="s">
        <v>179</v>
      </c>
      <c r="I24">
        <f>VLOOKUP($H24,'EV of Far Future'!$K$3:$N$14,2,FALSE)</f>
        <v>5.1200000000000011E+24</v>
      </c>
      <c r="J24" t="e">
        <f>VLOOKUP($H24,'EV of Far Future'!$K$3:$N$14,3,FALSE)</f>
        <v>#N/A</v>
      </c>
      <c r="M24" s="3"/>
      <c r="N24" s="3">
        <f>N8</f>
        <v>289610.08781169553</v>
      </c>
      <c r="O24" s="3" t="e">
        <f>O8</f>
        <v>#N/A</v>
      </c>
      <c r="P24" s="3"/>
    </row>
    <row r="25" spans="1:16">
      <c r="H25" s="3" t="s">
        <v>284</v>
      </c>
      <c r="I25" s="2">
        <f>THL!$D$7</f>
        <v>7.0710678118654755E-10</v>
      </c>
      <c r="J25" s="2">
        <f>THL!$E$7</f>
        <v>0.11744747685437738</v>
      </c>
      <c r="N25">
        <f>N17</f>
        <v>2.3849674761623117E+29</v>
      </c>
      <c r="O25">
        <f>O17</f>
        <v>9.5865428411787068</v>
      </c>
      <c r="P25" s="3"/>
    </row>
    <row r="26" spans="1:16">
      <c r="H26" s="3" t="s">
        <v>293</v>
      </c>
      <c r="I26" s="2">
        <f>$D$11</f>
        <v>1.7320508075688773E-2</v>
      </c>
      <c r="J26">
        <f>$E$11</f>
        <v>0.59415429945387477</v>
      </c>
      <c r="M26" s="30" t="s">
        <v>167</v>
      </c>
      <c r="N26" s="31" t="str">
        <f>WriteArray(SumLognormDists(N21:O25))</f>
        <v>disabled</v>
      </c>
      <c r="O26" s="31" t="s">
        <v>148</v>
      </c>
      <c r="P26" s="3"/>
    </row>
    <row r="27" spans="1:16">
      <c r="H27" s="147" t="s">
        <v>285</v>
      </c>
      <c r="I27">
        <f>THL!$D$16</f>
        <v>1.3769616143708125E-9</v>
      </c>
      <c r="J27">
        <f>THL!$E$16</f>
        <v>5.0908678113629371</v>
      </c>
      <c r="M27" s="3" t="s">
        <v>151</v>
      </c>
      <c r="N27" s="3" t="e">
        <f>STupidExcelMean(N26)</f>
        <v>#VALUE!</v>
      </c>
      <c r="O27" s="3" t="e">
        <f>STupidExcelVariance(N26,N27)</f>
        <v>#VALUE!</v>
      </c>
    </row>
    <row r="28" spans="1:16">
      <c r="H28" s="15" t="s">
        <v>52</v>
      </c>
      <c r="I28" s="14">
        <f>PRODUCT(I23:I27)</f>
        <v>3861.4678374892746</v>
      </c>
      <c r="J28" s="14" t="e">
        <f>SUM(J23:J27)</f>
        <v>#N/A</v>
      </c>
      <c r="M28" s="3"/>
      <c r="N28" s="3"/>
      <c r="O28" s="3"/>
    </row>
    <row r="29" spans="1:16">
      <c r="H29" s="3"/>
      <c r="I29" s="21"/>
      <c r="M29" s="3"/>
      <c r="N29" s="3"/>
      <c r="O29" s="3"/>
    </row>
    <row r="30" spans="1:16">
      <c r="M30" s="3"/>
      <c r="N30" s="21"/>
      <c r="O30" s="3"/>
    </row>
    <row r="31" spans="1:16">
      <c r="H31" s="1" t="s">
        <v>82</v>
      </c>
      <c r="M31" s="13"/>
      <c r="N31" s="3"/>
      <c r="O31" s="3"/>
    </row>
    <row r="32" spans="1:16">
      <c r="I32" s="7" t="s">
        <v>156</v>
      </c>
      <c r="J32" s="7" t="s">
        <v>158</v>
      </c>
      <c r="M32" s="3"/>
      <c r="N32" s="29"/>
      <c r="O32" s="29"/>
    </row>
    <row r="33" spans="8:15">
      <c r="H33" s="3" t="s">
        <v>132</v>
      </c>
      <c r="I33" s="25">
        <f>VLOOKUP(H33,THL!$A$18:$E$21,4,FALSE)</f>
        <v>2.2360679774997897E-2</v>
      </c>
      <c r="J33" s="25">
        <f>VLOOKUP(H33,THL!$A$18:$E$21,5,FALSE)</f>
        <v>0.50759954989056688</v>
      </c>
      <c r="M33" s="3"/>
      <c r="N33" s="25"/>
      <c r="O33" s="3"/>
    </row>
    <row r="34" spans="8:15">
      <c r="H34" s="3" t="s">
        <v>180</v>
      </c>
      <c r="I34">
        <f>VLOOKUP($H34,'EV of Far Future'!$K$3:$N$14,2,FALSE)</f>
        <v>1.6190861620062105E+28</v>
      </c>
      <c r="J34" t="e">
        <f>VLOOKUP($H34,'EV of Far Future'!$K$3:$N$14,3,FALSE)</f>
        <v>#N/A</v>
      </c>
      <c r="M34" s="3"/>
      <c r="N34" s="3"/>
      <c r="O34" s="3"/>
    </row>
    <row r="35" spans="8:15">
      <c r="H35" s="3" t="s">
        <v>284</v>
      </c>
      <c r="I35" s="2">
        <f>THL!$D$7</f>
        <v>7.0710678118654755E-10</v>
      </c>
      <c r="J35" s="2">
        <f>THL!$E$7</f>
        <v>0.11744747685437738</v>
      </c>
      <c r="M35" s="3"/>
      <c r="N35" s="3"/>
      <c r="O35" s="3"/>
    </row>
    <row r="36" spans="8:15">
      <c r="H36" s="3" t="s">
        <v>293</v>
      </c>
      <c r="I36" s="2">
        <f>$D$11</f>
        <v>1.7320508075688773E-2</v>
      </c>
      <c r="J36">
        <f>$E$11</f>
        <v>0.59415429945387477</v>
      </c>
      <c r="K36" s="3"/>
      <c r="L36" s="3"/>
      <c r="M36" s="3"/>
      <c r="N36" s="3"/>
      <c r="O36" s="3"/>
    </row>
    <row r="37" spans="8:15">
      <c r="H37" s="147" t="s">
        <v>285</v>
      </c>
      <c r="I37">
        <f>THL!$D$16</f>
        <v>1.3769616143708125E-9</v>
      </c>
      <c r="J37">
        <f>THL!$E$16</f>
        <v>5.0908678113629371</v>
      </c>
      <c r="K37" s="3"/>
      <c r="L37" s="3"/>
      <c r="M37" s="3"/>
      <c r="N37" s="3"/>
      <c r="O37" s="3"/>
    </row>
    <row r="38" spans="8:15">
      <c r="H38" s="15" t="s">
        <v>52</v>
      </c>
      <c r="I38" s="14">
        <f>PRODUCT(I33:I37)</f>
        <v>6105516.7389755175</v>
      </c>
      <c r="J38" s="14" t="e">
        <f>SUM(J33:J37)</f>
        <v>#N/A</v>
      </c>
      <c r="M38" s="3"/>
      <c r="N38" s="3"/>
      <c r="O38" s="3"/>
    </row>
    <row r="39" spans="8:15">
      <c r="M39" s="3"/>
      <c r="N39" s="21"/>
      <c r="O39" s="3"/>
    </row>
    <row r="40" spans="8:15">
      <c r="M40" s="13"/>
      <c r="N40" s="3"/>
      <c r="O40" s="3"/>
    </row>
    <row r="41" spans="8:15">
      <c r="M41" s="3"/>
      <c r="N41" s="29"/>
      <c r="O41" s="29"/>
    </row>
    <row r="42" spans="8:15">
      <c r="M42" s="3"/>
      <c r="N42" s="25"/>
      <c r="O42" s="3"/>
    </row>
    <row r="43" spans="8:15">
      <c r="M43" s="3"/>
      <c r="N43" s="3"/>
      <c r="O43" s="3"/>
    </row>
    <row r="44" spans="8:15">
      <c r="M44" s="3"/>
      <c r="N44" s="3"/>
      <c r="O4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H25" sqref="H25"/>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107</v>
      </c>
      <c r="B1" t="s">
        <v>121</v>
      </c>
      <c r="G1" s="98" t="s">
        <v>104</v>
      </c>
      <c r="H1" t="s">
        <v>121</v>
      </c>
      <c r="I1" t="s">
        <v>272</v>
      </c>
      <c r="M1" s="1"/>
    </row>
    <row r="2" spans="1:15">
      <c r="A2" s="57"/>
      <c r="B2" s="44" t="s">
        <v>0</v>
      </c>
      <c r="C2" s="44" t="s">
        <v>1</v>
      </c>
      <c r="D2" s="44" t="s">
        <v>156</v>
      </c>
      <c r="E2" s="44" t="s">
        <v>158</v>
      </c>
      <c r="H2" s="44" t="s">
        <v>0</v>
      </c>
      <c r="I2" s="44" t="s">
        <v>1</v>
      </c>
      <c r="J2" s="44" t="s">
        <v>156</v>
      </c>
      <c r="K2" s="44" t="s">
        <v>158</v>
      </c>
    </row>
    <row r="3" spans="1:15">
      <c r="A3" s="90" t="s">
        <v>101</v>
      </c>
      <c r="B3" s="91">
        <v>70000</v>
      </c>
      <c r="C3" s="91">
        <v>150000</v>
      </c>
      <c r="D3" s="44"/>
      <c r="E3" s="44"/>
      <c r="F3" t="s">
        <v>210</v>
      </c>
      <c r="G3" s="42" t="s">
        <v>97</v>
      </c>
      <c r="H3" s="43">
        <v>0.03</v>
      </c>
      <c r="I3" s="43">
        <v>0.3</v>
      </c>
      <c r="J3" s="44">
        <f>GEOMEAN(H3,I3)</f>
        <v>9.4868329805051374E-2</v>
      </c>
      <c r="K3" s="44">
        <f>LogVariance(H3,I3)</f>
        <v>0.39015207303618948</v>
      </c>
      <c r="L3" s="102" t="s">
        <v>197</v>
      </c>
    </row>
    <row r="4" spans="1:15" ht="30">
      <c r="A4" s="57" t="s">
        <v>102</v>
      </c>
      <c r="B4" s="44">
        <f>1/C3</f>
        <v>6.6666666666666666E-6</v>
      </c>
      <c r="C4" s="44">
        <f>1/B3</f>
        <v>1.4285714285714285E-5</v>
      </c>
      <c r="D4" s="44">
        <f>GEOMEAN(B4,C4)</f>
        <v>9.7590007294853309E-6</v>
      </c>
      <c r="E4" s="44">
        <f>LogVariance(B4,C4)</f>
        <v>0.12913769056993327</v>
      </c>
      <c r="G4" s="46" t="s">
        <v>100</v>
      </c>
      <c r="H4" s="47">
        <v>200</v>
      </c>
      <c r="I4" s="47">
        <v>10000</v>
      </c>
      <c r="J4" s="44"/>
      <c r="K4" s="44"/>
      <c r="L4" s="102" t="s">
        <v>202</v>
      </c>
    </row>
    <row r="5" spans="1:15" ht="30">
      <c r="G5" s="86" t="s">
        <v>128</v>
      </c>
      <c r="H5" s="85">
        <f>1/I4</f>
        <v>1E-4</v>
      </c>
      <c r="I5" s="85">
        <f>1/H4</f>
        <v>5.0000000000000001E-3</v>
      </c>
      <c r="J5" s="44">
        <f>GEOMEAN(H5,I5)</f>
        <v>7.0710678118654762E-4</v>
      </c>
      <c r="K5" s="44">
        <f>LogVariance(H5,I5)</f>
        <v>0.66285666921800146</v>
      </c>
      <c r="L5" s="102"/>
    </row>
    <row r="6" spans="1:15" ht="30">
      <c r="G6" s="46" t="s">
        <v>98</v>
      </c>
      <c r="H6" s="47">
        <v>1</v>
      </c>
      <c r="I6" s="47">
        <v>3</v>
      </c>
      <c r="J6" s="44">
        <f>GEOMEAN(H6,I6)</f>
        <v>1.7320508075688774</v>
      </c>
      <c r="K6" s="44">
        <f>LogVariance(H6,I6)</f>
        <v>0.18614984661850412</v>
      </c>
      <c r="L6" s="102" t="s">
        <v>261</v>
      </c>
    </row>
    <row r="7" spans="1:15" ht="45">
      <c r="G7" s="46" t="s">
        <v>262</v>
      </c>
      <c r="H7" s="47">
        <v>0.1</v>
      </c>
      <c r="I7" s="47">
        <v>0.7</v>
      </c>
      <c r="J7" s="44">
        <f>GEOMEAN(H7,I7)</f>
        <v>0.26457513110645903</v>
      </c>
      <c r="K7" s="44">
        <f>LogVariance(H7,I7)</f>
        <v>0.32971675223038288</v>
      </c>
      <c r="L7" s="102"/>
      <c r="M7" s="25"/>
      <c r="N7" s="3"/>
      <c r="O7" s="3"/>
    </row>
    <row r="8" spans="1:15">
      <c r="G8" s="63" t="s">
        <v>108</v>
      </c>
      <c r="H8" s="87"/>
      <c r="I8" s="87"/>
      <c r="J8" s="44">
        <f>J3*J5*J6*J7*D4*1000</f>
        <v>2.9999999999999999E-7</v>
      </c>
      <c r="K8" s="44">
        <f>K3+K5+K6+K7+E4</f>
        <v>1.6980130316730113</v>
      </c>
      <c r="L8" s="102"/>
      <c r="M8" s="3"/>
      <c r="N8" s="3"/>
      <c r="O8" s="3"/>
    </row>
    <row r="9" spans="1:15" ht="20">
      <c r="A9" s="32" t="s">
        <v>59</v>
      </c>
      <c r="G9" s="57"/>
      <c r="H9" s="44"/>
      <c r="I9" s="44"/>
      <c r="J9" s="44"/>
      <c r="K9" s="44"/>
      <c r="L9" s="102"/>
      <c r="M9" s="3"/>
      <c r="N9" s="3" t="s">
        <v>142</v>
      </c>
      <c r="O9" s="3"/>
    </row>
    <row r="10" spans="1:15">
      <c r="A10" s="10" t="s">
        <v>115</v>
      </c>
      <c r="G10" s="57"/>
      <c r="H10" s="44"/>
      <c r="I10" s="44"/>
      <c r="J10" s="44"/>
      <c r="K10" s="44"/>
      <c r="L10" s="102"/>
      <c r="M10" s="3"/>
      <c r="O10" s="3"/>
    </row>
    <row r="11" spans="1:15">
      <c r="A11" s="37" t="s">
        <v>169</v>
      </c>
      <c r="B11" s="38" t="e">
        <f>ParetoPosterior(median,alpha,H26:I26)</f>
        <v>#VALUE!</v>
      </c>
      <c r="G11" s="97" t="s">
        <v>105</v>
      </c>
      <c r="H11" s="54" t="s">
        <v>121</v>
      </c>
      <c r="I11" s="44"/>
      <c r="J11" s="44"/>
      <c r="K11" s="44"/>
      <c r="L11" s="102"/>
      <c r="M11" s="3"/>
      <c r="N11" s="3"/>
      <c r="O11" s="3"/>
    </row>
    <row r="12" spans="1:15" ht="30">
      <c r="A12" s="37" t="s">
        <v>170</v>
      </c>
      <c r="B12" s="38" t="str">
        <f>LognormPosterior(mu_far_future,sigma_far_future,H26:I26)</f>
        <v>disabled</v>
      </c>
      <c r="G12" s="79"/>
      <c r="H12" s="74" t="s">
        <v>0</v>
      </c>
      <c r="I12" s="74" t="s">
        <v>1</v>
      </c>
      <c r="J12" s="44" t="s">
        <v>156</v>
      </c>
      <c r="K12" s="44" t="s">
        <v>158</v>
      </c>
      <c r="L12" s="102"/>
      <c r="M12" s="3"/>
      <c r="N12" s="26"/>
      <c r="O12" s="26"/>
    </row>
    <row r="13" spans="1:15">
      <c r="A13" s="35"/>
      <c r="B13" s="34"/>
      <c r="G13" s="42" t="s">
        <v>99</v>
      </c>
      <c r="H13" s="50">
        <v>1000000</v>
      </c>
      <c r="I13" s="50">
        <v>10000000000</v>
      </c>
      <c r="J13" s="44">
        <f>GEOMEAN(H13,I13)</f>
        <v>100000000</v>
      </c>
      <c r="K13" s="44">
        <f>LogVariance(H13,I13)</f>
        <v>1.5606082921447579</v>
      </c>
      <c r="L13" s="102" t="s">
        <v>268</v>
      </c>
      <c r="M13" s="3"/>
      <c r="N13" s="3"/>
      <c r="O13" s="3"/>
    </row>
    <row r="14" spans="1:15" ht="30">
      <c r="G14" s="46" t="s">
        <v>263</v>
      </c>
      <c r="H14" s="47">
        <v>2000</v>
      </c>
      <c r="I14" s="47">
        <v>2000</v>
      </c>
      <c r="J14" s="44">
        <f>GEOMEAN(H14,I14)</f>
        <v>2000</v>
      </c>
      <c r="K14" s="44">
        <f>LogVariance(H14,I14)</f>
        <v>0</v>
      </c>
      <c r="L14" s="102"/>
      <c r="M14" s="3"/>
      <c r="N14" s="3"/>
      <c r="O14" s="3"/>
    </row>
    <row r="15" spans="1:15">
      <c r="A15" s="22"/>
      <c r="B15" s="3"/>
      <c r="G15" s="84" t="s">
        <v>109</v>
      </c>
      <c r="H15" s="88">
        <f>1/I13</f>
        <v>1E-10</v>
      </c>
      <c r="I15" s="88">
        <f>1/H13</f>
        <v>9.9999999999999995E-7</v>
      </c>
      <c r="J15" s="44">
        <f>GEOMEAN(H15,I15)</f>
        <v>1E-8</v>
      </c>
      <c r="K15" s="44">
        <f>LogVariance(H15,I15)</f>
        <v>1.5606082921447579</v>
      </c>
      <c r="L15" s="102"/>
      <c r="M15" s="25"/>
      <c r="N15" s="3"/>
      <c r="O15" s="3"/>
    </row>
    <row r="16" spans="1:15">
      <c r="A16" s="8"/>
      <c r="B16" s="3"/>
      <c r="G16" s="89" t="s">
        <v>108</v>
      </c>
      <c r="H16" s="87"/>
      <c r="I16" s="87"/>
      <c r="J16" s="44">
        <f>J14*J15*D4*1000</f>
        <v>1.9518001458970664E-7</v>
      </c>
      <c r="K16" s="44">
        <f>K14+K15+E4</f>
        <v>1.6897459827146912</v>
      </c>
      <c r="L16" s="102"/>
      <c r="M16" s="3"/>
      <c r="O16" s="3"/>
    </row>
    <row r="17" spans="1:15">
      <c r="A17" s="8"/>
      <c r="B17" s="3"/>
      <c r="L17" s="102"/>
      <c r="M17" s="3"/>
      <c r="O17" s="3"/>
    </row>
    <row r="18" spans="1:15">
      <c r="A18" s="8"/>
      <c r="B18" s="3"/>
      <c r="L18" s="102"/>
      <c r="M18" s="3"/>
      <c r="N18" s="3"/>
      <c r="O18" s="3"/>
    </row>
    <row r="19" spans="1:15">
      <c r="A19" s="8"/>
      <c r="B19" s="3"/>
      <c r="G19" s="10" t="s">
        <v>110</v>
      </c>
      <c r="L19" s="102"/>
      <c r="M19" s="3"/>
      <c r="N19" s="3"/>
      <c r="O19" s="3"/>
    </row>
    <row r="20" spans="1:15">
      <c r="A20" s="22"/>
      <c r="B20" s="3"/>
      <c r="G20" s="5" t="s">
        <v>108</v>
      </c>
      <c r="J20">
        <f>GEOMEAN(J8,J16)</f>
        <v>2.4197934700488798E-7</v>
      </c>
      <c r="K20">
        <f>AVERAGE(K8,K16)</f>
        <v>1.6938795071938513</v>
      </c>
      <c r="L20" s="102" t="s">
        <v>269</v>
      </c>
      <c r="M20" s="3"/>
      <c r="N20" s="3"/>
      <c r="O20" s="3"/>
    </row>
    <row r="21" spans="1:15">
      <c r="A21" s="8"/>
      <c r="B21" s="3"/>
      <c r="L21" s="102"/>
    </row>
    <row r="22" spans="1:15">
      <c r="A22" s="8"/>
      <c r="B22" s="3"/>
      <c r="L22" s="102"/>
    </row>
    <row r="23" spans="1:15">
      <c r="H23" s="7" t="s">
        <v>156</v>
      </c>
      <c r="I23" s="7" t="s">
        <v>157</v>
      </c>
      <c r="L23" s="102"/>
    </row>
    <row r="24" spans="1:15">
      <c r="G24" s="5" t="s">
        <v>108</v>
      </c>
      <c r="H24">
        <f>J20</f>
        <v>2.4197934700488798E-7</v>
      </c>
      <c r="I24">
        <f>K20</f>
        <v>1.6938795071938513</v>
      </c>
      <c r="J24" s="3"/>
      <c r="K24" s="3"/>
      <c r="L24" s="142"/>
      <c r="M24" s="3"/>
    </row>
    <row r="25" spans="1:15">
      <c r="G25" s="8" t="s">
        <v>106</v>
      </c>
      <c r="H25" t="e">
        <f>'EV of Far Future'!L19</f>
        <v>#VALUE!</v>
      </c>
      <c r="I25" t="e">
        <f>'EV of Far Future'!M19</f>
        <v>#VALUE!</v>
      </c>
      <c r="J25" s="3"/>
      <c r="K25" s="3"/>
      <c r="L25" s="142"/>
      <c r="M25" s="3"/>
    </row>
    <row r="26" spans="1:15">
      <c r="G26" s="16" t="s">
        <v>52</v>
      </c>
      <c r="H26" s="14" t="e">
        <f>PRODUCT(H24:H25)</f>
        <v>#VALUE!</v>
      </c>
      <c r="I26" s="14" t="e">
        <f>SUM(I24:I25)</f>
        <v>#VALUE!</v>
      </c>
      <c r="J26" s="3"/>
      <c r="K26" s="3"/>
      <c r="L26" s="142"/>
      <c r="M26" s="3"/>
    </row>
    <row r="27" spans="1:15">
      <c r="G27" s="8"/>
      <c r="H27" s="3"/>
      <c r="I27" s="3"/>
      <c r="J27" s="3"/>
      <c r="K27" s="3"/>
      <c r="L27" s="142"/>
      <c r="M27" s="3"/>
    </row>
    <row r="28" spans="1:15">
      <c r="G28" s="8"/>
      <c r="H28" s="3"/>
      <c r="I28" s="3"/>
      <c r="J28" s="3"/>
      <c r="K28" s="3"/>
      <c r="L28" s="142"/>
      <c r="M28" s="3"/>
    </row>
    <row r="29" spans="1:15">
      <c r="G29" s="22" t="s">
        <v>245</v>
      </c>
      <c r="H29" s="44" t="s">
        <v>0</v>
      </c>
      <c r="I29" s="44" t="s">
        <v>1</v>
      </c>
      <c r="J29" s="44" t="s">
        <v>156</v>
      </c>
      <c r="K29" s="44" t="s">
        <v>158</v>
      </c>
      <c r="L29" s="142" t="s">
        <v>209</v>
      </c>
      <c r="M29" s="3"/>
    </row>
    <row r="30" spans="1:15" ht="30">
      <c r="G30" s="90" t="s">
        <v>211</v>
      </c>
      <c r="H30" s="3">
        <v>0.1</v>
      </c>
      <c r="I30" s="3">
        <v>0.1</v>
      </c>
      <c r="J30" s="3"/>
      <c r="K30" s="3"/>
      <c r="L30" s="142" t="s">
        <v>214</v>
      </c>
      <c r="M30" s="3"/>
    </row>
    <row r="31" spans="1:15">
      <c r="G31" s="90" t="s">
        <v>212</v>
      </c>
      <c r="H31" s="3">
        <v>2040</v>
      </c>
      <c r="I31" s="3">
        <v>2100</v>
      </c>
      <c r="J31" s="3"/>
      <c r="K31" s="3"/>
      <c r="L31" s="142"/>
      <c r="M31" s="3"/>
    </row>
    <row r="32" spans="1:15">
      <c r="G32" s="90" t="s">
        <v>213</v>
      </c>
      <c r="H32" s="3">
        <f ca="1">H31-YEAR(TODAY())</f>
        <v>24</v>
      </c>
      <c r="I32" s="3">
        <f ca="1">I31-YEAR(TODAY())</f>
        <v>84</v>
      </c>
      <c r="J32" s="3"/>
      <c r="K32" s="3"/>
      <c r="L32" s="142"/>
      <c r="M32" s="3"/>
    </row>
    <row r="33" spans="7:12" ht="30">
      <c r="G33" s="8" t="s">
        <v>215</v>
      </c>
      <c r="H33">
        <f ca="1">H4/LN(1+H30)*(1-1/((1+H30)^H32))</f>
        <v>1885.3692309674122</v>
      </c>
      <c r="I33">
        <f ca="1">I4/LN(1+I30)*(1-1/((1+I30)^I32))</f>
        <v>104885.60241393384</v>
      </c>
      <c r="J33" s="44">
        <f ca="1">GEOMEAN(H33,I33)</f>
        <v>14062.293111819003</v>
      </c>
      <c r="K33" s="44">
        <f ca="1">LogVariance(H33,I33)</f>
        <v>0.68094000612010941</v>
      </c>
      <c r="L33" s="102" t="s">
        <v>216</v>
      </c>
    </row>
    <row r="34" spans="7:12" ht="45">
      <c r="G34" s="5" t="s">
        <v>217</v>
      </c>
      <c r="L34" s="10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120</v>
      </c>
      <c r="H1" s="1" t="s">
        <v>137</v>
      </c>
    </row>
    <row r="2" spans="1:10">
      <c r="B2" s="44" t="s">
        <v>0</v>
      </c>
      <c r="C2" s="44" t="s">
        <v>1</v>
      </c>
      <c r="D2" s="44" t="s">
        <v>156</v>
      </c>
      <c r="E2" s="44" t="s">
        <v>158</v>
      </c>
      <c r="F2" s="44" t="s">
        <v>27</v>
      </c>
      <c r="I2" t="s">
        <v>156</v>
      </c>
      <c r="J2" s="44" t="s">
        <v>158</v>
      </c>
    </row>
    <row r="3" spans="1:10">
      <c r="A3" s="93" t="s">
        <v>123</v>
      </c>
      <c r="B3" s="43">
        <v>0.1</v>
      </c>
      <c r="C3" s="43">
        <v>0.5</v>
      </c>
      <c r="D3" s="74">
        <f>GEOMEAN(B3,C3)</f>
        <v>0.22360679774997896</v>
      </c>
      <c r="E3" s="74">
        <f>LogVariance(B3,C3)</f>
        <v>0.27270459618181209</v>
      </c>
      <c r="F3" s="39"/>
      <c r="H3" t="s">
        <v>177</v>
      </c>
      <c r="I3">
        <f>VLOOKUP(H3,'EV of Far Future'!$K$3:$M$14,2,FALSE)</f>
        <v>6.3245553203367608E+50</v>
      </c>
      <c r="J3">
        <f>VLOOKUP(H3,'EV of Far Future'!$K$3:$M$14,3,FALSE)</f>
        <v>3.5113686573257055</v>
      </c>
    </row>
    <row r="4" spans="1:10" ht="30">
      <c r="A4" s="94" t="s">
        <v>127</v>
      </c>
      <c r="B4" s="47">
        <v>0.2</v>
      </c>
      <c r="C4" s="47">
        <v>0.8</v>
      </c>
      <c r="D4" s="74">
        <f>GEOMEAN(B4,C4)</f>
        <v>0.4</v>
      </c>
      <c r="E4" s="74">
        <f>LogVariance(B4,C4)</f>
        <v>0.23489495370875477</v>
      </c>
      <c r="F4" s="39"/>
      <c r="H4" t="s">
        <v>178</v>
      </c>
      <c r="I4">
        <f>VLOOKUP(H4,'EV of Far Future'!$K$3:$M$14,2,FALSE)</f>
        <v>1.264911064067352E+49</v>
      </c>
      <c r="J4">
        <f>VLOOKUP(H4,'EV of Far Future'!$K$3:$M$14,3,FALSE)</f>
        <v>3.5113686573257055</v>
      </c>
    </row>
    <row r="5" spans="1:10" ht="30" customHeight="1">
      <c r="A5" s="100" t="s">
        <v>198</v>
      </c>
      <c r="B5" s="101">
        <v>0.1</v>
      </c>
      <c r="C5" s="101">
        <v>0.6</v>
      </c>
      <c r="D5" s="74">
        <f>GEOMEAN(B5,C5)</f>
        <v>0.2449489742783178</v>
      </c>
      <c r="E5" s="74">
        <f>LogVariance(B5,C5)</f>
        <v>0.30359732347288149</v>
      </c>
      <c r="F5" s="39"/>
      <c r="H5" t="s">
        <v>182</v>
      </c>
      <c r="I5">
        <f>VLOOKUP(H5,'EV of Far Future'!$K$3:$M$14,2,FALSE)</f>
        <v>0</v>
      </c>
      <c r="J5" t="e">
        <f>VLOOKUP(H5,'EV of Far Future'!$K$3:$M$14,3,FALSE)</f>
        <v>#N/A</v>
      </c>
    </row>
    <row r="6" spans="1:10" ht="45">
      <c r="A6" s="46" t="s">
        <v>199</v>
      </c>
      <c r="B6" s="47">
        <v>5000</v>
      </c>
      <c r="C6" s="47">
        <v>100000</v>
      </c>
      <c r="D6" s="44"/>
      <c r="E6" s="44"/>
      <c r="F6" s="39" t="s">
        <v>201</v>
      </c>
      <c r="H6" t="s">
        <v>179</v>
      </c>
      <c r="I6">
        <f>VLOOKUP(H6,'EV of Far Future'!$K$3:$M$14,2,FALSE)</f>
        <v>5.1200000000000011E+24</v>
      </c>
      <c r="J6" t="e">
        <f>VLOOKUP(H6,'EV of Far Future'!$K$3:$M$14,3,FALSE)</f>
        <v>#N/A</v>
      </c>
    </row>
    <row r="7" spans="1:10" ht="30">
      <c r="A7" s="86" t="s">
        <v>200</v>
      </c>
      <c r="B7" s="85">
        <f>1/C6</f>
        <v>1.0000000000000001E-5</v>
      </c>
      <c r="C7" s="85">
        <f>1/B6</f>
        <v>2.0000000000000001E-4</v>
      </c>
      <c r="D7" s="74">
        <f>GEOMEAN(B7,C7)</f>
        <v>4.4721359549995795E-5</v>
      </c>
      <c r="E7" s="74">
        <f>LogVariance(B7,C7)</f>
        <v>0.50759954989056688</v>
      </c>
      <c r="F7" s="39"/>
      <c r="H7" t="s">
        <v>180</v>
      </c>
      <c r="I7">
        <f>VLOOKUP(H7,'EV of Far Future'!$K$3:$M$14,2,FALSE)</f>
        <v>1.6190861620062105E+28</v>
      </c>
      <c r="J7" t="e">
        <f>VLOOKUP(H7,'EV of Far Future'!$K$3:$M$14,3,FALSE)</f>
        <v>#N/A</v>
      </c>
    </row>
    <row r="8" spans="1:10" ht="30">
      <c r="A8" s="46" t="s">
        <v>125</v>
      </c>
      <c r="B8" s="47">
        <v>0.5</v>
      </c>
      <c r="C8" s="47">
        <v>5</v>
      </c>
      <c r="D8" s="74">
        <f>GEOMEAN(B8,C8)</f>
        <v>1.5811388300841898</v>
      </c>
      <c r="E8" s="74">
        <f>LogVariance(B8,C8)</f>
        <v>0.39015207303618948</v>
      </c>
      <c r="F8" s="39" t="s">
        <v>264</v>
      </c>
      <c r="H8" t="s">
        <v>181</v>
      </c>
      <c r="I8">
        <f>VLOOKUP(H8,'EV of Far Future'!$K$3:$M$14,2,FALSE)</f>
        <v>3.8399999999999999E+26</v>
      </c>
      <c r="J8" t="e">
        <f>VLOOKUP(H8,'EV of Far Future'!$K$3:$M$14,3,FALSE)</f>
        <v>#N/A</v>
      </c>
    </row>
    <row r="9" spans="1:10" ht="45">
      <c r="A9" s="46" t="s">
        <v>126</v>
      </c>
      <c r="B9" s="47">
        <v>1000</v>
      </c>
      <c r="C9" s="47">
        <v>100000</v>
      </c>
      <c r="D9" s="74"/>
      <c r="E9" s="74"/>
      <c r="F9" s="39"/>
    </row>
    <row r="10" spans="1:10">
      <c r="A10" s="84" t="s">
        <v>129</v>
      </c>
      <c r="B10" s="85">
        <f>1000/C9</f>
        <v>0.01</v>
      </c>
      <c r="C10" s="85">
        <f>1000/B9</f>
        <v>1</v>
      </c>
      <c r="D10" s="74">
        <f>GEOMEAN(B10,C10)</f>
        <v>0.1</v>
      </c>
      <c r="E10" s="74">
        <f>LogVariance(B10,C10)</f>
        <v>0.78030414607237897</v>
      </c>
      <c r="F10" s="39"/>
      <c r="H10" s="15" t="s">
        <v>176</v>
      </c>
      <c r="I10" s="14">
        <f t="shared" ref="I10:I15" si="0">D13*I3</f>
        <v>1.4142135623730955E+49</v>
      </c>
      <c r="J10" s="14">
        <f t="shared" ref="J10:J15" si="1">E13+J3</f>
        <v>3.7840732535075174</v>
      </c>
    </row>
    <row r="11" spans="1:10" ht="45">
      <c r="A11" s="84" t="s">
        <v>130</v>
      </c>
      <c r="B11" s="85"/>
      <c r="C11" s="85"/>
      <c r="D11" s="74">
        <f>PRODUCT(D3:D8)*D10</f>
        <v>1.5491933384829672E-7</v>
      </c>
      <c r="E11" s="74">
        <f>SUM(E3:E8)+E10</f>
        <v>2.489252642362584</v>
      </c>
      <c r="F11" s="39"/>
      <c r="H11" s="15" t="s">
        <v>133</v>
      </c>
      <c r="I11" s="14">
        <f t="shared" si="0"/>
        <v>4.0000000000000002E+47</v>
      </c>
      <c r="J11" s="14">
        <f t="shared" si="1"/>
        <v>3.9015207303618951</v>
      </c>
    </row>
    <row r="12" spans="1:10">
      <c r="A12" s="84"/>
      <c r="B12" s="85"/>
      <c r="C12" s="85"/>
      <c r="D12" s="74"/>
      <c r="E12" s="74"/>
      <c r="F12" s="39"/>
      <c r="H12" s="15" t="s">
        <v>187</v>
      </c>
      <c r="I12" s="14">
        <f t="shared" si="0"/>
        <v>0</v>
      </c>
      <c r="J12" s="14" t="e">
        <f t="shared" si="1"/>
        <v>#N/A</v>
      </c>
    </row>
    <row r="13" spans="1:10" ht="60">
      <c r="A13" s="46" t="s">
        <v>265</v>
      </c>
      <c r="B13" s="47">
        <v>0.01</v>
      </c>
      <c r="C13" s="47">
        <v>0.05</v>
      </c>
      <c r="D13" s="74">
        <f t="shared" ref="D13:D18" si="2">GEOMEAN(B13,C13)</f>
        <v>2.2360679774997897E-2</v>
      </c>
      <c r="E13" s="74">
        <f t="shared" ref="E13:E18" si="3">LogVariance(B13,C13)</f>
        <v>0.27270459618181209</v>
      </c>
      <c r="F13" s="39"/>
      <c r="H13" s="15" t="s">
        <v>134</v>
      </c>
      <c r="I13" s="14">
        <f t="shared" si="0"/>
        <v>1.0240000000000003E+24</v>
      </c>
      <c r="J13" s="14" t="e">
        <f t="shared" si="1"/>
        <v>#N/A</v>
      </c>
    </row>
    <row r="14" spans="1:10" ht="30">
      <c r="A14" s="46" t="s">
        <v>266</v>
      </c>
      <c r="B14" s="47">
        <v>0.01</v>
      </c>
      <c r="C14" s="47">
        <v>0.1</v>
      </c>
      <c r="D14" s="74">
        <f t="shared" si="2"/>
        <v>3.1622776601683791E-2</v>
      </c>
      <c r="E14" s="74">
        <f t="shared" si="3"/>
        <v>0.39015207303618948</v>
      </c>
      <c r="F14" s="39"/>
      <c r="H14" s="15" t="s">
        <v>135</v>
      </c>
      <c r="I14" s="14">
        <f t="shared" si="0"/>
        <v>1.6190861620062106E+27</v>
      </c>
      <c r="J14" s="14" t="e">
        <f t="shared" si="1"/>
        <v>#N/A</v>
      </c>
    </row>
    <row r="15" spans="1:10" ht="30">
      <c r="A15" s="46" t="s">
        <v>267</v>
      </c>
      <c r="B15" s="47">
        <v>1</v>
      </c>
      <c r="C15" s="47">
        <v>1</v>
      </c>
      <c r="D15" s="74">
        <f t="shared" si="2"/>
        <v>1</v>
      </c>
      <c r="E15" s="74">
        <f t="shared" si="3"/>
        <v>0</v>
      </c>
      <c r="F15" s="39"/>
      <c r="H15" s="15" t="s">
        <v>136</v>
      </c>
      <c r="I15" s="14">
        <f t="shared" si="0"/>
        <v>3.8400000000000001E+25</v>
      </c>
      <c r="J15" s="14" t="e">
        <f t="shared" si="1"/>
        <v>#N/A</v>
      </c>
    </row>
    <row r="16" spans="1:10" ht="30">
      <c r="A16" s="46" t="s">
        <v>131</v>
      </c>
      <c r="B16" s="47">
        <v>0.1</v>
      </c>
      <c r="C16" s="47">
        <v>0.4</v>
      </c>
      <c r="D16" s="74">
        <f t="shared" si="2"/>
        <v>0.2</v>
      </c>
      <c r="E16" s="74">
        <f t="shared" si="3"/>
        <v>0.23489495370875477</v>
      </c>
      <c r="F16" s="39"/>
      <c r="H16" s="30" t="s">
        <v>167</v>
      </c>
      <c r="I16" s="31" t="str">
        <f>WriteArray(SumLognormDists(I10:J15))</f>
        <v>disabled</v>
      </c>
      <c r="J16" s="31" t="s">
        <v>148</v>
      </c>
    </row>
    <row r="17" spans="1:12" ht="30">
      <c r="A17" s="46" t="s">
        <v>132</v>
      </c>
      <c r="B17" s="47">
        <v>0.05</v>
      </c>
      <c r="C17" s="47">
        <v>0.2</v>
      </c>
      <c r="D17" s="74">
        <f t="shared" si="2"/>
        <v>0.1</v>
      </c>
      <c r="E17" s="74">
        <f t="shared" si="3"/>
        <v>0.23489495370875477</v>
      </c>
      <c r="F17" s="39"/>
      <c r="H17" s="3" t="s">
        <v>151</v>
      </c>
      <c r="I17" s="3" t="e">
        <f>STupidExcelMean(I16)</f>
        <v>#VALUE!</v>
      </c>
      <c r="J17" s="3" t="e">
        <f>STupidExcelVariance(I16,I17)</f>
        <v>#VALUE!</v>
      </c>
      <c r="K17" s="3"/>
      <c r="L17" s="3"/>
    </row>
    <row r="18" spans="1:12" ht="30">
      <c r="A18" s="46" t="s">
        <v>124</v>
      </c>
      <c r="B18" s="47">
        <v>0.05</v>
      </c>
      <c r="C18" s="47">
        <v>0.2</v>
      </c>
      <c r="D18" s="74">
        <f t="shared" si="2"/>
        <v>0.1</v>
      </c>
      <c r="E18" s="74">
        <f t="shared" si="3"/>
        <v>0.23489495370875477</v>
      </c>
      <c r="F18" s="39"/>
      <c r="H18" s="15" t="s">
        <v>163</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169</v>
      </c>
      <c r="B23" s="99" t="e">
        <f>ParetoPosterior(median,alpha,I18:J18)</f>
        <v>#VALUE!</v>
      </c>
    </row>
    <row r="24" spans="1:12" ht="30">
      <c r="A24" s="33" t="s">
        <v>170</v>
      </c>
      <c r="B24" s="99"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2016-05-20T01:05:28Z</dcterms:modified>
</cp:coreProperties>
</file>