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1"/>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5" i="7" l="1"/>
  <c r="C5" i="7"/>
  <c r="B5" i="7"/>
  <c r="N26" i="12"/>
  <c r="O14" i="12"/>
  <c r="N14" i="12"/>
  <c r="O5" i="12"/>
  <c r="N5" i="12"/>
  <c r="J35" i="12"/>
  <c r="I35" i="12"/>
  <c r="J25" i="12"/>
  <c r="I25" i="12"/>
  <c r="J14" i="12"/>
  <c r="I14" i="12"/>
  <c r="E11" i="12"/>
  <c r="J26" i="12"/>
  <c r="J28" i="12"/>
  <c r="O22" i="12"/>
  <c r="J36" i="12"/>
  <c r="J38" i="12"/>
  <c r="O23" i="12"/>
  <c r="O6" i="12"/>
  <c r="O8" i="12"/>
  <c r="O24" i="12"/>
  <c r="O15" i="12"/>
  <c r="O17" i="12"/>
  <c r="O25" i="12"/>
  <c r="D11" i="12"/>
  <c r="I15" i="12"/>
  <c r="I17" i="12"/>
  <c r="N21" i="12"/>
  <c r="J15" i="12"/>
  <c r="J17" i="12"/>
  <c r="O21" i="12"/>
  <c r="I26" i="12"/>
  <c r="I28" i="12"/>
  <c r="N22" i="12"/>
  <c r="I36" i="12"/>
  <c r="I38" i="12"/>
  <c r="N23" i="12"/>
  <c r="N6" i="12"/>
  <c r="N8" i="12"/>
  <c r="N24" i="12"/>
  <c r="N15" i="12"/>
  <c r="N17" i="12"/>
  <c r="N25" i="12"/>
  <c r="O13" i="12"/>
  <c r="O4" i="12"/>
  <c r="N27" i="12"/>
  <c r="O27" i="12"/>
  <c r="C17" i="12"/>
  <c r="B17" i="12"/>
  <c r="C18" i="12"/>
  <c r="B18" i="12"/>
  <c r="B20" i="12"/>
  <c r="I7" i="12"/>
  <c r="B24" i="12"/>
  <c r="B19" i="12"/>
  <c r="B23" i="12"/>
  <c r="N13" i="12"/>
  <c r="N4" i="12"/>
  <c r="J34" i="12"/>
  <c r="I34" i="12"/>
  <c r="I24" i="12"/>
  <c r="O12" i="12"/>
  <c r="O16" i="12"/>
  <c r="N12" i="12"/>
  <c r="N16" i="12"/>
  <c r="O3" i="12"/>
  <c r="N3" i="12"/>
  <c r="O7" i="12"/>
  <c r="N7" i="12"/>
  <c r="J33" i="12"/>
  <c r="J37" i="12"/>
  <c r="I33" i="12"/>
  <c r="I37" i="12"/>
  <c r="J24" i="12"/>
  <c r="J27" i="12"/>
  <c r="J23" i="12"/>
  <c r="I27" i="12"/>
  <c r="I23" i="12"/>
  <c r="J16" i="12"/>
  <c r="I16" i="12"/>
  <c r="D8" i="12"/>
  <c r="B4" i="12"/>
  <c r="C4" i="12"/>
  <c r="D4" i="12"/>
  <c r="D5" i="12"/>
  <c r="D6" i="12"/>
  <c r="D7" i="12"/>
  <c r="D9" i="12"/>
  <c r="E8" i="12"/>
  <c r="E4" i="12"/>
  <c r="E5" i="12"/>
  <c r="E6" i="12"/>
  <c r="E7" i="12"/>
  <c r="E9" i="12"/>
  <c r="J13" i="12"/>
  <c r="I13" i="12"/>
  <c r="J14" i="1"/>
  <c r="I14" i="1"/>
  <c r="I16" i="1"/>
  <c r="N19" i="1"/>
  <c r="J16" i="1"/>
  <c r="O19" i="1"/>
  <c r="N24" i="1"/>
  <c r="O5" i="1"/>
  <c r="N5" i="1"/>
  <c r="O13" i="1"/>
  <c r="N13" i="1"/>
  <c r="J33" i="1"/>
  <c r="I33" i="1"/>
  <c r="J24" i="1"/>
  <c r="L15" i="3"/>
  <c r="L6" i="3"/>
  <c r="I13" i="1"/>
  <c r="J13" i="1"/>
  <c r="I23" i="1"/>
  <c r="I22" i="1"/>
  <c r="I26" i="1"/>
  <c r="N20" i="1"/>
  <c r="J23" i="1"/>
  <c r="J22" i="1"/>
  <c r="J26" i="1"/>
  <c r="O20" i="1"/>
  <c r="I32" i="1"/>
  <c r="I31" i="1"/>
  <c r="I35" i="1"/>
  <c r="N21" i="1"/>
  <c r="J32" i="1"/>
  <c r="J31" i="1"/>
  <c r="J35" i="1"/>
  <c r="O21" i="1"/>
  <c r="N4" i="1"/>
  <c r="N3" i="1"/>
  <c r="N7" i="1"/>
  <c r="N22" i="1"/>
  <c r="O4" i="1"/>
  <c r="O3" i="1"/>
  <c r="O7" i="1"/>
  <c r="O22" i="1"/>
  <c r="N12" i="1"/>
  <c r="N11" i="1"/>
  <c r="N15" i="1"/>
  <c r="N23" i="1"/>
  <c r="O12" i="1"/>
  <c r="O11" i="1"/>
  <c r="O15" i="1"/>
  <c r="O23" i="1"/>
  <c r="N25" i="1"/>
  <c r="O25" i="1"/>
  <c r="C28" i="1"/>
  <c r="B28" i="1"/>
  <c r="C29" i="1"/>
  <c r="B29" i="1"/>
  <c r="B31" i="1"/>
  <c r="I24" i="1"/>
  <c r="D8" i="1"/>
  <c r="D9" i="1"/>
  <c r="D10" i="1"/>
  <c r="D12" i="1"/>
  <c r="E8" i="1"/>
  <c r="E9" i="1"/>
  <c r="E10" i="1"/>
  <c r="E12" i="1"/>
  <c r="D13" i="1"/>
  <c r="E13" i="1"/>
  <c r="D14" i="1"/>
  <c r="I7" i="1"/>
  <c r="D15" i="1"/>
  <c r="E15" i="1"/>
  <c r="D16" i="1"/>
  <c r="I15" i="1"/>
  <c r="E16" i="1"/>
  <c r="J15" i="1"/>
  <c r="I25" i="1"/>
  <c r="J25" i="1"/>
  <c r="I34" i="1"/>
  <c r="J34" i="1"/>
  <c r="N6" i="1"/>
  <c r="O6" i="1"/>
  <c r="N14" i="1"/>
  <c r="O14"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G5" i="5"/>
  <c r="F4" i="2"/>
  <c r="G4" i="2"/>
  <c r="D18" i="1"/>
  <c r="E18" i="1"/>
  <c r="D19" i="1"/>
  <c r="E19" i="1"/>
  <c r="D20" i="1"/>
  <c r="E20" i="1"/>
  <c r="D21" i="1"/>
  <c r="E21" i="1"/>
  <c r="K5" i="7"/>
  <c r="L16" i="3"/>
  <c r="M16" i="3"/>
  <c r="L7" i="3"/>
  <c r="M7" i="3"/>
  <c r="M18" i="3"/>
  <c r="L18" i="3"/>
  <c r="L19" i="3"/>
  <c r="G13" i="5"/>
  <c r="G14" i="5"/>
  <c r="M19" i="3"/>
  <c r="H13" i="5"/>
  <c r="H14" i="5"/>
  <c r="G15" i="5"/>
  <c r="L13" i="5"/>
  <c r="L14" i="5"/>
  <c r="L25" i="5"/>
  <c r="M13" i="5"/>
  <c r="M14" i="5"/>
  <c r="M25" i="5"/>
  <c r="L27" i="5"/>
  <c r="L28" i="5"/>
  <c r="B24" i="5"/>
  <c r="M28" i="5"/>
  <c r="H15" i="5"/>
  <c r="C24" i="5"/>
  <c r="C25" i="5"/>
  <c r="B25" i="5"/>
  <c r="B27" i="5"/>
  <c r="B31" i="5"/>
  <c r="C3" i="7"/>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I4" i="10"/>
  <c r="I11" i="10"/>
  <c r="J4" i="10"/>
  <c r="J11" i="10"/>
  <c r="I5" i="10"/>
  <c r="I12" i="10"/>
  <c r="J5" i="10"/>
  <c r="J12" i="10"/>
  <c r="I6" i="10"/>
  <c r="I13" i="10"/>
  <c r="J6" i="10"/>
  <c r="J13" i="10"/>
  <c r="I7" i="10"/>
  <c r="I14" i="10"/>
  <c r="J7" i="10"/>
  <c r="J14" i="10"/>
  <c r="I8" i="10"/>
  <c r="I15" i="10"/>
  <c r="J8" i="10"/>
  <c r="J15" i="10"/>
  <c r="I16" i="10"/>
  <c r="G3" i="3"/>
  <c r="G4" i="3"/>
  <c r="G14" i="3"/>
  <c r="G15" i="3"/>
  <c r="G16" i="3"/>
  <c r="L9" i="3"/>
  <c r="P36" i="2"/>
  <c r="H3" i="3"/>
  <c r="P37" i="2"/>
  <c r="H4" i="3"/>
  <c r="P39" i="2"/>
  <c r="H14" i="3"/>
  <c r="H15" i="3"/>
  <c r="H16" i="3"/>
  <c r="M9" i="3"/>
  <c r="G20" i="3"/>
  <c r="G21" i="3"/>
  <c r="G22" i="3"/>
  <c r="L10" i="3"/>
  <c r="P40" i="2"/>
  <c r="H20" i="3"/>
  <c r="H25" i="2"/>
  <c r="J25" i="2"/>
  <c r="L25" i="2"/>
  <c r="H21" i="3"/>
  <c r="H22" i="3"/>
  <c r="M10" i="3"/>
  <c r="G26" i="3"/>
  <c r="G27" i="3"/>
  <c r="G28" i="3"/>
  <c r="L11" i="3"/>
  <c r="P41" i="2"/>
  <c r="H26" i="3"/>
  <c r="H26" i="2"/>
  <c r="J26" i="2"/>
  <c r="L26" i="2"/>
  <c r="H27" i="3"/>
  <c r="H28" i="3"/>
  <c r="M11" i="3"/>
  <c r="G32" i="3"/>
  <c r="G33" i="3"/>
  <c r="G34" i="3"/>
  <c r="G35" i="3"/>
  <c r="L12" i="3"/>
  <c r="H32" i="3"/>
  <c r="P42" i="2"/>
  <c r="H33" i="3"/>
  <c r="H34" i="3"/>
  <c r="H35" i="3"/>
  <c r="M12" i="3"/>
  <c r="B3" i="3"/>
  <c r="B4" i="3"/>
  <c r="B5" i="3"/>
  <c r="B6" i="3"/>
  <c r="B10" i="3"/>
  <c r="B11" i="3"/>
  <c r="L4" i="3"/>
  <c r="L36" i="2"/>
  <c r="C3" i="3"/>
  <c r="L37" i="2"/>
  <c r="C4" i="3"/>
  <c r="L38" i="2"/>
  <c r="C5" i="3"/>
  <c r="L39" i="2"/>
  <c r="C6" i="3"/>
  <c r="H27" i="2"/>
  <c r="J27" i="2"/>
  <c r="L27" i="2"/>
  <c r="C10" i="3"/>
  <c r="C11" i="3"/>
  <c r="M4" i="3"/>
  <c r="M10" i="5"/>
  <c r="M11" i="5"/>
  <c r="M12" i="5"/>
  <c r="O11" i="3"/>
  <c r="O9" i="3"/>
  <c r="O10" i="3"/>
  <c r="O12" i="3"/>
  <c r="O4" i="3"/>
  <c r="I3" i="7"/>
  <c r="H3" i="7"/>
  <c r="I6" i="7"/>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G24" i="2"/>
  <c r="I24" i="2"/>
  <c r="K24" i="2"/>
  <c r="I5" i="7"/>
  <c r="H5" i="7"/>
  <c r="B7" i="5"/>
  <c r="C7" i="5"/>
  <c r="L12" i="5"/>
  <c r="L20" i="5"/>
  <c r="L21" i="5"/>
  <c r="L26" i="5"/>
  <c r="M20" i="5"/>
  <c r="M19" i="5"/>
  <c r="M21" i="5"/>
  <c r="M26" i="5"/>
  <c r="G12" i="5"/>
  <c r="H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<sst xmlns="http://schemas.openxmlformats.org/spreadsheetml/2006/main" count="585" uniqueCount="299">
  <si>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</si>
  <si>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</si>
  <si>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</si>
  <si>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</si>
  <si>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</si>
  <si>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</si>
  <si>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</si>
  <si>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</si>
  <si>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</si>
  <si>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</si>
  <si>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</si>
  <si>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</si>
  <si>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</si>
  <si>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</si>
  <si>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</si>
  <si>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</si>
  <si>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</si>
  <si>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</si>
  <si>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</si>
  <si>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</si>
  <si>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</si>
  <si>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</si>
  <si>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</si>
  <si>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</si>
  <si>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</si>
  <si>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</si>
  <si>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</si>
  <si>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</si>
  <si>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</si>
  <si>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</si>
  <si>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</si>
  <si>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</si>
  <si>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</si>
  <si>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</si>
  <si>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</si>
  <si>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</si>
  <si>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</si>
  <si>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</si>
  <si>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</si>
  <si>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</si>
  <si>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</si>
  <si>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</si>
  <si>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</si>
  <si>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</si>
  <si>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</si>
  <si>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</si>
  <si>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</si>
  <si>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</si>
  <si>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</si>
  <si>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</si>
  <si>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</si>
  <si>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</si>
  <si>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</si>
  <si>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</si>
  <si>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</si>
  <si>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</si>
  <si>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</si>
  <si>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</si>
  <si>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</si>
  <si>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</si>
  <si>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</si>
  <si>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</si>
  <si>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</si>
  <si>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</si>
  <si>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</si>
  <si>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</si>
  <si>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</si>
  <si>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</si>
  <si>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</si>
  <si>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</si>
  <si>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</si>
  <si>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</si>
  <si>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</si>
  <si>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</si>
  <si>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</si>
  <si>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</si>
  <si>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</si>
  <si>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</si>
  <si>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</si>
  <si>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</si>
  <si>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</si>
  <si>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</si>
  <si>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</si>
  <si>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</si>
  <si>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</si>
  <si>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</si>
  <si>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</si>
  <si>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</si>
  <si>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</si>
  <si>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</si>
  <si>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</si>
  <si>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</si>
  <si>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</si>
  <si>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</si>
  <si>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</si>
  <si>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</si>
  <si>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</si>
  <si>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</si>
  <si>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</si>
  <si>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</si>
  <si>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</si>
  <si>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</si>
  <si>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</si>
  <si>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</si>
  <si>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</si>
  <si>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</si>
  <si>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</si>
  <si>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</si>
  <si>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</si>
  <si>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</si>
  <si>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</si>
  <si>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</si>
  <si>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</si>
  <si>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</si>
  <si>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</si>
  <si>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</si>
  <si>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</si>
  <si>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</si>
  <si>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</si>
  <si>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</si>
  <si>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</si>
  <si>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</si>
  <si>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</si>
  <si>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</si>
  <si>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</si>
  <si>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</si>
  <si>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</si>
  <si>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</si>
  <si>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</si>
  <si>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</si>
  <si>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</si>
  <si>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</si>
  <si>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</si>
  <si>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</si>
  <si>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</si>
  <si>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</si>
  <si>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</si>
  <si>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</si>
  <si>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</si>
  <si>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</si>
  <si>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</si>
  <si>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</si>
  <si>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</si>
  <si>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</si>
  <si>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</si>
  <si>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</si>
  <si>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</si>
  <si>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</si>
  <si>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</si>
  <si>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</si>
  <si>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</si>
  <si>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</si>
  <si>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</si>
  <si>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</si>
  <si>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</si>
  <si>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</si>
  <si>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</si>
  <si>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</si>
  <si>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</si>
  <si>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</si>
  <si>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</si>
  <si>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</si>
  <si>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</si>
  <si>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</si>
  <si>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</si>
  <si>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</si>
  <si>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</si>
  <si>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</si>
  <si>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</si>
  <si>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</si>
  <si>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</si>
  <si>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</si>
  <si>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</si>
  <si>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</si>
  <si>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</si>
  <si>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</si>
  <si>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</si>
  <si>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</si>
  <si>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</si>
  <si>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</si>
  <si>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</si>
  <si>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</si>
  <si>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</si>
  <si>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</si>
  <si>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</si>
  <si>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</si>
  <si>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</si>
  <si>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</si>
  <si>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</si>
  <si>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</si>
  <si>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</si>
  <si>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</si>
  <si>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</si>
  <si>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</si>
  <si>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</si>
  <si>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</si>
  <si>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</si>
  <si>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</si>
  <si>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</si>
  <si>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</si>
  <si>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</si>
  <si>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</si>
  <si>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</si>
  <si>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</si>
  <si>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</si>
  <si>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</si>
  <si>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</si>
  <si>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</si>
  <si>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</si>
  <si>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</si>
  <si>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</si>
  <si>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</si>
  <si>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</si>
  <si>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</si>
  <si>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</si>
  <si>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</si>
  <si>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</si>
  <si>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</si>
  <si>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</si>
  <si>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</si>
  <si>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</si>
  <si>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</si>
  <si>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</si>
  <si>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</si>
  <si>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</si>
  <si>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</si>
  <si>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</si>
  <si>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</si>
  <si>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</si>
  <si>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</si>
  <si>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</si>
  <si>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</si>
  <si>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</si>
  <si>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</si>
  <si>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</si>
  <si>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</si>
  <si>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</si>
  <si>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</si>
  <si>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</si>
  <si>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</si>
  <si>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</si>
  <si>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</si>
  <si>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</si>
  <si>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</si>
  <si>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</si>
  <si>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</si>
  <si>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For detailed explanations of everything, see TODO: link</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</si>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</sst>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4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5">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11" fontId="5" fillId="0" borderId="0" xfId="0" applyNumberFormat="1" applyFont="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cellXfs>
  <cellStyles count="214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f>GiveDirectly!B30</f>
        <v>-1021738259900382.6</v>
      </c>
      <c r="C3" s="97" t="e">
        <f>GiveDirectly!B31</f>
        <v>#VALUE!</v>
      </c>
      <c r="D3" s="97" t="e">
        <f>C3/$C$3</f>
        <v>#VALUE!</v>
      </c>
      <c r="G3" s="139" t="s">
        <v>113</v>
      </c>
      <c r="H3" s="80">
        <f>GiveDirectly!G3</f>
        <v>1</v>
      </c>
      <c r="I3" s="79">
        <f>GiveDirectly!H3</f>
        <v>4.0000000000000008E-2</v>
      </c>
      <c r="J3" s="97">
        <f>GiveDirectly!G4</f>
        <v>0.85832741114212496</v>
      </c>
      <c r="K3" s="97" t="str">
        <f>GiveDirectly!G5</f>
        <v>disabled</v>
      </c>
    </row>
    <row r="4" spans="1:12" ht="30" customHeight="1">
      <c r="A4" s="96" t="s">
        <v>171</v>
      </c>
      <c r="B4" s="97" t="e">
        <f>THL!B34</f>
        <v>#VALUE!</v>
      </c>
      <c r="C4" s="97" t="e">
        <f>THL!B35</f>
        <v>#VALUE!</v>
      </c>
      <c r="D4" s="97" t="e">
        <f>C4/C3</f>
        <v>#VALUE!</v>
      </c>
      <c r="G4" s="80" t="s">
        <v>118</v>
      </c>
      <c r="H4" s="138">
        <f>D17</f>
        <v>11.224972160321824</v>
      </c>
      <c r="I4" s="138">
        <f>E17</f>
        <v>7.4864535847752101E-2</v>
      </c>
      <c r="J4" s="97">
        <f>ParetoPosterior(median,alpha,H4:I4)</f>
        <v>7.6651731591110082</v>
      </c>
      <c r="K4" s="97">
        <f>LognormPosterior(mu_global_poverty,sigma_global_poverty,H4:I4)</f>
        <v>7.68136697438384</v>
      </c>
    </row>
    <row r="5" spans="1:12" ht="30" customHeight="1">
      <c r="A5" s="58" t="s">
        <v>298</v>
      </c>
      <c r="B5" s="140">
        <f>'Cage-Free'!B23</f>
        <v>1.7155923138575062E+24</v>
      </c>
      <c r="C5" s="140">
        <f>'Cage-Free'!B24</f>
        <v>122694.70790374537</v>
      </c>
      <c r="D5" s="140" t="e">
        <f>C5/C3</f>
        <v>#VALUE!</v>
      </c>
      <c r="G5" s="80" t="s">
        <v>171</v>
      </c>
      <c r="H5" s="138">
        <f>THL!I5</f>
        <v>5429.9171264394072</v>
      </c>
      <c r="I5" s="79">
        <f>THL!J5</f>
        <v>0.49504262895320128</v>
      </c>
      <c r="J5" s="97">
        <f>THL!I6</f>
        <v>396.49368154968971</v>
      </c>
      <c r="K5" s="97">
        <f>THL!I7</f>
        <v>194.83133807235006</v>
      </c>
    </row>
    <row r="6" spans="1:12" ht="30" customHeight="1">
      <c r="A6" s="96" t="s">
        <v>114</v>
      </c>
      <c r="B6" s="97">
        <f>'AI Safety'!B11</f>
        <v>6.3112967095697664E+27</v>
      </c>
      <c r="C6" s="97">
        <f>'AI Safety'!B12</f>
        <v>213917.63204134765</v>
      </c>
      <c r="D6" s="97" t="e">
        <f>C6/$C$3</f>
        <v>#VALUE!</v>
      </c>
      <c r="G6" s="80" t="s">
        <v>251</v>
      </c>
      <c r="H6" s="138">
        <f>'Cage-Free'!I5</f>
        <v>88741.196746494257</v>
      </c>
      <c r="I6" s="138">
        <f>'Cage-Free'!J5</f>
        <v>0.31528753718843733</v>
      </c>
      <c r="J6" s="97">
        <f>'Cage-Free'!I6</f>
        <v>16679.269175199799</v>
      </c>
      <c r="K6" s="97">
        <f>'Cage-Free'!I7</f>
        <v>2531.88913733256</v>
      </c>
    </row>
    <row r="7" spans="1:12" ht="30" customHeight="1">
      <c r="A7" s="96" t="s">
        <v>138</v>
      </c>
      <c r="B7" s="97">
        <f>'AI Targeted Values Spreading'!B23</f>
        <v>7.21322996525908E+36</v>
      </c>
      <c r="C7" s="97">
        <f>'AI Targeted Values Spreading'!B24</f>
        <v>25902525.57153099</v>
      </c>
      <c r="D7" s="97" t="e">
        <f>C7/$C$3</f>
        <v>#VALUE!</v>
      </c>
    </row>
    <row r="8" spans="1:12" ht="30" customHeight="1">
      <c r="G8" s="3"/>
      <c r="H8" s="9"/>
      <c r="I8" s="3"/>
      <c r="K8" s="3"/>
      <c r="L8" s="3"/>
    </row>
    <row r="9" spans="1:12" ht="30" customHeight="1"/>
    <row r="10" spans="1:12" ht="30" customHeight="1">
      <c r="A10" s="6" t="s">
        <v>250</v>
      </c>
    </row>
    <row r="11" spans="1:12" ht="30" customHeight="1">
      <c r="A11" s="44" t="s">
        <v>247</v>
      </c>
      <c r="B11" s="44" t="s">
        <v>0</v>
      </c>
      <c r="C11" s="44" t="s">
        <v>1</v>
      </c>
      <c r="D11" s="44" t="s">
        <v>156</v>
      </c>
      <c r="E11" s="44" t="s">
        <v>158</v>
      </c>
      <c r="F11" s="58" t="s">
        <v>111</v>
      </c>
      <c r="G11" s="58" t="s">
        <v>112</v>
      </c>
      <c r="H11" s="44" t="s">
        <v>27</v>
      </c>
    </row>
    <row r="12" spans="1:12" ht="30" customHeight="1">
      <c r="A12" s="44" t="s">
        <v>113</v>
      </c>
      <c r="B12" s="44"/>
      <c r="C12" s="44"/>
      <c r="D12" s="44"/>
      <c r="E12" s="44"/>
      <c r="F12" s="140">
        <f>B3</f>
        <v>-1021738259900382.6</v>
      </c>
      <c r="G12" s="140" t="e">
        <f>C3</f>
        <v>#VALUE!</v>
      </c>
    </row>
    <row r="13" spans="1:12" ht="30" customHeight="1">
      <c r="A13" s="44" t="s">
        <v>171</v>
      </c>
      <c r="B13" s="44"/>
      <c r="C13" s="44"/>
      <c r="D13" s="44"/>
      <c r="E13" s="44"/>
      <c r="F13" s="140" t="e">
        <f>B4</f>
        <v>#VALUE!</v>
      </c>
      <c r="G13" s="140" t="e">
        <f>C4</f>
        <v>#VALUE!</v>
      </c>
    </row>
    <row r="14" spans="1:12" ht="30" customHeight="1">
      <c r="A14" s="44" t="s">
        <v>281</v>
      </c>
      <c r="B14" s="44"/>
      <c r="C14" s="44"/>
      <c r="D14" s="44"/>
      <c r="E14" s="44"/>
      <c r="F14" s="140">
        <f>J6</f>
        <v>16679.269175199799</v>
      </c>
      <c r="G14" s="140">
        <f>K6</f>
        <v>2531.88913733256</v>
      </c>
    </row>
    <row r="15" spans="1:12" ht="30" customHeight="1">
      <c r="A15" s="44" t="s">
        <v>114</v>
      </c>
      <c r="B15" s="44"/>
      <c r="C15" s="44"/>
      <c r="D15" s="44"/>
      <c r="E15" s="44"/>
      <c r="F15" s="140">
        <f>B6</f>
        <v>6.3112967095697664E+27</v>
      </c>
      <c r="G15" s="140">
        <f>C6</f>
        <v>213917.63204134765</v>
      </c>
    </row>
    <row r="16" spans="1:12" ht="30" customHeight="1">
      <c r="A16" s="44" t="s">
        <v>138</v>
      </c>
      <c r="B16" s="44"/>
      <c r="C16" s="44"/>
      <c r="D16" s="44"/>
      <c r="E16" s="44"/>
      <c r="F16" s="140">
        <f>B7</f>
        <v>7.21322996525908E+36</v>
      </c>
      <c r="G16" s="140">
        <f>C7</f>
        <v>25902525.57153099</v>
      </c>
    </row>
    <row r="17" spans="1:8" ht="30" customHeight="1">
      <c r="A17" s="62" t="s">
        <v>275</v>
      </c>
      <c r="B17" s="92">
        <v>9</v>
      </c>
      <c r="C17" s="92">
        <v>14</v>
      </c>
      <c r="D17" s="138">
        <f t="shared" ref="D17:D22" si="0">GEOMEAN(B17,C17)</f>
        <v>11.224972160321824</v>
      </c>
      <c r="E17" s="80">
        <f>LogVariance(B17,C17)</f>
        <v>7.4864535847752101E-2</v>
      </c>
      <c r="F17" s="140">
        <f>ParetoPosterior(median,alpha,$D17:$E17)</f>
        <v>7.6651731591110082</v>
      </c>
      <c r="G17" s="140">
        <f>LognormPosterior(mu_global_poverty,sigma_global_poverty,$D17:$E17)</f>
        <v>7.68136697438384</v>
      </c>
    </row>
    <row r="18" spans="1:8" ht="30" customHeight="1">
      <c r="A18" s="62" t="s">
        <v>276</v>
      </c>
      <c r="B18" s="92">
        <v>6</v>
      </c>
      <c r="C18" s="92">
        <v>30</v>
      </c>
      <c r="D18" s="138">
        <f t="shared" si="0"/>
        <v>13.416407864998737</v>
      </c>
      <c r="E18" s="80">
        <f>LogVariance(B18,C18)</f>
        <v>0.27270459618181209</v>
      </c>
      <c r="F18" s="140">
        <f>ParetoPosterior(median,alpha,$D18:$E18)</f>
        <v>3.7274882658620698</v>
      </c>
      <c r="G18" s="140">
        <f>LognormPosterior(mu_global_poverty,sigma_global_poverty,$D18:$E18)</f>
        <v>4.4094745822667356</v>
      </c>
    </row>
    <row r="19" spans="1:8" ht="30" customHeight="1">
      <c r="A19" s="62" t="s">
        <v>277</v>
      </c>
      <c r="B19" s="92">
        <v>0.5</v>
      </c>
      <c r="C19" s="92">
        <v>15</v>
      </c>
      <c r="D19" s="138">
        <f t="shared" si="0"/>
        <v>2.7386127875258306</v>
      </c>
      <c r="E19" s="80">
        <f>LogVariance(B19,C19)</f>
        <v>0.57630191965469357</v>
      </c>
      <c r="F19" s="140">
        <f>ParetoPosterior(median,alpha,$D19:$E19)</f>
        <v>0.60816760992752539</v>
      </c>
      <c r="G19" s="140">
        <f>LognormPosterior(mu_policy,sigma_policy,$D19:$E19)</f>
        <v>1.0908863363038546</v>
      </c>
      <c r="H19" s="127" t="s">
        <v>248</v>
      </c>
    </row>
    <row r="20" spans="1:8" ht="30" customHeight="1">
      <c r="A20" s="62" t="s">
        <v>278</v>
      </c>
      <c r="B20" s="92">
        <v>2</v>
      </c>
      <c r="C20" s="92">
        <v>25</v>
      </c>
      <c r="D20" s="138">
        <f t="shared" si="0"/>
        <v>7.0710678118654755</v>
      </c>
      <c r="E20" s="80">
        <f>LogVariance(B20,C20)</f>
        <v>0.42796171550924683</v>
      </c>
      <c r="F20" s="140">
        <f>ParetoPosterior(median,alpha,$D20:$E20)</f>
        <v>1.3899606988089097</v>
      </c>
      <c r="G20" s="140">
        <f>LognormPosterior(mu_policy,sigma_policy,$D20:$E20)</f>
        <v>2.1388077929344163</v>
      </c>
    </row>
    <row r="21" spans="1:8" ht="30" customHeight="1">
      <c r="A21" s="62" t="s">
        <v>279</v>
      </c>
      <c r="B21" s="92">
        <v>0.1</v>
      </c>
      <c r="C21" s="92">
        <v>10</v>
      </c>
      <c r="D21" s="138">
        <f t="shared" si="0"/>
        <v>1</v>
      </c>
      <c r="E21" s="80">
        <f>LogVariance(B21,C21)</f>
        <v>0.78030414607237897</v>
      </c>
      <c r="F21" s="140">
        <f>ParetoPosterior(median,alpha,$D21:$E21)</f>
        <v>0.32990094699021733</v>
      </c>
      <c r="G21" s="140">
        <f>LognormPosterior(mu_policy,sigma_policy,$D21:$E21)</f>
        <v>0.62405286763824308</v>
      </c>
    </row>
    <row r="22" spans="1:8" ht="30" customHeight="1">
      <c r="A22" s="62" t="s">
        <v>280</v>
      </c>
      <c r="B22" s="92">
        <v>1</v>
      </c>
      <c r="C22" s="92">
        <v>100</v>
      </c>
      <c r="D22" s="138">
        <f t="shared" si="0"/>
        <v>10</v>
      </c>
      <c r="E22" s="80">
        <f>LogVariance(B22,C22)</f>
        <v>0.78030414607237897</v>
      </c>
      <c r="F22" s="140">
        <f>ParetoPosterior(median,alpha,$D22:$E22)</f>
        <v>0.91744602369328643</v>
      </c>
      <c r="G22" s="140">
        <f>LognormPosterior(mu_policy,sigma_policy,$D22:$E22)</f>
        <v>1.6372722236599835</v>
      </c>
    </row>
    <row r="23" spans="1:8" ht="30" customHeight="1">
      <c r="A23" s="62" t="s">
        <v>252</v>
      </c>
      <c r="B23" s="44"/>
      <c r="C23" s="44"/>
      <c r="D23" s="141">
        <f>'AI Safety'!H26/10</f>
        <v>9.7766637805357065E+38</v>
      </c>
      <c r="E23" s="141">
        <f>'AI Safety'!I26</f>
        <v>5.2940810392801163</v>
      </c>
      <c r="F23" s="140">
        <f>ParetoPosterior(1,alpha,$D23:$E23)</f>
        <v>6.3112967095697741E+26</v>
      </c>
      <c r="G23" s="140">
        <f>LognormPosterior(mu_far_future,sigma_far_future,$D23:$E23)</f>
        <v>171474.9893022576</v>
      </c>
    </row>
    <row r="24" spans="1:8" ht="30" customHeight="1">
      <c r="A24" s="62" t="s">
        <v>253</v>
      </c>
      <c r="B24" s="44"/>
      <c r="C24" s="44"/>
      <c r="D24" s="141">
        <f>D23</f>
        <v>9.7766637805357065E+38</v>
      </c>
      <c r="E24" s="141">
        <f>E23</f>
        <v>5.2940810392801163</v>
      </c>
      <c r="F24" s="140">
        <f>ParetoPosterior(median,alpha,$D24:$E24)</f>
        <v>6.3112967095697288E+26</v>
      </c>
      <c r="G24" s="140">
        <f>LognormPosterior(mu_far_future,sigma_far_future,$D24:$E24)</f>
        <v>171474.9893022576</v>
      </c>
    </row>
    <row r="25" spans="1:8" ht="30" customHeight="1">
      <c r="A25" s="45" t="s">
        <v>274</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K15" sqref="K15"/>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249</v>
      </c>
      <c r="E2" s="5" t="s">
        <v>143</v>
      </c>
      <c r="F2" s="5" t="s">
        <v>144</v>
      </c>
      <c r="G2" s="5" t="s">
        <v>145</v>
      </c>
      <c r="H2" s="3"/>
    </row>
    <row r="3" spans="1:13" s="44" customFormat="1" ht="30" customHeight="1">
      <c r="A3" s="39" t="s">
        <v>246</v>
      </c>
      <c r="C3" s="71" t="s">
        <v>80</v>
      </c>
      <c r="D3" s="72">
        <v>0.1</v>
      </c>
      <c r="E3" s="72">
        <v>0.1</v>
      </c>
      <c r="F3" s="72">
        <v>1</v>
      </c>
      <c r="G3" s="109">
        <v>10</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254</v>
      </c>
    </row>
    <row r="6" spans="1:13" ht="30" customHeight="1"/>
    <row r="7" spans="1:13" ht="30" customHeight="1">
      <c r="A7" s="76" t="s">
        <v>13</v>
      </c>
      <c r="B7" s="34"/>
      <c r="C7" s="34"/>
      <c r="D7" s="119" t="s">
        <v>272</v>
      </c>
      <c r="E7" s="34"/>
      <c r="F7" s="34"/>
      <c r="J7" s="6" t="s">
        <v>88</v>
      </c>
      <c r="L7" s="48" t="s">
        <v>65</v>
      </c>
    </row>
    <row r="8" spans="1:13" s="44" customFormat="1" ht="30" customHeight="1">
      <c r="A8" s="77" t="s">
        <v>5</v>
      </c>
      <c r="B8" s="78">
        <v>0.2</v>
      </c>
      <c r="C8" s="77" t="s">
        <v>12</v>
      </c>
      <c r="D8" s="78">
        <v>0.7</v>
      </c>
      <c r="E8" s="79" t="s">
        <v>244</v>
      </c>
      <c r="F8" s="79"/>
      <c r="J8" s="58" t="s">
        <v>90</v>
      </c>
      <c r="L8" s="66" t="s">
        <v>26</v>
      </c>
      <c r="M8" s="108">
        <v>20000000000</v>
      </c>
    </row>
    <row r="9" spans="1:13" s="44" customFormat="1" ht="30" customHeight="1">
      <c r="A9" s="77" t="s">
        <v>218</v>
      </c>
      <c r="B9" s="78">
        <v>0.4</v>
      </c>
      <c r="C9" s="77" t="s">
        <v>6</v>
      </c>
      <c r="D9" s="78">
        <v>0.8</v>
      </c>
      <c r="E9" s="77" t="s">
        <v>61</v>
      </c>
      <c r="F9" s="78">
        <v>0.3</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271</v>
      </c>
    </row>
    <row r="14" spans="1:13" s="44" customFormat="1" ht="30" customHeight="1">
      <c r="A14" s="79"/>
      <c r="B14" s="79"/>
      <c r="C14" s="77" t="s">
        <v>10</v>
      </c>
      <c r="D14" s="78">
        <v>0.64</v>
      </c>
      <c r="E14" s="79" t="s">
        <v>242</v>
      </c>
      <c r="F14" s="79"/>
      <c r="J14" s="144" t="s">
        <v>271</v>
      </c>
    </row>
    <row r="15" spans="1:13" s="44" customFormat="1" ht="30" customHeight="1">
      <c r="A15" s="79"/>
      <c r="B15" s="79"/>
      <c r="C15" s="77" t="s">
        <v>11</v>
      </c>
      <c r="D15" s="78">
        <v>0.01</v>
      </c>
      <c r="E15" s="79" t="s">
        <v>243</v>
      </c>
      <c r="F15" s="79"/>
      <c r="J15" s="145" t="s">
        <v>271</v>
      </c>
    </row>
    <row r="16" spans="1:13" ht="30" customHeight="1">
      <c r="D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193</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19" sqref="L19"/>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6.3245553203367595E+46</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3.7947331922020553E+44</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148</v>
      </c>
      <c r="Q6" s="3"/>
      <c r="R6" s="3"/>
    </row>
    <row r="7" spans="1:18">
      <c r="B7" s="5"/>
      <c r="C7" s="5"/>
      <c r="D7" s="5"/>
      <c r="E7" s="5"/>
      <c r="F7" s="10" t="s">
        <v>50</v>
      </c>
      <c r="G7" s="5"/>
      <c r="H7" s="5"/>
      <c r="I7" s="5"/>
      <c r="K7" s="3" t="s">
        <v>155</v>
      </c>
      <c r="L7" s="3">
        <f>STupidExcelMean(L6)</f>
        <v>7.0620256985400632E+50</v>
      </c>
      <c r="M7" s="3">
        <f>STupidExcelVariance(L6,L7)</f>
        <v>5.959747492242024E+109</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1.2649110640673518E+46</v>
      </c>
      <c r="M14" s="14">
        <f>C26</f>
        <v>3.5113686573257055</v>
      </c>
      <c r="N14" t="s">
        <v>76</v>
      </c>
      <c r="O14">
        <f>p_computronium*p_dolorium</f>
        <v>4.0000000000000001E-3</v>
      </c>
    </row>
    <row r="15" spans="1:18" ht="30">
      <c r="A15" s="5" t="s">
        <v>193</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153</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148</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154</v>
      </c>
      <c r="L16" s="3">
        <f>STupidExcelMean(L15)</f>
        <v>1.4217858907253908E+50</v>
      </c>
      <c r="M16" s="3">
        <f>STupidExcelVariance(L15,L16)</f>
        <v>2.3987886749258687E+108</v>
      </c>
      <c r="N16" s="7" t="s">
        <v>150</v>
      </c>
    </row>
    <row r="17" spans="1:23">
      <c r="B17" s="5"/>
      <c r="C17" s="5"/>
      <c r="D17" s="5"/>
      <c r="E17" s="5"/>
      <c r="F17" s="5"/>
      <c r="G17" s="5"/>
      <c r="H17" s="5"/>
      <c r="I17" s="5"/>
    </row>
    <row r="18" spans="1:23">
      <c r="B18" s="5"/>
      <c r="C18" s="5"/>
      <c r="D18" s="5"/>
      <c r="E18" s="5"/>
      <c r="F18" s="5"/>
      <c r="G18" s="5"/>
      <c r="H18" s="5"/>
      <c r="I18" s="5"/>
      <c r="K18" s="3" t="s">
        <v>151</v>
      </c>
      <c r="L18" s="3">
        <f>L7-L16</f>
        <v>5.6402398078146723E+50</v>
      </c>
      <c r="M18">
        <f>DifferenceVariance(L7:M7,L16:M16)</f>
        <v>6.1996263597346108E+109</v>
      </c>
    </row>
    <row r="19" spans="1:23" ht="30">
      <c r="A19" s="10" t="s">
        <v>48</v>
      </c>
      <c r="B19" s="5"/>
      <c r="C19" s="5"/>
      <c r="D19" s="5"/>
      <c r="E19" s="5"/>
      <c r="F19" s="10" t="s">
        <v>55</v>
      </c>
      <c r="G19" s="5"/>
      <c r="H19" s="5"/>
      <c r="I19" s="5"/>
      <c r="K19" s="27" t="s">
        <v>106</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B7" sqref="B7"/>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255</v>
      </c>
      <c r="B5" s="47">
        <v>5.0000000000000001E-3</v>
      </c>
      <c r="C5" s="47">
        <v>0.2</v>
      </c>
      <c r="D5" s="119"/>
      <c r="F5" s="18" t="s">
        <v>85</v>
      </c>
      <c r="G5" s="19" t="str">
        <f>LognormPosterior(mu_global_poverty,sigma_global_poverty,G3:H3)</f>
        <v>disabled</v>
      </c>
      <c r="H5" s="3"/>
    </row>
    <row r="6" spans="1:16" ht="45">
      <c r="A6" s="46" t="s">
        <v>256</v>
      </c>
      <c r="B6" s="47">
        <f>B5*1.01</f>
        <v>5.0499999999999998E-3</v>
      </c>
      <c r="C6" s="47">
        <f>C5*1.01</f>
        <v>0.20200000000000001</v>
      </c>
      <c r="D6" s="119"/>
    </row>
    <row r="7" spans="1:16" ht="30">
      <c r="A7" s="116" t="s">
        <v>87</v>
      </c>
      <c r="B7" s="107">
        <f>1000/C3*interest_rate</f>
        <v>2.5000000000000004E-11</v>
      </c>
      <c r="C7" s="107">
        <f>1000/B3*interest_rate</f>
        <v>1.0000000000000001E-9</v>
      </c>
      <c r="D7" s="119"/>
    </row>
    <row r="8" spans="1:16" ht="45">
      <c r="A8" s="91" t="s">
        <v>257</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f>VLOOKUP(F13,'EV of Far Future'!$K$18:$M$19,2,FALSE)</f>
        <v>4.0402885211266472E+46</v>
      </c>
      <c r="H13">
        <f>VLOOKUP(F13,'EV of Far Future'!$K$18:$M$19,3,FALSE)</f>
        <v>3.600201532086265</v>
      </c>
      <c r="J13" s="3"/>
      <c r="K13" t="s">
        <v>106</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155</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f>G15-L28</f>
        <v>-5.0718069182569168E+38</v>
      </c>
      <c r="C24">
        <f>DifferenceVariance(G15:H15,L28:M28)</f>
        <v>1.6154960398784601E+93</v>
      </c>
      <c r="J24" s="3"/>
      <c r="K24" t="s">
        <v>228</v>
      </c>
      <c r="N24" s="3"/>
      <c r="O24" s="3"/>
      <c r="P24" s="3"/>
    </row>
    <row r="25" spans="1:16">
      <c r="A25" s="16" t="s">
        <v>163</v>
      </c>
      <c r="B25" s="14">
        <f>EXP(MuFromParams(ABS(B24),C24))</f>
        <v>6.3998894867052933E+30</v>
      </c>
      <c r="C25" s="14">
        <f>(SigmaFromParams(B24,C24) / LN(10))^2</f>
        <v>6.8609757451714941</v>
      </c>
      <c r="K25" s="12" t="s">
        <v>229</v>
      </c>
      <c r="L25" s="12">
        <f>L14</f>
        <v>4.5623516898853962E+34</v>
      </c>
      <c r="M25" s="12">
        <f>M14</f>
        <v>5.1230001817579662</v>
      </c>
    </row>
    <row r="26" spans="1:16">
      <c r="A26" s="36" t="s">
        <v>78</v>
      </c>
      <c r="B26" s="19">
        <f>ParetoPosterior(median,alpha,B25:C25)*SIGN(B24)</f>
        <v>-1021738259900383.5</v>
      </c>
      <c r="K26" s="12" t="s">
        <v>144</v>
      </c>
      <c r="L26" s="12">
        <f>L21</f>
        <v>7.5166259703810995E-2</v>
      </c>
      <c r="M26" s="12">
        <f>M21</f>
        <v>0.85853582389873684</v>
      </c>
    </row>
    <row r="27" spans="1:16">
      <c r="A27" s="36" t="s">
        <v>85</v>
      </c>
      <c r="B27" s="19">
        <f>LognormPosterior(mu_far_future,sigma_far_future,B25:C25)*SIGN(B24)</f>
        <v>-7195.1231721748518</v>
      </c>
      <c r="K27" s="125" t="s">
        <v>167</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148</v>
      </c>
    </row>
    <row r="28" spans="1:16">
      <c r="A28" s="5"/>
      <c r="K28" s="7" t="s">
        <v>154</v>
      </c>
      <c r="L28" s="7">
        <f>STupidExcelMean(L27)</f>
        <v>3.6229472276327588E+40</v>
      </c>
      <c r="M28" s="7">
        <f>STupidExcelVariance(L27,L28)</f>
        <v>8.1746006014656638E+92</v>
      </c>
    </row>
    <row r="29" spans="1:16">
      <c r="A29" s="5"/>
    </row>
    <row r="30" spans="1:16">
      <c r="A30" s="33" t="s">
        <v>83</v>
      </c>
      <c r="B30" s="4">
        <f>B26+G4</f>
        <v>-1021738259900382.6</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16" sqref="I16"/>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282</v>
      </c>
      <c r="G3" s="7"/>
      <c r="H3" t="s">
        <v>66</v>
      </c>
      <c r="I3">
        <f>D4</f>
        <v>3016.620625799671</v>
      </c>
      <c r="J3">
        <f>E4</f>
        <v>0.49504262895320128</v>
      </c>
      <c r="M3" s="3" t="s">
        <v>124</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286</v>
      </c>
      <c r="N5" s="2">
        <f>$D$7</f>
        <v>7.0700000000000004E-10</v>
      </c>
      <c r="O5">
        <f>$E$7</f>
        <v>0.11744747699999999</v>
      </c>
    </row>
    <row r="6" spans="1:15" ht="30">
      <c r="A6" s="46" t="s">
        <v>283</v>
      </c>
      <c r="B6" s="147">
        <v>1000000000</v>
      </c>
      <c r="C6" s="147">
        <v>2000000000</v>
      </c>
      <c r="F6" s="103"/>
      <c r="H6" s="18" t="s">
        <v>78</v>
      </c>
      <c r="I6" s="19">
        <f>ParetoPosterior(median,alpha,I5:J5)</f>
        <v>396.49368154968971</v>
      </c>
      <c r="M6" s="148" t="s">
        <v>287</v>
      </c>
      <c r="N6">
        <f>$D$16</f>
        <v>39.692256431966342</v>
      </c>
      <c r="O6">
        <f>$E$16</f>
        <v>0.54824135785953976</v>
      </c>
    </row>
    <row r="7" spans="1:15" ht="30">
      <c r="A7" s="149" t="s">
        <v>286</v>
      </c>
      <c r="B7" s="150">
        <v>5.0000000000000003E-10</v>
      </c>
      <c r="C7" s="150">
        <v>1.0000000000000001E-9</v>
      </c>
      <c r="D7" s="151">
        <v>7.0700000000000004E-10</v>
      </c>
      <c r="E7" s="54">
        <v>0.11744747699999999</v>
      </c>
      <c r="H7" s="18" t="s">
        <v>67</v>
      </c>
      <c r="I7" s="20">
        <f>LognormPosterior(mu_factory_farming,sigma_factory_farming,I5:J5)</f>
        <v>194.83133807235006</v>
      </c>
      <c r="M7" s="15" t="s">
        <v>52</v>
      </c>
      <c r="N7" s="14">
        <f>PRODUCT(N3:N6)</f>
        <v>4.8191608764285387E+29</v>
      </c>
      <c r="O7" s="14">
        <f>SUM(O3:O6)</f>
        <v>5.8551132611843801</v>
      </c>
    </row>
    <row r="8" spans="1:15">
      <c r="A8" s="46" t="s">
        <v>288</v>
      </c>
      <c r="B8" s="84">
        <v>22</v>
      </c>
      <c r="C8" s="84">
        <v>323</v>
      </c>
      <c r="D8" s="3">
        <f>GEOMEAN(B8,C8)</f>
        <v>84.297093662830392</v>
      </c>
      <c r="E8" s="3">
        <f>LogVariance(B8,C8)</f>
        <v>0.45522157394153262</v>
      </c>
      <c r="F8" s="103" t="s">
        <v>289</v>
      </c>
      <c r="I8" s="21"/>
    </row>
    <row r="9" spans="1:15" ht="30">
      <c r="A9" s="46" t="s">
        <v>291</v>
      </c>
      <c r="B9" s="84">
        <v>5</v>
      </c>
      <c r="C9" s="84">
        <v>8</v>
      </c>
      <c r="D9" s="3">
        <f>GEOMEAN(B9,C9)</f>
        <v>6.324555320336759</v>
      </c>
      <c r="E9" s="3">
        <f>LogVariance(B9,C9)</f>
        <v>7.9637834381320105E-2</v>
      </c>
      <c r="F9" s="103" t="s">
        <v>290</v>
      </c>
      <c r="I9" s="2"/>
    </row>
    <row r="10" spans="1:15" ht="30">
      <c r="A10" s="87" t="s">
        <v>292</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285</v>
      </c>
      <c r="B12" s="86"/>
      <c r="C12" s="86"/>
      <c r="D12" s="44">
        <f>D10*interest_rate</f>
        <v>26.657081610709003</v>
      </c>
      <c r="E12" s="44">
        <f>E10</f>
        <v>0.53485940832285273</v>
      </c>
      <c r="F12" s="103"/>
      <c r="H12" s="3" t="s">
        <v>68</v>
      </c>
      <c r="I12">
        <v>1</v>
      </c>
      <c r="J12">
        <v>0</v>
      </c>
      <c r="M12" s="3" t="s">
        <v>177</v>
      </c>
      <c r="N12">
        <f>VLOOKUP($M12,'EV of Far Future'!$K$3:$N$14,2,FALSE)</f>
        <v>6.3245553203367595E+46</v>
      </c>
      <c r="O12">
        <f>VLOOKUP($M12,'EV of Far Future'!$K$3:$N$14,3,FALSE)</f>
        <v>3.5113686573257055</v>
      </c>
    </row>
    <row r="13" spans="1:15" ht="30">
      <c r="A13" s="85" t="s">
        <v>284</v>
      </c>
      <c r="B13" s="86"/>
      <c r="C13" s="86"/>
      <c r="D13" s="44">
        <f>D10*D11</f>
        <v>6.5296247977965773</v>
      </c>
      <c r="E13" s="44">
        <f>E10+E11</f>
        <v>0.83845673179573421</v>
      </c>
      <c r="F13" s="103"/>
      <c r="H13" s="3" t="s">
        <v>182</v>
      </c>
      <c r="I13">
        <f>VLOOKUP($H13,'EV of Far Future'!$K$3:$N$14,2,FALSE)</f>
        <v>5.4644157967709579E+33</v>
      </c>
      <c r="J13">
        <f>VLOOKUP($H13,'EV of Far Future'!$K$3:$N$14,3,FALSE)</f>
        <v>2.7310645112533267</v>
      </c>
      <c r="M13" s="3" t="s">
        <v>286</v>
      </c>
      <c r="N13" s="2">
        <f>$D$7</f>
        <v>7.0700000000000004E-10</v>
      </c>
      <c r="O13">
        <f>$E$7</f>
        <v>0.11744747699999999</v>
      </c>
    </row>
    <row r="14" spans="1:15">
      <c r="A14" s="115" t="s">
        <v>167</v>
      </c>
      <c r="B14" s="44"/>
      <c r="C14" s="44"/>
      <c r="D14" s="114"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4" t="s">
        <v>148</v>
      </c>
      <c r="F14" s="103" t="s">
        <v>175</v>
      </c>
      <c r="H14" s="3" t="s">
        <v>286</v>
      </c>
      <c r="I14" s="2">
        <f>$D$7</f>
        <v>7.0700000000000004E-10</v>
      </c>
      <c r="J14">
        <f>$E$7</f>
        <v>0.11744747699999999</v>
      </c>
      <c r="M14" s="148" t="s">
        <v>287</v>
      </c>
      <c r="N14">
        <f>$D$16</f>
        <v>39.692256431966342</v>
      </c>
      <c r="O14">
        <f>$E$16</f>
        <v>0.54824135785953976</v>
      </c>
    </row>
    <row r="15" spans="1:15">
      <c r="A15" s="45" t="s">
        <v>151</v>
      </c>
      <c r="B15" s="44"/>
      <c r="C15" s="44"/>
      <c r="D15" s="45">
        <f>STupidExcelMean(D14)</f>
        <v>169.78212989114454</v>
      </c>
      <c r="E15" s="45">
        <f>STupidExcelVariance(D14,D15)</f>
        <v>498593.710722032</v>
      </c>
      <c r="F15" s="103"/>
      <c r="H15" s="148" t="s">
        <v>287</v>
      </c>
      <c r="I15">
        <f>$D$16</f>
        <v>39.692256431966342</v>
      </c>
      <c r="J15">
        <f>$E$16</f>
        <v>0.54824135785953976</v>
      </c>
      <c r="M15" s="15" t="s">
        <v>52</v>
      </c>
      <c r="N15" s="14">
        <f>PRODUCT(N11:N14)</f>
        <v>3.9686262448665216E+37</v>
      </c>
      <c r="O15" s="14">
        <f>SUM(O11:O14)</f>
        <v>4.4497620883670574</v>
      </c>
    </row>
    <row r="16" spans="1:15" ht="30">
      <c r="A16" s="85" t="s">
        <v>287</v>
      </c>
      <c r="B16" s="86"/>
      <c r="C16" s="86"/>
      <c r="D16" s="45">
        <f>EXP(MuFromParams(ABS(D15),E15))</f>
        <v>39.692256431966342</v>
      </c>
      <c r="E16" s="45">
        <f>(SigmaFromParams(D15,E15) / LN(10))^2</f>
        <v>0.54824135785953976</v>
      </c>
      <c r="F16" s="103"/>
      <c r="H16" s="15" t="s">
        <v>52</v>
      </c>
      <c r="I16" s="14">
        <f>PRODUCT(I12:I15)</f>
        <v>1.5334476009081862E+26</v>
      </c>
      <c r="J16" s="14">
        <f>SUM(J12:J15)</f>
        <v>3.3967533461128663</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1.5334476009081862E+26</v>
      </c>
      <c r="O19">
        <f>J16</f>
        <v>3.3967533461128663</v>
      </c>
    </row>
    <row r="20" spans="1:15" ht="30">
      <c r="A20" s="46" t="s">
        <v>124</v>
      </c>
      <c r="B20" s="47">
        <v>0.01</v>
      </c>
      <c r="C20" s="47">
        <v>0.2</v>
      </c>
      <c r="D20" s="74">
        <f>GEOMEAN(B20,C20)</f>
        <v>4.4721359549995794E-2</v>
      </c>
      <c r="E20" s="74">
        <f>LogVariance(B20,C20)</f>
        <v>0.50759954989056688</v>
      </c>
      <c r="H20" s="1" t="s">
        <v>69</v>
      </c>
      <c r="N20">
        <f>I26</f>
        <v>6.4255478352380534E+27</v>
      </c>
      <c r="O20">
        <f>J26</f>
        <v>4.2945049690396218</v>
      </c>
    </row>
    <row r="21" spans="1:15">
      <c r="A21" s="52" t="s">
        <v>174</v>
      </c>
      <c r="B21" s="51">
        <v>0.01</v>
      </c>
      <c r="C21" s="51">
        <v>0.05</v>
      </c>
      <c r="D21" s="74">
        <f>GEOMEAN(B21,C21)</f>
        <v>2.2360679774997897E-2</v>
      </c>
      <c r="E21" s="74">
        <f>LogVariance(B21,C21)</f>
        <v>0.27270459618181209</v>
      </c>
      <c r="I21" s="7" t="s">
        <v>156</v>
      </c>
      <c r="J21" s="7" t="s">
        <v>158</v>
      </c>
      <c r="N21">
        <f>I35</f>
        <v>1.0159683186858292E+31</v>
      </c>
      <c r="O21">
        <f>J35</f>
        <v>4.6846570420758127</v>
      </c>
    </row>
    <row r="22" spans="1:15">
      <c r="A22" s="35"/>
      <c r="B22" s="34"/>
      <c r="C22" s="34"/>
      <c r="D22" s="34"/>
      <c r="E22" s="34"/>
      <c r="H22" s="3" t="s">
        <v>173</v>
      </c>
      <c r="I22" s="25">
        <f>VLOOKUP(H22,$A$18:$E$21,4,FALSE)</f>
        <v>4.4721359549995794E-2</v>
      </c>
      <c r="J22" s="25">
        <f>VLOOKUP(H22,$A$18:$E$21,5,FALSE)</f>
        <v>0.50759954989056688</v>
      </c>
      <c r="M22" s="3"/>
      <c r="N22" s="3">
        <f>N7</f>
        <v>4.8191608764285387E+29</v>
      </c>
      <c r="O22" s="3">
        <f>O7</f>
        <v>5.8551132611843801</v>
      </c>
    </row>
    <row r="23" spans="1:15">
      <c r="H23" s="3" t="s">
        <v>179</v>
      </c>
      <c r="I23">
        <f>VLOOKUP($H23,'EV of Far Future'!$K$3:$N$14,2,FALSE)</f>
        <v>5.1200000000000003E+36</v>
      </c>
      <c r="J23">
        <f>VLOOKUP($H23,'EV of Far Future'!$K$3:$N$14,3,FALSE)</f>
        <v>3.1212165842895159</v>
      </c>
      <c r="N23">
        <f>N15</f>
        <v>3.9686262448665216E+37</v>
      </c>
      <c r="O23">
        <f>O15</f>
        <v>4.4497620883670574</v>
      </c>
    </row>
    <row r="24" spans="1:15">
      <c r="H24" s="3" t="s">
        <v>286</v>
      </c>
      <c r="I24" s="2">
        <f>$D$7</f>
        <v>7.0700000000000004E-10</v>
      </c>
      <c r="J24">
        <f>$E$7</f>
        <v>0.11744747699999999</v>
      </c>
      <c r="M24" s="30" t="s">
        <v>167</v>
      </c>
      <c r="N24" s="31" t="str">
        <f>WriteArray(SumLognormDists(N19:O23))</f>
        <v>disabled</v>
      </c>
      <c r="O24" s="31" t="s">
        <v>148</v>
      </c>
    </row>
    <row r="25" spans="1:15">
      <c r="H25" s="148" t="s">
        <v>287</v>
      </c>
      <c r="I25">
        <f>$D$16</f>
        <v>39.692256431966342</v>
      </c>
      <c r="J25">
        <f>$E$16</f>
        <v>0.54824135785953976</v>
      </c>
      <c r="M25" s="3" t="s">
        <v>151</v>
      </c>
      <c r="N25" s="3" t="e">
        <f>STupidExcelMean(N24)</f>
        <v>#VALUE!</v>
      </c>
      <c r="O25" s="3" t="e">
        <f>STupidExcelVariance(N24,N25)</f>
        <v>#VALUE!</v>
      </c>
    </row>
    <row r="26" spans="1:15" ht="20">
      <c r="A26" s="32" t="s">
        <v>59</v>
      </c>
      <c r="H26" s="15" t="s">
        <v>52</v>
      </c>
      <c r="I26" s="14">
        <f>PRODUCT(I22:I25)</f>
        <v>6.4255478352380534E+27</v>
      </c>
      <c r="J26" s="14">
        <f>SUM(J22:J25)</f>
        <v>4.2945049690396218</v>
      </c>
      <c r="M26" s="3"/>
      <c r="N26" s="3"/>
      <c r="O26" s="3"/>
    </row>
    <row r="27" spans="1:15">
      <c r="A27" s="10" t="s">
        <v>168</v>
      </c>
      <c r="B27" t="s">
        <v>156</v>
      </c>
      <c r="C27" t="s">
        <v>158</v>
      </c>
      <c r="H27" s="3"/>
      <c r="I27" s="3"/>
      <c r="M27" s="3"/>
      <c r="N27" s="3"/>
      <c r="O27" s="3"/>
    </row>
    <row r="28" spans="1:15">
      <c r="A28" s="8" t="s">
        <v>151</v>
      </c>
      <c r="B28" t="e">
        <f>N25</f>
        <v>#VALUE!</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286</v>
      </c>
      <c r="I33" s="2">
        <f>$D$7</f>
        <v>7.0700000000000004E-10</v>
      </c>
      <c r="J33">
        <f>$E$7</f>
        <v>0.11744747699999999</v>
      </c>
      <c r="M33" s="3"/>
      <c r="N33" s="25"/>
      <c r="O33" s="3"/>
    </row>
    <row r="34" spans="1:15">
      <c r="A34" s="33" t="s">
        <v>83</v>
      </c>
      <c r="B34" s="4" t="e">
        <f>B30+I6</f>
        <v>#VALUE!</v>
      </c>
      <c r="C34" s="3"/>
      <c r="D34" s="3"/>
      <c r="H34" s="148" t="s">
        <v>287</v>
      </c>
      <c r="I34">
        <f>$D$16</f>
        <v>39.692256431966342</v>
      </c>
      <c r="J34">
        <f>$E$16</f>
        <v>0.54824135785953976</v>
      </c>
      <c r="M34" s="3"/>
      <c r="N34" s="3"/>
      <c r="O34" s="3"/>
    </row>
    <row r="35" spans="1:15">
      <c r="A35" s="33" t="s">
        <v>84</v>
      </c>
      <c r="B35" s="4" t="e">
        <f>B31+I7</f>
        <v>#VALUE!</v>
      </c>
      <c r="D35" s="3"/>
      <c r="H35" s="15" t="s">
        <v>52</v>
      </c>
      <c r="I35" s="14">
        <f>PRODUCT(I31:I34)</f>
        <v>1.0159683186858292E+31</v>
      </c>
      <c r="J35" s="14">
        <f>SUM(J31:J34)</f>
        <v>4.6846570420758127</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N27" sqref="N27"/>
    </sheetView>
  </sheetViews>
  <sheetFormatPr baseColWidth="10" defaultRowHeight="15" x14ac:dyDescent="0"/>
  <cols>
    <col min="1" max="1" width="21.6640625" style="130" customWidth="1"/>
    <col min="4" max="4" width="12.1640625" bestFit="1" customWidth="1"/>
    <col min="8" max="8" width="21.6640625" customWidth="1"/>
    <col min="14" max="14" width="12.1640625" bestFit="1" customWidth="1"/>
  </cols>
  <sheetData>
    <row r="1" spans="1:16" ht="20">
      <c r="A1" s="128" t="s">
        <v>120</v>
      </c>
      <c r="H1" s="1" t="s">
        <v>63</v>
      </c>
      <c r="L1" s="3"/>
      <c r="M1" s="1" t="s">
        <v>77</v>
      </c>
      <c r="P1" s="3"/>
    </row>
    <row r="2" spans="1:16">
      <c r="B2" s="129" t="s">
        <v>0</v>
      </c>
      <c r="C2" s="129" t="s">
        <v>1</v>
      </c>
      <c r="D2" s="129" t="s">
        <v>156</v>
      </c>
      <c r="E2" s="129" t="s">
        <v>158</v>
      </c>
      <c r="F2" s="129" t="s">
        <v>27</v>
      </c>
      <c r="I2" s="129" t="s">
        <v>156</v>
      </c>
      <c r="J2" s="129" t="s">
        <v>158</v>
      </c>
      <c r="L2" s="3"/>
      <c r="N2" s="7" t="s">
        <v>156</v>
      </c>
      <c r="O2" s="7" t="s">
        <v>158</v>
      </c>
      <c r="P2" s="3"/>
    </row>
    <row r="3" spans="1:16">
      <c r="A3" s="42" t="s">
        <v>237</v>
      </c>
      <c r="B3" s="136">
        <v>2</v>
      </c>
      <c r="C3" s="136">
        <v>3</v>
      </c>
      <c r="D3" s="103"/>
      <c r="E3" s="103"/>
      <c r="F3" s="103" t="s">
        <v>258</v>
      </c>
      <c r="H3" s="127" t="s">
        <v>236</v>
      </c>
      <c r="I3">
        <f>D10</f>
        <v>295803.98915498087</v>
      </c>
      <c r="J3">
        <f>E10</f>
        <v>0.31528753718843733</v>
      </c>
      <c r="L3" s="3"/>
      <c r="M3" s="3" t="s">
        <v>124</v>
      </c>
      <c r="N3" s="25">
        <f>VLOOKUP(M3,THL!$A$18:$E$21,4,FALSE)</f>
        <v>4.4721359549995794E-2</v>
      </c>
      <c r="O3" s="25">
        <f>VLOOKUP(M3,THL!$A$18:$E$21,5,FALSE)</f>
        <v>0.50759954989056688</v>
      </c>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t="s">
        <v>181</v>
      </c>
      <c r="N4">
        <f>VLOOKUP($M4,'EV of Far Future'!$K$3:$N$14,2,FALSE)</f>
        <v>3.8399999999999992E+38</v>
      </c>
      <c r="O4">
        <f>VLOOKUP($M4,'EV of Far Future'!$K$3:$N$14,3,FALSE)</f>
        <v>4.6818248764342734</v>
      </c>
      <c r="P4" s="3"/>
    </row>
    <row r="5" spans="1:16" ht="45">
      <c r="A5" s="46" t="s">
        <v>259</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t="s">
        <v>286</v>
      </c>
      <c r="N5" s="2">
        <f>THL!$D$7</f>
        <v>7.0700000000000004E-10</v>
      </c>
      <c r="O5" s="2">
        <f>THL!$E$7</f>
        <v>0.11744747699999999</v>
      </c>
      <c r="P5" s="3"/>
    </row>
    <row r="6" spans="1:16" ht="30">
      <c r="A6" s="46" t="s">
        <v>260</v>
      </c>
      <c r="B6" s="137">
        <v>100</v>
      </c>
      <c r="C6" s="137">
        <v>150</v>
      </c>
      <c r="D6" s="103">
        <f t="shared" si="0"/>
        <v>122.47448713915891</v>
      </c>
      <c r="E6" s="103">
        <f t="shared" si="1"/>
        <v>6.8702369764126706E-2</v>
      </c>
      <c r="F6" s="103"/>
      <c r="H6" s="135" t="s">
        <v>78</v>
      </c>
      <c r="I6" s="19">
        <f>ParetoPosterior(median,alpha,I5:J5)</f>
        <v>16679.269175199799</v>
      </c>
      <c r="L6" s="3"/>
      <c r="M6" s="3" t="s">
        <v>296</v>
      </c>
      <c r="N6" s="2">
        <f>$D$11</f>
        <v>1.7320508075688773E-2</v>
      </c>
      <c r="O6">
        <f>$E$11</f>
        <v>0.59415429945387477</v>
      </c>
      <c r="P6" s="3"/>
    </row>
    <row r="7" spans="1:16" ht="45">
      <c r="A7" s="46" t="s">
        <v>261</v>
      </c>
      <c r="B7" s="132">
        <v>0.7</v>
      </c>
      <c r="C7" s="132">
        <v>1</v>
      </c>
      <c r="D7" s="103">
        <f t="shared" ref="D7:D8" si="2">GEOMEAN(B7,C7)</f>
        <v>0.83666002653407556</v>
      </c>
      <c r="E7" s="103">
        <f t="shared" ref="E7:E8" si="3">LogVariance(B7,C7)</f>
        <v>6.0435320805806568E-2</v>
      </c>
      <c r="F7" s="103"/>
      <c r="H7" s="135" t="s">
        <v>85</v>
      </c>
      <c r="I7" s="19">
        <f>LognormPosterior(mu_factory_farming,sigma_factory_farming,I5:J5)</f>
        <v>2531.88913733256</v>
      </c>
      <c r="L7" s="3"/>
      <c r="M7" s="148" t="s">
        <v>287</v>
      </c>
      <c r="N7">
        <f>THL!$D$16</f>
        <v>39.692256431966342</v>
      </c>
      <c r="O7">
        <f>THL!$E$16</f>
        <v>0.54824135785953976</v>
      </c>
      <c r="P7" s="3"/>
    </row>
    <row r="8" spans="1:16" ht="30">
      <c r="A8" s="52" t="s">
        <v>295</v>
      </c>
      <c r="B8" s="154">
        <v>1</v>
      </c>
      <c r="C8" s="154">
        <v>1</v>
      </c>
      <c r="D8" s="103">
        <f t="shared" si="2"/>
        <v>1</v>
      </c>
      <c r="E8" s="103">
        <f t="shared" si="3"/>
        <v>0</v>
      </c>
      <c r="F8" s="103" t="s">
        <v>297</v>
      </c>
      <c r="L8" s="3"/>
      <c r="M8" s="15" t="s">
        <v>52</v>
      </c>
      <c r="N8" s="14">
        <f>PRODUCT(N3:N7)</f>
        <v>8.3470314878223899E+27</v>
      </c>
      <c r="O8" s="14">
        <f>SUM(O3:O7)</f>
        <v>6.4492675606382548</v>
      </c>
      <c r="P8" s="3"/>
    </row>
    <row r="9" spans="1:16">
      <c r="A9" s="90" t="s">
        <v>234</v>
      </c>
      <c r="B9" s="133"/>
      <c r="C9" s="133"/>
      <c r="D9" s="103">
        <f>PRODUCT(D4:D8)</f>
        <v>295.80398915498085</v>
      </c>
      <c r="E9" s="103">
        <f>SUM(E4:E8)</f>
        <v>0.31528753718843733</v>
      </c>
      <c r="F9" s="103"/>
      <c r="L9" s="3"/>
      <c r="M9" s="3"/>
      <c r="N9" s="3"/>
      <c r="O9" s="3"/>
      <c r="P9" s="3"/>
    </row>
    <row r="10" spans="1:16" ht="30">
      <c r="A10" s="130" t="s">
        <v>236</v>
      </c>
      <c r="D10" s="103">
        <f>D9*1000</f>
        <v>295803.98915498087</v>
      </c>
      <c r="E10" s="103">
        <f>E9</f>
        <v>0.31528753718843733</v>
      </c>
      <c r="H10" s="13" t="s">
        <v>64</v>
      </c>
      <c r="P10" s="3"/>
    </row>
    <row r="11" spans="1:16" ht="45">
      <c r="A11" s="153" t="s">
        <v>294</v>
      </c>
      <c r="B11" s="152">
        <v>3.0000000000000001E-3</v>
      </c>
      <c r="C11" s="152">
        <v>0.1</v>
      </c>
      <c r="D11" s="103">
        <f t="shared" ref="D11" si="4">GEOMEAN(B11,C11)</f>
        <v>1.7320508075688773E-2</v>
      </c>
      <c r="E11" s="103">
        <f t="shared" ref="E11" si="5">LogVariance(B11,C11)</f>
        <v>0.59415429945387477</v>
      </c>
      <c r="F11" s="103" t="s">
        <v>293</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5.4644157967709579E+33</v>
      </c>
      <c r="J13">
        <f>VLOOKUP($H13,'EV of Far Future'!$K$3:$N$14,3,FALSE)</f>
        <v>2.7310645112533267</v>
      </c>
      <c r="M13" s="3" t="s">
        <v>177</v>
      </c>
      <c r="N13">
        <f>VLOOKUP($M13,'EV of Far Future'!$K$3:$N$14,2,FALSE)</f>
        <v>6.3245553203367595E+46</v>
      </c>
      <c r="O13">
        <f>VLOOKUP($M13,'EV of Far Future'!$K$3:$N$14,3,FALSE)</f>
        <v>3.5113686573257055</v>
      </c>
      <c r="P13" s="3"/>
    </row>
    <row r="14" spans="1:16">
      <c r="H14" s="3" t="s">
        <v>286</v>
      </c>
      <c r="I14" s="2">
        <f>THL!$D$7</f>
        <v>7.0700000000000004E-10</v>
      </c>
      <c r="J14" s="2">
        <f>THL!$E$7</f>
        <v>0.11744747699999999</v>
      </c>
      <c r="M14" s="3" t="s">
        <v>286</v>
      </c>
      <c r="N14" s="2">
        <f>THL!$D$7</f>
        <v>7.0700000000000004E-10</v>
      </c>
      <c r="O14" s="2">
        <f>THL!$E$7</f>
        <v>0.11744747699999999</v>
      </c>
      <c r="P14" s="3"/>
    </row>
    <row r="15" spans="1:16" ht="20">
      <c r="A15" s="32" t="s">
        <v>59</v>
      </c>
      <c r="H15" s="3" t="s">
        <v>296</v>
      </c>
      <c r="I15" s="2">
        <f>$D$11</f>
        <v>1.7320508075688773E-2</v>
      </c>
      <c r="J15">
        <f>$E$11</f>
        <v>0.59415429945387477</v>
      </c>
      <c r="M15" s="3" t="s">
        <v>296</v>
      </c>
      <c r="N15" s="2">
        <f>$D$11</f>
        <v>1.7320508075688773E-2</v>
      </c>
      <c r="O15">
        <f>$E$11</f>
        <v>0.59415429945387477</v>
      </c>
      <c r="P15" s="3"/>
    </row>
    <row r="16" spans="1:16">
      <c r="A16" s="10" t="s">
        <v>168</v>
      </c>
      <c r="B16" t="s">
        <v>156</v>
      </c>
      <c r="C16" t="s">
        <v>158</v>
      </c>
      <c r="H16" s="148" t="s">
        <v>287</v>
      </c>
      <c r="I16">
        <f>THL!$D$16</f>
        <v>39.692256431966342</v>
      </c>
      <c r="J16">
        <f>THL!$E$16</f>
        <v>0.54824135785953976</v>
      </c>
      <c r="M16" s="148" t="s">
        <v>287</v>
      </c>
      <c r="N16">
        <f>THL!$D$16</f>
        <v>39.692256431966342</v>
      </c>
      <c r="O16">
        <f>THL!$E$16</f>
        <v>0.54824135785953976</v>
      </c>
      <c r="P16" s="3"/>
    </row>
    <row r="17" spans="1:16">
      <c r="A17" s="8" t="s">
        <v>151</v>
      </c>
      <c r="B17">
        <f>N27</f>
        <v>4.4537711507016281E+41</v>
      </c>
      <c r="C17">
        <f>O27</f>
        <v>8.0723193157394884E+94</v>
      </c>
      <c r="H17" s="15" t="s">
        <v>52</v>
      </c>
      <c r="I17" s="14">
        <f>PRODUCT(I12:I16)</f>
        <v>2.6560091555175811E+24</v>
      </c>
      <c r="J17" s="14">
        <f>SUM(J12:J16)</f>
        <v>3.9909076455667409</v>
      </c>
      <c r="M17" s="15" t="s">
        <v>52</v>
      </c>
      <c r="N17" s="14">
        <f>PRODUCT(N12:N16)</f>
        <v>6.8738622923600996E+35</v>
      </c>
      <c r="O17" s="14">
        <f>SUM(O12:O16)</f>
        <v>5.0439163878209321</v>
      </c>
      <c r="P17" s="3"/>
    </row>
    <row r="18" spans="1:16">
      <c r="A18" s="16" t="s">
        <v>163</v>
      </c>
      <c r="B18" s="14">
        <f>EXP(MuFromParams(ABS(B17),C17))</f>
        <v>6.9816267853740389E+35</v>
      </c>
      <c r="C18" s="14">
        <f>(SigmaFromParams(B17,C17) / LN(10))^2</f>
        <v>5.0419602613688435</v>
      </c>
      <c r="P18" s="3"/>
    </row>
    <row r="19" spans="1:16">
      <c r="A19" s="36" t="s">
        <v>78</v>
      </c>
      <c r="B19" s="19">
        <f>ParetoPosterior(median,alpha,B18:C18)*SIGN(B17)</f>
        <v>1.7155923138575062E+24</v>
      </c>
      <c r="P19" s="3"/>
    </row>
    <row r="20" spans="1:16">
      <c r="A20" s="36" t="s">
        <v>85</v>
      </c>
      <c r="B20" s="19">
        <f>LognormPosterior(mu_far_future,sigma_far_future,B18:C18)*SIGN(B17)</f>
        <v>120162.81876641281</v>
      </c>
      <c r="M20" t="s">
        <v>165</v>
      </c>
      <c r="P20" s="3"/>
    </row>
    <row r="21" spans="1:16">
      <c r="A21" s="5"/>
      <c r="H21" s="1" t="s">
        <v>69</v>
      </c>
      <c r="M21" t="s">
        <v>166</v>
      </c>
      <c r="N21">
        <f>I17</f>
        <v>2.6560091555175811E+24</v>
      </c>
      <c r="O21">
        <f>J17</f>
        <v>3.9909076455667409</v>
      </c>
      <c r="P21" s="3"/>
    </row>
    <row r="22" spans="1:16">
      <c r="A22" s="8"/>
      <c r="B22" s="3"/>
      <c r="C22" s="3"/>
      <c r="I22" s="7" t="s">
        <v>156</v>
      </c>
      <c r="J22" s="7" t="s">
        <v>158</v>
      </c>
      <c r="N22">
        <f>I28</f>
        <v>1.1129375317096521E+26</v>
      </c>
      <c r="O22">
        <f>J28</f>
        <v>4.8886592684934964</v>
      </c>
      <c r="P22" s="3"/>
    </row>
    <row r="23" spans="1:16">
      <c r="A23" s="33" t="s">
        <v>83</v>
      </c>
      <c r="B23" s="4">
        <f>B19+I6</f>
        <v>1.7155923138575062E+24</v>
      </c>
      <c r="C23" s="3"/>
      <c r="H23" s="3" t="s">
        <v>173</v>
      </c>
      <c r="I23" s="25">
        <f>VLOOKUP(H23,THL!$A$18:$E$21,4,FALSE)</f>
        <v>4.4721359549995794E-2</v>
      </c>
      <c r="J23" s="25">
        <f>VLOOKUP(H23,THL!$A$18:$E$21,5,FALSE)</f>
        <v>0.50759954989056688</v>
      </c>
      <c r="N23">
        <f>I38</f>
        <v>1.759708746844185E+29</v>
      </c>
      <c r="O23">
        <f>J38</f>
        <v>5.2788113415296873</v>
      </c>
      <c r="P23" s="3"/>
    </row>
    <row r="24" spans="1:16">
      <c r="A24" s="33" t="s">
        <v>84</v>
      </c>
      <c r="B24" s="4">
        <f>B20+I7</f>
        <v>122694.70790374537</v>
      </c>
      <c r="H24" s="3" t="s">
        <v>179</v>
      </c>
      <c r="I24">
        <f>VLOOKUP($H24,'EV of Far Future'!$K$3:$N$14,2,FALSE)</f>
        <v>5.1200000000000003E+36</v>
      </c>
      <c r="J24">
        <f>VLOOKUP($H24,'EV of Far Future'!$K$3:$N$14,3,FALSE)</f>
        <v>3.1212165842895159</v>
      </c>
      <c r="M24" s="3"/>
      <c r="N24" s="3">
        <f>N8</f>
        <v>8.3470314878223899E+27</v>
      </c>
      <c r="O24" s="3">
        <f>O8</f>
        <v>6.4492675606382548</v>
      </c>
      <c r="P24" s="3"/>
    </row>
    <row r="25" spans="1:16">
      <c r="H25" s="3" t="s">
        <v>286</v>
      </c>
      <c r="I25" s="2">
        <f>THL!$D$7</f>
        <v>7.0700000000000004E-10</v>
      </c>
      <c r="J25" s="2">
        <f>THL!$E$7</f>
        <v>0.11744747699999999</v>
      </c>
      <c r="N25">
        <f>N17</f>
        <v>6.8738622923600996E+35</v>
      </c>
      <c r="O25">
        <f>O17</f>
        <v>5.0439163878209321</v>
      </c>
      <c r="P25" s="3"/>
    </row>
    <row r="26" spans="1:16">
      <c r="H26" s="3" t="s">
        <v>296</v>
      </c>
      <c r="I26" s="2">
        <f>$D$11</f>
        <v>1.7320508075688773E-2</v>
      </c>
      <c r="J26">
        <f>$E$11</f>
        <v>0.59415429945387477</v>
      </c>
      <c r="M26" s="30" t="s">
        <v>167</v>
      </c>
      <c r="N26" s="31" t="str">
        <f>WriteArray(SumLognormDists(N21:O25))</f>
        <v>0,0,0,0,0,0,0,0,0,0,0,0,0,0,0,0,0,0,0,0,0,0,0,0,0,0,0,0,0,0,0,0,0,0,0,0,0,0,0,0,0,0,0,0,0,0,0,0,0,0,0,0,0,0,0,0,0,0,0,0,0,0,0,0,0,0,0,0,0,0,0,0,0,0,0,0,0,0,0,0,0,0,0,0,0,0,0,0,0,0,0,0,0,0,0,0,0,0,0,0,0,0,0,0,0,0,0,0,1.95320168827251E-313,6.3544161591977E-312,1.99841179668957E-310,6.2024185246703E-309,1.90698480700471E-307,5.80861394011061E-306,1.75282471466575E-304,5.24016770442261E-303,1.55200334252908E-301,4.55387317762105E-300,1.32376248765641E-298,3.81223894316267E-297,1.08765486899885E-295,3.07427774583805E-294,8.60867157037754E-293,2.38819766763179E-291,6.56365190183955E-290,1.78715408997175E-288,4.82080644318431E-287,1.28830495010546E-285,3.41082149014176E-284,8.94624298341071E-283,2.32468344184625E-281,5.98450781918327E-280,1.52628132244963E-278,3.85640223531496E-277,9.65320877122648E-276,2.39388211514112E-274,5.88133018374484E-273,1.43149605808438E-271,3.45180772917952E-270,8.24603049166583E-269,1.95157492162303E-267,4.57580520299679E-266,1.06289873042814E-264,2.44601077121246E-263,5.57656814613176E-262,1.25955718517198E-260,2.81845463805548E-259,6.248079538624E-258,1.37222221895121E-256,2.98569059304064E-255,6.43587596504706E-254,1.3743998623474E-252,2.90777749484667E-251,6.09469432665021E-250,1.26556785905637E-248,2.60352501580472E-247,5.30616736614856E-246,1.07137884387685E-244,2.14312835693573E-243,4.24713783917888E-242,8.33849454986767E-241,1.62189272450096E-239,3.1253585589944E-238,5.96651703134783E-237,1.1284577325177E-235,2.11442921754034E-234,3.9250438625969E-233,7.21837520684421E-232,1.31515831020675E-230,2.37388854477312E-229,4.24508504141277E-228,7.52066619329226E-227,1.3199885023923E-225,2.29523930098667E-224,3.95393798683996E-223,6.74801230242169E-222,1.14094860063451E-220,1.91117549993695E-219,3.17160728834067E-218,5.21437988118735E-217,8.4931818889244E-216,1.3705117242241E-214,2.19098666328219E-213,3.47009558977075E-212,5.44487539806877E-211,8.46407171122386E-210,1.30351394877429E-208,1.98882729311707E-207,3.00623952033253E-206,4.50189425442013E-205,6.67901290454305E-204,9.81690620110823E-203,1.42949437099209E-201,2.06222378356218E-200,2.94737063021452E-199,4.17329818421523E-198,5.85423123256807E-197,8.13591133597964E-196,1.1201817912723E-194,1.52797717588913E-193,2.06486361519555E-192,2.76447147975499E-191,3.66673214055551E-190,4.81828715609596E-189,6.27267359136499E-188,8.09020095606674E-187,1.03374312957443E-185,1.3086176270312E-184,1.64119353015636E-183,2.03917184281588E-182,2.51012271563945E-181,3.06114062873556E-180,3.69844283335929E-179,4.42692274114055E-178,5.24967578755458E-177,6.16752097940718E-176,7.17854631287086E-175,8.27770992529942E-174,9.45653064167552E-173,1.07029009974294E-171,1.20010525161528E-170,1.33316968594998E-169,1.46723575748087E-168,1.59978959571109E-167,1.72812217098312E-166,1.84941655674085E-165,1.96084779372906E-164,2.05969061022887E-163,2.14342937238312E-162,2.20986412594164E-161,2.25720651285048E-160,2.28415973346111E-159,2.28997756595089E-158,2.27449869410901E-157,2.23815413941595E-156,2.18194731951321E-155,2.10740802071938E-154,2.01652323123561E-153,1.91164919888496E-152,1.79541014160346E-151,1.67058967415876E-150,1.54002118572283E-149,1.40648311814794E-148,1.27260440258298E-147,1.14078429422522E-146,1.01312960650757E-145,8.91411003140436E-145,7.77038674560506E-144,6.7105650800217E-143,5.74152840503079E-142,4.86685118273763E-141,4.08715301954041E-140,3.40052655548197E-139,2.80300613363223E-138,2.28904691637584E-137,1.85198845476315E-136,1.48448207966608E-135,1.17886729013294E-134,9.27488049899452E-134,7.22945152120151E-133,5.58285278724027E-132,4.27130890963684E-131,3.23757582181896E-130,2.43127038549932E-129,1.80884396247732E-128,1.33328708128876E-127,9.73646151275104E-127,7.04423345085748E-126,5.04918908830661E-125,3.58562638783233E-124,2.52269150071636E-123,1.75840603869314E-122,1.21431206830288E-121,8.30802489692205E-121,5.63147052081986E-120,3.78183525054191E-119,2.51617232485453E-118,1.65857595718923E-117,1.08314795727297E-116,7.00806093885706E-116,4.49227001720156E-115,2.85293561399342E-114,1.79504964190659E-113,1.11897291669052E-112,6.91069224158407E-112,4.22846409305146E-111,2.56332169252835E-110,1.53951246111932E-109,9.16058473940253E-109,5.40036784945022E-108,3.15416144414979E-107,1.82517788499868E-106,1.04637525219245E-105,5.94334562743012E-105,3.34453747961915E-104,1.86467433172724E-103,1.0299877506888E-102,5.63668246659045E-102,3.05617226381721E-101,1.6417051105824E-100,8.73727181559623E-100,4.60702152220647e-99,2.40673713814183e-98,1.24566549306636e-97,6.38761749212065e-97,3.24519953494822e-96,1.63346296831389e-95,8.14597213633624e-95,4.0247846369445e-94,1.97019330372628e-93,9.55524592836176e-93,4.5913681504164e-92,2.18579771930118e-91,1.0309694945976e-90,4.81781429961905e-90,2.23060719220401e-89,1.02321136191914e-88,4.65026009613132e-88,2.09391571962719e-87,9.34139310865212e-87,4.12890644008284e-86,1.8081307371586e-85,7.84506361446111e-85,3.3723716677688e-84,1.43630672303528e-83,6.06083190655141e-83,2.53390929612206e-82,1.04960085078479e-81,4.30756739215346e-81,1.75152083703781e-80,7.05625700099477e-80,2.81650074255434e-79,1.11383869737444e-78,4.36427643956328e-78,1.69426092328945e-77,6.51668933464219e-77,2.48343627657797e-76,9.37689201037715e-76,3.50788479537093e-75,1.30020813548051e-74,4.77487750320552e-74,1.7373769283753e-73,6.26338345923934e-73,2.2372152815949e-72,7.917554875187e-72,2.77625679323215e-71,9.64526506721575e-71,3.3201326096106e-70,1.13235913571857e-69,3.82649564017207e-69,1.28117168636162e-68,4.25014094198285e-68,1.39697957433456e-67,4.54954909530428e-67,1.4680441006366e-66,4.69356876200252e-66,1.48683067931783e-65,4.66675519467024e-65,1.45132492455347e-64,4.47209879919751e-64,1.36538844338681e-63,4.13047665295248e-63,1.23806737388824e-62,3.67696597731154e-62,1.08202491414789e-61,3.1549199536283e-61,9.11473419493955e-61,2.60918830291355e-60,7.400716862027e-60,2.07993774754587e-59,5.79210365287609e-59,1.59820706201376e-58,4.3696013808761e-58,1.18376093854552e-57,3.17761290511692e-57,8.4518971128884e-57,2.22753788835383e-56,5.81721591802778e-56,1.50531015582732e-55,3.85974933368552e-55,9.80654736851641e-55,2.46887295265363e-54,6.15897782970674e-54,1.52246591461249e-53,3.72921440074044e-53,9.05148446761597e-53,2.17699207958558e-52,5.18836375852141e-52,1.22530023696772e-51,2.86744574025307e-51,6.64952474196805e-51,1.52802649908763e-50,3.47951156396678e-50,7.85154459892009e-50,1.75567330493209e-49,3.89033079015675e-49,8.54252152328301e-49,1.85885253649165e-48,4.00835109939735e-48,8.56547132655777e-48,1.813862174227e-47,3.80651644475669e-47,7.91634167838923e-47,1.63154036267256e-46,3.33235112963531e-46,6.74507220021843e-46,1.35303406333074e-45,2.68980386990242e-45,5.29938945893421e-45,1.03473251649813e-44,2.00230949064219e-44,3.84006962650005e-44,7.29887350331915e-44,1.37494590469141e-43,2.56704067916606e-43,4.75008873484853e-43,8.71158426517616e-43,1.58352081033651e-42,2.85289998753498e-42,5.09437072335085e-42,9.01656317269552e-42,1.58177036211673e-41,2.75044760520675e-41,4.74052745176563e-41,8.09877454643595e-41,1.37147380926188e-40,2.30217174029228e-40,3.83068601744952e-40,6.31845517494651e-40,1.03311315385009e-39,1.67453745777053e-39,2.69066392706664e-39,4.28597415295523e-39,6.76820190246398e-39,1.0595932497926e-38,1.64458350613919e-38,2.53065305167462e-38,3.86081149651826e-38,5.8398758293258e-38,8.75825755653919e-38,1.30236078837611e-37,1.9202386072672e-37,2.80737570068828e-37,4.0698546103124e-37,5.85062478885958e-37,8.34032531314341e-37,1.17905472133244e-36,1.65298323156122e-36,2.29826552922989e-36,3.1691548671024e-36,4.33423999348038e-36,5.8792769913068e-36,7.91028491095247e-36,1.05568383561785e-35,1.39754568976518e-35,1.83529541515794e-35,2.39095702348855e-35,3.09016724217386e-35,3.96237731479461e-35,5.04095855496377e-35,6.36318183519565e-35,7.97004081133287e-35,9.90589013179289e-35,1.22178734706756e-34,1.49551221624129e-34,1.81677135675337e-34,2.19053889514246e-34,2.62160432974122e-34,3.11440135801187e-34,3.67282068742408e-34,4.30001243786791e-34,4.9981850989106e-34,5.76840913962037e-34,6.61043417953494e-34,7.52252902584148e-34,8.50135379363084e-34,9.54187271099412e-34,1.06373150604887e-33,1.17791900521215e-33,1.29573593270451e-33,1.41601683568609e-33,1.53746353606695e-33,1.6586693660691e-33,1.77814807966909e-33,1.89436653766456e-33,2.00578006992405e-33,2.11086927616375e-33,2.2081769449121e-33,2.29634375383965e-33,2.37414146384115e-33,2.4405024305346e-33,2.49454442281778e-33,2.53558994831668e-33,2.56317952722697e-33,2.5770786151412e-33,2.57727813762002e-33,2.56398885080453e-33,2.5376299710639e-33,2.49881271246137e-33,2.44831952624046e-33,2.38707994695761e-33,2.31614401355218e-33,2.23665425146906e-33,2.14981717720428e-33,2.05687522451208e-33,1.95907989856675e-33,1.85766684804496e-33,1.75383341314949e-33,1.64871906765932e-33,1.54338903225191e-33,1.4388212008382e-33,1.33589639665234e-33,1.23539186432592e-33,1.13797781090854e-33,1.04421673433969e-33,9.54565222710723e-34,8.69377871312813e-34,7.88912945702262e-34,7.13339415994751e-34,6.42744998080795e-34,5.7714485896216e-34,5.16490673392059e-34,4.60679754966975e-34,4.09564024435255e-34,3.62958619169403e-34,3.20649988703284e-34,2.82403360492842e-34,2.47969496480577e-34,2.17090693810508e-34,1.8950601162839e-34,1.64955730050536e-34,1.43185067056176e-34,1.23947194396505e-34,1.07005604901592e-34,9.21358911870175e-35,7.91270001615827e-35,6.77820293941579e-35,5.79186307955582e-35,4.93690846790771e-35,4.19801035187316e-35,3.56124200231918e-35,3.01402088329e-35,2.54503855233395e-35,2.14418209020208e-35,1.80245030137647e-35,1.51186739651997e-35,1.26539637504672e-35,1.05685387751846e-35,8.80827877356613e-36,7.32599230803657e-36,6.08067802589878e-36,5.03683630288315e-36,4.16383379739063e-36,3.43532173359384e-36,2.82870738400077e-36,2.32467718881205e-36,1.90676918701952e-36,1.56099190111455e-36,1.27548647472471e-36,1.04022867515274e-36,8.46767309125844e-37,6.8799563246828e-37,5.57952439141236e-37,4.51649672084166e-37,3.6492359088466e-37,2.9430674592991e-37,2.36918234520492e-37,1.90369943008584e-37,1.52686703948787e-37,1.22238513824793e-37,9.76831618597318e-38,7.79178116014247e-38,6.20382531799465e-38,4.93047048599065e-38,3.91131877905705e-38,3.09716281278963e-38,2.4479956678693e-38,1.93135787992675e-38,1.52096774810432e-38,1.19558914387943e-38,9.38097865779052e-39,7.34713530586813e-39,5.74369118130469e-39,4.48194689279042e-39,3.49095562927213e-39,2.71408447604098e-39,2.10621749444235e-39,1.63148585688959e-39,1.26142979596477e-39,9.73513498623901e-40,7.49927803995025e-40,5.76627039119546e-40,4.42555892851102e-40,3.3903017936218e-40,2.59241933549979e-40,1.97864728966694e-40,1.5073960071115e-40,1.14625649152405e-40,8.70024293890345e-41,6.59137090828122e-41,4.98441988984739e-41,3.762250502414e-41,2.83448888344799e-41,2.13155002628565e-41,1.59996250321686e-41,1.1987189787962e-41,8.96433495025256e-42,6.69131874377765e-42,4.9853787180091e-42,3.70746659617516e-42,2.75200275643088e-42,2.03897965649745e-42,1.50788848945655e-42,1.11305793256968e-42,8.20084183253795e-43,6.03102527164011e-43,4.42706436421073e-43,3.24363842153276e-43,2.37214313639117e-43,1.73157437308299e-43,1.26163336567581e-43,9.17522870544073e-44,6.66027727803117e-44,4.82568941629236e-44,3.48994063895937e-44,2.51923279963336e-44,1.81514000749873e-44,1.30539967423461e-44,9.37062148219937e-45,6.71405350694844e-45,4.80167423838129e-45,3.42761524546991e-45,2.44220943691191e-45,1.73686154385985e-45,1.23293147414643e-45,8.73582883110331e-46,6.17818233586673e-46,4.36122757041999e-46,3.07289833515396e-46,2.16112081145833e-46,1.51705492351762e-46,1.06295520722876e-46,7.43395658056261e-47,5.18939190338704e-47,3.61579924519183e-47,2.51468468572566e-47,1.74563784597135e-47,1.20952860440353e-47,8.36506882651005e-48,5.77449849389022e-48,3.97878437060364e-48,2.73638946535907e-48,1.87843767729502e-48,1.28708445376725e-48,8.80255344916504e-49,6.00899258516469e-49,4.0943600949879e-49,2.78459329485205e-49,1.89029192551373e-49,1.28081779766764e-49,8.66237929366137e-50,5.84761007233132e-50,3.94013390790535e-50,2.64993318985451e-50,1.77889466853855e-50,1.19194689911279e-50,7.97177345489065e-51,5.32162605113872e-51,3.54588889768541e-51,2.35829026868566e-51,1.5655277081035e-51,1.03732685799091e-51,6.86059608078909e-52,4.52896999353324e-52,2.98420325465977e-52,1.96267648848821e-52,1.28842874076784e-52,8.44235191834717e-53,5.52150999948184e-53,3.60448844670141e-53,2.34866337853324e-53,1.52752834487677e-53,9.91628825619181e-54,6.4254029899518e-54,4.1556882710292e-54,2.68272969980442e-54,1.72863075342764e-54,1.11178015079213e-54,7.13718509981128e-55,4.57326499745156e-55,2.9249411833482e-55,1.86723625232662e-55,1.18979671840092e-55,7.5672420519575e-56,4.80389877883864e-56,3.04397746517264e-56,1.92522007212802e-56,1.2153760998882e-56,7.65829983236596e-57,4.81665346642265e-57,3.02377729507711e-57,1.89472228896205e-57,1.18503912538368e-57,7.39794634834636e-58,4.60978879903756e-58,2.86709604789776e-58,1.77989678533996e-58,1.10290665707968e-58,6.82140853643403e-59,4.21115013835196e-59,2.59488881034738e-59,1.5959825697592e-59,9.79780738601165e-60,6.00372807633575e-60,3.67201539089389e-60,2.24170951254268e-60,1.36598377035438e-60,8.30812662172007e-61,5.04373240603945e-61,3.05627430477661e-61,1.84851928593512e-61,1.11595582804041e-61,6.72452149297636e-62,4.04452133054098e-62,2.42808696316216e-62,1.45496553819324e-62,8.70226971259254e-63,5.19521750604308e-63,3.09575293094523e-63,1.84128160149818e-63,1.09311410240695e-63,6.47742127852767e-64,3.83115879197107e-64,2.26177565268031e-64,1.33278550068073e-64,7.8390305486249e-65,4.60209751851841e-65,2.69674970658502e-65,1.57730916184101e-65,9.20840420488018e-66,5.36590878472697e-66,3.12099849974512e-66,1.81190405426554e-66,1.04994898097338e-66,6.07285006486156e-67,3.50597071321274e-67,2.02029771137215e-67,1.16202058761741e-67,6.67119501051591e-68,3.82282847475439e-68,2.18653962040607e-68,1.24830656056918e-68,7.11338832031669e-69,4.04597453278949e-69,2.29700073863273e-69,1.30163880552778e-69,7.36226089258393e-70,4.15645690108179e-70,2.34221480991432e-70,1.31741173177083e-70,7.39618376775269e-71,4.14462481240232e-71,2.31821715225574e-71,1.2942386639327e-71,7.21217053802741e-72,4.0115200565734e-72,2.22711842638594e-72,1.234153039446e-72,6.82631124298857e-73,3.76872559719194e-73,2.07679826204865e-73,1.14231391916701e-73,6.27145035230198e-74,3.43670196419304e-74,1.87978039761655e-74,1.02627494072478e-74,5.59257343480255e-75,3.04194269940747e-75,1.65151196881326e-75,8.94960328758889e-76,4.84080074240497e-76,2.61349691154423e-76,1.40837445304117e-76,7.57540138257301e-77,4.06709691969268e-77,2.17948938208001e-77,1.16577934436156e-77,6.22399617886786e-78,3.31675690066627e-78,1.76420613571605e-78,9.36647930140106e-79,4.96357730362562e-79,2.625454916573e-79,1.38613555327191e-79,7.30462968023535e-80,3.84221857242295e-80,2.01723870807348e-80,1.05711900815673e-80,5.52944870562859e-81,2.88689606185354e-81,1.50442944613448e-81,7.82535169583346e-82,4.06281706482527e-82,2.10543594626488e-82,1.08905085833296e-82,5.62270958537377e-83,2.89757380226866e-83,1.49044077365171e-83,7.65219982198556e-84,3.92147313662628e-84,2.00587353815583e-84,1.02411615427899e-84,5.21898738425567e-85,2.65469505077831e-85,1.34782775728786e-85,6.83039020493047e-86,3.45499955729721e-86,1.74438297850265e-86,8.79077262618734e-87,4.42184603605898e-87,2.22009495175289e-87,1.11257896453723e-87,5.5652093035142e-88,2.77858395295525e-88,1.38470387237172e-88,6.88781784074429e-89,3.41977680251891e-89,1.69474840486811e-89,8.38308883499855e-90,4.13898893797951e-90,2.03974475835606e-90,1.00334143716764e-90,4.92621127877838e-91,2.41417463493219e-91,1.18090699123751e-91,5.76572689903722e-92,2.80985432181085e-92,1.36679979099281e-92,6.63616790667634e-93,3.21603814231132e-93,1.5556660663167e-93,7.5110893634089e-94,3.61976888247587e-94,1.74120585272519e-94,8.36008623121387e-95,4.00647796542826e-95,1.9164880820176e-95,9.15041623880931e-96,4.36080773892664e-96,2.07436125622293e-96,9.84902427062623e-97,4.66759736260458e-97,2.20792809962246e-97,1.0424802364422e-97,4.91294719917237e-98,2.31104140177307e-98,1.08508739315312e-98,5.08525894542891e-99,2.37877184673291e-99,1.11066700446754e-99,5.1761435614388E-100,2.40779838497166E-100,1.11795748322892E-100,5.18109813807928E-101,2.39667812836789E-101,1.10659567730551E-101,5.09987567469157E-102,2.34596523108527E-102,1.07714685150925E-102,4.93650548828406E-103,2.25816511927497E-103,1.0310580756589E-103,4.69896190640194E-104,2.13752933294173E-104,9.70540370223643E-105,4.39851917179236E-105,1.98971436981165E-105,8.98392973147982E-106,4.04886521105982E-106,1.82134263778058E-106,8.17789166106381E-107,3.66507118208487E-107,1.63951289791736E-107,7.32046425063708E-108,3.26252443757523E-108,1.45131032662947E-108,6.44403900160644E-109,2.85592894346925E-109,1.26336254787478E-109,5.57827552409699E-110,2.4584607958396E-110,1.08147871359794E-110,4.7485829319543E-111,2.08114069381918E-111,9.10395742890968E-112,3.97512104673212E-112,1.73245459157187E-112,7.5364136168495E-113,3.27234401231882E-113,1.41822306542377E-113,6.13509790670972E-114,2.64904791697478E-114,1.14169340688681E-114,4.91134604510574E-115,2.10883664378506E-115,9.03809093788696E-116,3.86635597340024E-116,1.65089073278753E-116,7.03600574259729E-117,2.99312878521528E-117,1.2709134760586E-117,5.38639165516758E-118,2.27861648637971E-118,9.62134759082906E-119,4.05501006846444E-119,1.7058440768298E-119,7.16272189971116E-120,3.00198287194689E-120,1.25582664487601E-120,5.24375677448458E-121,2.18547955476502E-121,9.09164185926888E-122,3.77510689761613E-122,1.56461522100643E-122,6.47257677683329E-123,2.67262627221877E-123,1.10151551491998E-123,4.53142051710454E-124,1.86067052315167E-124,7.62598507896693E-125,3.11970685771154E-125,1.27386377217148E-125,5.19186688101553E-126,2.11210484766991E-126,8.57627623385185E-127,3.47594912212008E-127,1.40617516678324E-127,5.67801845438335E-128,2.28847165808041E-128,9.20631095105363E-129,3.69672465071996E-129,1.48163057069557E-129,5.92726193535903E-130,2.36678970845464E-130,9.43314667391532E-131,3.75270879511206E-131,1.49013119221106E-131,5.90602810162194E-132,2.33645744378065E-132,9.22596078051E-133,3.63627479605716E-133,1.43051741810224E-133,5.61721397133311E-134,2.20160877391369E-134,8.61292548734198E-135,3.36319923465469E-135,1.31082846537878E-135,5.0995340361543E-136,1.98018829270634E-136,7.67491978440462E-137,2.96915291164901E-137,1.14652267015669E-137,4.41900091279016E-138,1.70003122730976E-138,6.52801388100581E-139,2.50205356112709E-139,9.57201781490488E-140,3.65512098617052E-140,1.39312914596978E-140,5.29995720021952E-141,2.01254087362076E-141,7.62796021301842E-142,2.88578181007481E-142,1.08970746704549E-142,4.10721771823357E-143,1.5451721989048E-143,5.80226298546685E-144,2.17474977936418E-144,8.13603006051849E-145,3.03813561882134E-145,1.13238245270581E-145,4.21279637754095E-146,1.56436888185876E-146,5.79828063651056E-147,2.14511538170327E-147,7.9212449902214E-148,2.9196285154405E-148,1.07412076043749E-148,3.94430043410587E-149,1.44570015269296E-149,5.28905190630926E-150,1.93138473343929E-150,7.03965088788799E-151,2.56108983618985E-151,9.30014813136603E-152,3.37090320594875E-152,1.21953441641385E-152,4.40385694302387E-153,1.58731714483414E-153,5.71065040591983E-154,2.0506842900713E-154,</v>
      </c>
      <c r="O26" s="31" t="s">
        <v>148</v>
      </c>
      <c r="P26" s="3"/>
    </row>
    <row r="27" spans="1:16">
      <c r="H27" s="148" t="s">
        <v>287</v>
      </c>
      <c r="I27">
        <f>THL!$D$16</f>
        <v>39.692256431966342</v>
      </c>
      <c r="J27">
        <f>THL!$E$16</f>
        <v>0.54824135785953976</v>
      </c>
      <c r="M27" s="3" t="s">
        <v>151</v>
      </c>
      <c r="N27" s="3">
        <f>STupidExcelMean(N26)</f>
        <v>4.4537711507016281E+41</v>
      </c>
      <c r="O27" s="3">
        <f>STupidExcelVariance(N26,N27)</f>
        <v>8.0723193157394884E+94</v>
      </c>
    </row>
    <row r="28" spans="1:16">
      <c r="H28" s="15" t="s">
        <v>52</v>
      </c>
      <c r="I28" s="14">
        <f>PRODUCT(I23:I27)</f>
        <v>1.1129375317096521E+26</v>
      </c>
      <c r="J28" s="14">
        <f>SUM(J23:J27)</f>
        <v>4.8886592684934964</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1.6190861620062103E+40</v>
      </c>
      <c r="J34">
        <f>VLOOKUP($H34,'EV of Far Future'!$K$3:$N$14,3,FALSE)</f>
        <v>3.5113686573257055</v>
      </c>
      <c r="M34" s="3"/>
      <c r="N34" s="3"/>
      <c r="O34" s="3"/>
    </row>
    <row r="35" spans="8:15">
      <c r="H35" s="3" t="s">
        <v>286</v>
      </c>
      <c r="I35" s="2">
        <f>THL!$D$7</f>
        <v>7.0700000000000004E-10</v>
      </c>
      <c r="J35" s="2">
        <f>THL!$E$7</f>
        <v>0.11744747699999999</v>
      </c>
      <c r="M35" s="3"/>
      <c r="N35" s="3"/>
      <c r="O35" s="3"/>
    </row>
    <row r="36" spans="8:15">
      <c r="H36" s="3" t="s">
        <v>296</v>
      </c>
      <c r="I36" s="2">
        <f>$D$11</f>
        <v>1.7320508075688773E-2</v>
      </c>
      <c r="J36">
        <f>$E$11</f>
        <v>0.59415429945387477</v>
      </c>
      <c r="K36" s="3"/>
      <c r="L36" s="3"/>
      <c r="M36" s="3"/>
      <c r="N36" s="3"/>
      <c r="O36" s="3"/>
    </row>
    <row r="37" spans="8:15">
      <c r="H37" s="148" t="s">
        <v>287</v>
      </c>
      <c r="I37">
        <f>THL!$D$16</f>
        <v>39.692256431966342</v>
      </c>
      <c r="J37">
        <f>THL!$E$16</f>
        <v>0.54824135785953976</v>
      </c>
      <c r="K37" s="3"/>
      <c r="L37" s="3"/>
      <c r="M37" s="3"/>
      <c r="N37" s="3"/>
      <c r="O37" s="3"/>
    </row>
    <row r="38" spans="8:15">
      <c r="H38" s="15" t="s">
        <v>52</v>
      </c>
      <c r="I38" s="14">
        <f>PRODUCT(I33:I37)</f>
        <v>1.759708746844185E+29</v>
      </c>
      <c r="J38" s="14">
        <f>SUM(J33:J37)</f>
        <v>5.2788113415296873</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273</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262</v>
      </c>
    </row>
    <row r="7" spans="1:15" ht="45">
      <c r="G7" s="46" t="s">
        <v>263</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f>ParetoPosterior(median,alpha,H26:I26)</f>
        <v>6.3112967095697664E+27</v>
      </c>
      <c r="G11" s="98" t="s">
        <v>105</v>
      </c>
      <c r="H11" s="54" t="s">
        <v>121</v>
      </c>
      <c r="I11" s="44"/>
      <c r="J11" s="44"/>
      <c r="K11" s="44"/>
      <c r="L11" s="103"/>
      <c r="M11" s="3"/>
      <c r="N11" s="3"/>
      <c r="O11" s="3"/>
    </row>
    <row r="12" spans="1:15" ht="30">
      <c r="A12" s="37" t="s">
        <v>170</v>
      </c>
      <c r="B12" s="38">
        <f>LognormPosterior(mu_far_future,sigma_far_future,H26:I26)</f>
        <v>213917.63204134765</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269</v>
      </c>
      <c r="M13" s="3"/>
      <c r="N13" s="3"/>
      <c r="O13" s="3"/>
    </row>
    <row r="14" spans="1:15" ht="30">
      <c r="G14" s="46" t="s">
        <v>264</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270</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f>'EV of Far Future'!L19</f>
        <v>4.0402885211266472E+46</v>
      </c>
      <c r="I25">
        <f>'EV of Far Future'!M19</f>
        <v>3.600201532086265</v>
      </c>
      <c r="J25" s="3"/>
      <c r="K25" s="3"/>
      <c r="L25" s="143"/>
      <c r="M25" s="3"/>
    </row>
    <row r="26" spans="1:15">
      <c r="G26" s="16" t="s">
        <v>52</v>
      </c>
      <c r="H26" s="14">
        <f>PRODUCT(H24:H25)</f>
        <v>9.7766637805357065E+39</v>
      </c>
      <c r="I26" s="14">
        <f>SUM(I24:I25)</f>
        <v>5.2940810392801163</v>
      </c>
      <c r="J26" s="3"/>
      <c r="K26" s="3"/>
      <c r="L26" s="143"/>
      <c r="M26" s="3"/>
    </row>
    <row r="27" spans="1:15">
      <c r="G27" s="8"/>
      <c r="H27" s="3"/>
      <c r="I27" s="3"/>
      <c r="J27" s="3"/>
      <c r="K27" s="3"/>
      <c r="L27" s="143"/>
      <c r="M27" s="3"/>
    </row>
    <row r="28" spans="1:15">
      <c r="G28" s="8"/>
      <c r="H28" s="3"/>
      <c r="I28" s="3"/>
      <c r="J28" s="3"/>
      <c r="K28" s="3"/>
      <c r="L28" s="143"/>
      <c r="M28" s="3"/>
    </row>
    <row r="29" spans="1:15">
      <c r="G29" s="22" t="s">
        <v>245</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6.3245553203367595E+46</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1.2649110640673518E+46</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5.4644157967709579E+33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265</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1.4142135623730952E+45</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4.0000000000000004E+44</v>
      </c>
      <c r="J11" s="14">
        <f t="shared" si="1"/>
        <v>3.9015207303618951</v>
      </c>
    </row>
    <row r="12" spans="1:10">
      <c r="A12" s="85"/>
      <c r="B12" s="86"/>
      <c r="C12" s="86"/>
      <c r="D12" s="74"/>
      <c r="E12" s="74"/>
      <c r="F12" s="39"/>
      <c r="H12" s="15" t="s">
        <v>187</v>
      </c>
      <c r="I12" s="14">
        <f t="shared" si="0"/>
        <v>5.4644157967709579E+33</v>
      </c>
      <c r="J12" s="14">
        <f t="shared" si="1"/>
        <v>2.7310645112533267</v>
      </c>
    </row>
    <row r="13" spans="1:10" ht="60">
      <c r="A13" s="46" t="s">
        <v>266</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267</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268</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148</v>
      </c>
    </row>
    <row r="17" spans="1:12" ht="30">
      <c r="A17" s="46" t="s">
        <v>132</v>
      </c>
      <c r="B17" s="47">
        <v>0.05</v>
      </c>
      <c r="C17" s="47">
        <v>0.2</v>
      </c>
      <c r="D17" s="74">
        <f t="shared" si="2"/>
        <v>0.1</v>
      </c>
      <c r="E17" s="74">
        <f t="shared" si="3"/>
        <v>0.23489495370875477</v>
      </c>
      <c r="F17" s="39"/>
      <c r="H17" s="3" t="s">
        <v>151</v>
      </c>
      <c r="I17" s="3">
        <f>STupidExcelMean(I16)</f>
        <v>4.5107626437167748E+49</v>
      </c>
      <c r="J17" s="3">
        <f>STupidExcelVariance(I16,I17)</f>
        <v>6.9063207904531377E+107</v>
      </c>
      <c r="K17" s="3"/>
      <c r="L17" s="3"/>
    </row>
    <row r="18" spans="1:12" ht="30">
      <c r="A18" s="46" t="s">
        <v>124</v>
      </c>
      <c r="B18" s="47">
        <v>0.05</v>
      </c>
      <c r="C18" s="47">
        <v>0.2</v>
      </c>
      <c r="D18" s="74">
        <f t="shared" si="2"/>
        <v>0.1</v>
      </c>
      <c r="E18" s="74">
        <f t="shared" si="3"/>
        <v>0.23489495370875477</v>
      </c>
      <c r="F18" s="39"/>
      <c r="H18" s="15" t="s">
        <v>163</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169</v>
      </c>
      <c r="B23" s="100">
        <f>ParetoPosterior(median,alpha,I18:J18)</f>
        <v>7.21322996525908E+36</v>
      </c>
    </row>
    <row r="24" spans="1:12" ht="30">
      <c r="A24" s="33" t="s">
        <v>170</v>
      </c>
      <c r="B24" s="100">
        <f>LognormPosterior(mu_far_future,sigma_far_future,I18:J18)</f>
        <v>25902525.57153099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2016-05-18T01:58:25Z</dcterms:modified>
</cp:coreProperties>
</file>