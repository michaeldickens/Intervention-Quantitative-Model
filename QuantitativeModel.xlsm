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3"/>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G5" i="5" l="1"/>
  <c r="B31" i="5"/>
  <c r="C3" i="7"/>
  <c r="D5" i="7"/>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15" i="3"/>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F4" i="2"/>
  <c r="G4" i="2"/>
  <c r="D18" i="1"/>
  <c r="E18" i="1"/>
  <c r="D19" i="1"/>
  <c r="E19" i="1"/>
  <c r="D20" i="1"/>
  <c r="E20" i="1"/>
  <c r="D21" i="1"/>
  <c r="E2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<sst xmlns="http://schemas.openxmlformats.org/spreadsheetml/2006/main" count="585" uniqueCount="299">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</sst>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f>'Cage-Free'!B23</f>
        <v>1.7155923138575062E+24</v>
      </c>
      <c r="C5" s="140">
        <f>'Cage-Free'!B24</f>
        <v>122694.70790374537</v>
      </c>
      <c r="D5" s="140" t="e">
        <f>C5/C3</f>
        <v>#VALUE!</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t="e">
        <f>C6/$C$3</f>
        <v>#VALUE!</v>
      </c>
      <c r="G6" s="80" t="s">
        <v>250</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t="e">
        <f>C3</f>
        <v>#VALUE!</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252</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0.01</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L31" sqref="L31"/>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t="str">
        <f>LognormPosterior(mu_global_poverty,sigma_global_poverty,G3:H3)</f>
        <v>disabled</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c r="G7" s="7"/>
      <c r="H7" s="7"/>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G18" sqref="G18"/>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f>$D$16</f>
        <v>39.692256431966342</v>
      </c>
      <c r="O6">
        <f>$E$16</f>
        <v>0.54824135785953976</v>
      </c>
    </row>
    <row r="7" spans="1:15" ht="30">
      <c r="A7" s="149" t="s">
        <v>285</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7.0700000000000004E-10</v>
      </c>
      <c r="J14">
        <f>$E$7</f>
        <v>0.11744747699999999</v>
      </c>
      <c r="M14" s="148" t="s">
        <v>286</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286</v>
      </c>
      <c r="I15">
        <f>$D$16</f>
        <v>39.692256431966342</v>
      </c>
      <c r="J15">
        <f>$E$16</f>
        <v>0.54824135785953976</v>
      </c>
      <c r="M15" s="15" t="s">
        <v>52</v>
      </c>
      <c r="N15" s="14">
        <f>PRODUCT(N11:N14)</f>
        <v>3.9686262448665216E+37</v>
      </c>
      <c r="O15" s="14">
        <f>SUM(O11:O14)</f>
        <v>4.4497620883670574</v>
      </c>
    </row>
    <row r="16" spans="1:15" ht="30">
      <c r="A16" s="85" t="s">
        <v>286</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285</v>
      </c>
      <c r="I24" s="2">
        <f>$D$7</f>
        <v>7.0700000000000004E-10</v>
      </c>
      <c r="J24">
        <f>$E$7</f>
        <v>0.11744747699999999</v>
      </c>
      <c r="M24" s="30" t="s">
        <v>167</v>
      </c>
      <c r="N24" s="31" t="str">
        <f>WriteArray(SumLognormDists(N19:O23))</f>
        <v>disabled</v>
      </c>
      <c r="O24" s="31" t="s">
        <v>148</v>
      </c>
    </row>
    <row r="25" spans="1:15">
      <c r="H25" s="148" t="s">
        <v>286</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286</v>
      </c>
      <c r="N7">
        <f>THL!$D$16</f>
        <v>39.692256431966342</v>
      </c>
      <c r="O7">
        <f>THL!$E$16</f>
        <v>0.54824135785953976</v>
      </c>
      <c r="P7" s="3"/>
    </row>
    <row r="8" spans="1:16" ht="30">
      <c r="A8" s="52" t="s">
        <v>294</v>
      </c>
      <c r="B8" s="154">
        <v>1</v>
      </c>
      <c r="C8" s="154">
        <v>1</v>
      </c>
      <c r="D8" s="103">
        <f t="shared" si="2"/>
        <v>1</v>
      </c>
      <c r="E8" s="103">
        <f t="shared" si="3"/>
        <v>0</v>
      </c>
      <c r="F8" s="103" t="s">
        <v>296</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39.692256431966342</v>
      </c>
      <c r="J16">
        <f>THL!$E$16</f>
        <v>0.54824135785953976</v>
      </c>
      <c r="M16" s="148" t="s">
        <v>286</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285</v>
      </c>
      <c r="I25" s="2">
        <f>THL!$D$7</f>
        <v>7.0700000000000004E-10</v>
      </c>
      <c r="J25" s="2">
        <f>THL!$E$7</f>
        <v>0.11744747699999999</v>
      </c>
      <c r="N25">
        <f>N17</f>
        <v>6.8738622923600996E+35</v>
      </c>
      <c r="O25">
        <f>O17</f>
        <v>5.0439163878209321</v>
      </c>
      <c r="P25" s="3"/>
    </row>
    <row r="26" spans="1:16">
      <c r="H26" s="3" t="s">
        <v>295</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286</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2016-05-19T03:00:15Z</dcterms:modified>
</cp:coreProperties>
</file>