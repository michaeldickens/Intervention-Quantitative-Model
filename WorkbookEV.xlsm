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709" codeName="{00000000-0000-0000-0000-000000000000}"/>
  <workbookPr showInkAnnotation="0" codeName="ThisWorkbook" autoCompressPictures="0"/>
  <bookViews>
    <workbookView xWindow="0" yWindow="0" windowWidth="14400" windowHeight="17460" tabRatio="500" activeTab="1"/>
  </bookViews>
  <sheets>
    <sheet name="Sheet1" sheetId="1" r:id="rId1"/>
    <sheet name="Globals" sheetId="2" r:id="rId2"/>
  </sheets>
  <definedNames>
    <definedName name="alpha">Globals!$B$4</definedName>
    <definedName name="measurement">Globals!$E$2</definedName>
    <definedName name="median">Globals!$B$2</definedName>
    <definedName name="stdev_base10">Globals!$E$3</definedName>
    <definedName name="x_m">Globals!$B$3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4" i="2" l="1"/>
  <c r="B13" i="2"/>
  <c r="B3" i="2"/>
  <c r="D9" i="1"/>
  <c r="F8" i="1"/>
  <c r="F3" i="1"/>
  <c r="F4" i="1"/>
  <c r="F5" i="1"/>
  <c r="F6" i="1"/>
  <c r="D3" i="1"/>
  <c r="D4" i="1"/>
  <c r="D5" i="1"/>
  <c r="D6" i="1"/>
  <c r="D2" i="1"/>
  <c r="F2" i="1"/>
  <c r="F7" i="1"/>
  <c r="E7" i="1"/>
  <c r="C7" i="1"/>
  <c r="B7" i="1"/>
  <c r="E9" i="1"/>
  <c r="E3" i="1"/>
  <c r="E4" i="1"/>
  <c r="E5" i="1"/>
  <c r="E6" i="1"/>
  <c r="E2" i="1"/>
  <c r="F9" i="1"/>
  <c r="B9" i="1"/>
  <c r="C9" i="1"/>
</calcChain>
</file>

<file path=xl/sharedStrings.xml><?xml version="1.0" encoding="utf-8"?>
<sst xmlns="http://schemas.openxmlformats.org/spreadsheetml/2006/main" count="21" uniqueCount="21">
  <si>
    <t>P(WAS exists)</t>
  </si>
  <si>
    <t>P(people care about WAS)</t>
  </si>
  <si>
    <t>Input</t>
  </si>
  <si>
    <t>Low CI</t>
  </si>
  <si>
    <t>High CI</t>
  </si>
  <si>
    <t>wild animals neg value</t>
  </si>
  <si>
    <t>cost per animal</t>
  </si>
  <si>
    <t>Mean</t>
  </si>
  <si>
    <t>Variance (orders of magnitude)</t>
  </si>
  <si>
    <t>Posterior</t>
  </si>
  <si>
    <t>Estimate</t>
  </si>
  <si>
    <t>Log Mean</t>
  </si>
  <si>
    <t>1/factory farming today</t>
  </si>
  <si>
    <t>Prior (log-normal)</t>
  </si>
  <si>
    <t>Global Values</t>
  </si>
  <si>
    <t>Temporary Values</t>
  </si>
  <si>
    <t>x_m</t>
  </si>
  <si>
    <t>alpha</t>
  </si>
  <si>
    <t>median</t>
  </si>
  <si>
    <t>stdev_base10</t>
  </si>
  <si>
    <t>measurement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</si>
</sst>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</fills>
  <borders count="1">
    <border>
      <left/>
      <right/>
      <top/>
      <bottom/>
      <diagonal/>
    </border>
  </borders>
  <cellStyleXfs count="4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0" fontId="3" fillId="0" borderId="0" xfId="0" applyFont="1"/>
    <xf numFmtId="11" fontId="0" fillId="0" borderId="0" xfId="0" applyNumberFormat="1" applyFont="1"/>
    <xf numFmtId="0" fontId="0" fillId="0" borderId="0" xfId="0" applyFont="1"/>
    <xf numFmtId="0" fontId="0" fillId="2" borderId="0" xfId="0" applyFill="1"/>
    <xf numFmtId="11" fontId="0" fillId="2" borderId="0" xfId="0" applyNumberFormat="1" applyFill="1"/>
    <xf numFmtId="2" fontId="0" fillId="2" borderId="0" xfId="0" applyNumberFormat="1" applyFill="1"/>
    <xf numFmtId="0" fontId="0" fillId="3" borderId="0" xfId="0" applyFill="1"/>
    <xf numFmtId="11" fontId="0" fillId="0" borderId="0" xfId="0" applyNumberFormat="1"/>
  </cellXfs>
  <cellStyles count="4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26"/>
  <sheetViews>
    <sheetView workbookViewId="0">
      <selection activeCell="C18" sqref="C18"/>
    </sheetView>
  </sheetViews>
  <sheetFormatPr baseColWidth="10" defaultRowHeight="15" x14ac:dyDescent="0"/>
  <cols>
    <col min="1" max="1" width="22.6640625" customWidth="1"/>
    <col min="3" max="3" width="12.1640625" bestFit="1" customWidth="1"/>
  </cols>
  <sheetData>
    <row r="1" spans="1:6">
      <c r="A1" s="1" t="s">
        <v>2</v>
      </c>
      <c r="B1" s="1" t="s">
        <v>3</v>
      </c>
      <c r="C1" s="1" t="s">
        <v>4</v>
      </c>
      <c r="D1" s="1" t="s">
        <v>7</v>
      </c>
      <c r="E1" s="1" t="s">
        <v>8</v>
      </c>
      <c r="F1" s="1" t="s">
        <v>11</v>
      </c>
    </row>
    <row r="2" spans="1:6">
      <c r="A2" t="s">
        <v>0</v>
      </c>
      <c r="B2" s="4">
        <v>0.3</v>
      </c>
      <c r="C2" s="4">
        <v>0.3</v>
      </c>
      <c r="D2">
        <f>SQRT(C2*B2)</f>
        <v>0.3</v>
      </c>
      <c r="E2">
        <f>LOG10(C2/B2) / 2 / _xlfn.NORM.INV(0.9,0,1)</f>
        <v>0</v>
      </c>
      <c r="F2">
        <f>LOG10(D2)</f>
        <v>-0.52287874528033762</v>
      </c>
    </row>
    <row r="3" spans="1:6">
      <c r="A3" t="s">
        <v>1</v>
      </c>
      <c r="B3" s="4">
        <v>0.1</v>
      </c>
      <c r="C3" s="4">
        <v>0.1</v>
      </c>
      <c r="D3">
        <f t="shared" ref="D3:D6" si="0">SQRT(C3*B3)</f>
        <v>0.1</v>
      </c>
      <c r="E3">
        <f>LOG10(C3/B3) / 2 / _xlfn.NORM.INV(0.9,0,1)</f>
        <v>0</v>
      </c>
      <c r="F3">
        <f>LOG10(D3)</f>
        <v>-1</v>
      </c>
    </row>
    <row r="4" spans="1:6">
      <c r="A4" t="s">
        <v>5</v>
      </c>
      <c r="B4" s="5">
        <v>1E+30</v>
      </c>
      <c r="C4" s="5">
        <v>9.9999999999999997E+34</v>
      </c>
      <c r="D4">
        <f t="shared" si="0"/>
        <v>3.1622776601683791E+32</v>
      </c>
      <c r="E4">
        <f>LOG10(C4/B4) / 2 / _xlfn.NORM.INV(0.9,0,1)</f>
        <v>1.9507603651809475</v>
      </c>
      <c r="F4">
        <f>LOG10(D4)</f>
        <v>32.5</v>
      </c>
    </row>
    <row r="5" spans="1:6">
      <c r="A5" t="s">
        <v>12</v>
      </c>
      <c r="B5" s="5">
        <v>1E-10</v>
      </c>
      <c r="C5" s="5">
        <v>1E-10</v>
      </c>
      <c r="D5">
        <f t="shared" si="0"/>
        <v>1E-10</v>
      </c>
      <c r="E5">
        <f>LOG10(C5/B5) / 2 / _xlfn.NORM.INV(0.9,0,1)</f>
        <v>0</v>
      </c>
      <c r="F5">
        <f>LOG10(D5)</f>
        <v>-10</v>
      </c>
    </row>
    <row r="6" spans="1:6">
      <c r="A6" t="s">
        <v>6</v>
      </c>
      <c r="B6" s="6">
        <v>0.02</v>
      </c>
      <c r="C6" s="4">
        <v>0.2</v>
      </c>
      <c r="D6">
        <f t="shared" si="0"/>
        <v>6.3245553203367583E-2</v>
      </c>
      <c r="E6">
        <f>LOG10(C6/B6) / 2 / _xlfn.NORM.INV(0.9,0,1)</f>
        <v>0.39015207303618948</v>
      </c>
      <c r="F6">
        <f>LOG10(D6)</f>
        <v>-1.1989700043360187</v>
      </c>
    </row>
    <row r="7" spans="1:6">
      <c r="A7" s="1" t="s">
        <v>10</v>
      </c>
      <c r="B7">
        <f>10^_xlfn.NORM.INV(0.1,F7,SQRT(E7))</f>
        <v>6.5670775655100134E+17</v>
      </c>
      <c r="C7">
        <f>10^_xlfn.NORM.INV(0.9,F7,SQRT(E7))</f>
        <v>5.4818904818591644E+21</v>
      </c>
      <c r="E7">
        <f>SUM(E2:E6)</f>
        <v>2.3409124382171371</v>
      </c>
      <c r="F7">
        <f>SUM(F2:F6)</f>
        <v>19.778151250383644</v>
      </c>
    </row>
    <row r="8" spans="1:6">
      <c r="A8" t="s">
        <v>13</v>
      </c>
      <c r="D8" s="4">
        <v>1</v>
      </c>
      <c r="E8" s="4">
        <v>1</v>
      </c>
      <c r="F8">
        <f>LOG10(D8)</f>
        <v>0</v>
      </c>
    </row>
    <row r="9" spans="1:6">
      <c r="A9" s="1" t="s">
        <v>9</v>
      </c>
      <c r="B9">
        <f>10^_xlfn.NORM.INV(0.1,F9,SQRT(E9))</f>
        <v>70346.233106719141</v>
      </c>
      <c r="C9">
        <f>10^_xlfn.NORM.INV(0.9,F9,SQRT(E9))</f>
        <v>9833972.5440572053</v>
      </c>
      <c r="D9" s="7">
        <f>10^F9</f>
        <v>831734.88862096122</v>
      </c>
      <c r="E9">
        <f>1/(1/E8+1/E7)</f>
        <v>0.70068057200156808</v>
      </c>
      <c r="F9">
        <f>(F8/E8+F7/E7)*E9</f>
        <v>5.9199849191313039</v>
      </c>
    </row>
    <row r="17" spans="6:7">
      <c r="F17" s="1"/>
      <c r="G17" s="1"/>
    </row>
    <row r="18" spans="6:7">
      <c r="F18" s="2"/>
      <c r="G18" s="3"/>
    </row>
    <row r="19" spans="6:7">
      <c r="F19" s="3"/>
      <c r="G19" s="3"/>
    </row>
    <row r="24" spans="6:7">
      <c r="F24" s="1"/>
      <c r="G24" s="1"/>
    </row>
    <row r="25" spans="6:7">
      <c r="F25" s="2"/>
      <c r="G25" s="3"/>
    </row>
    <row r="26" spans="6:7">
      <c r="F26" s="3"/>
      <c r="G26" s="3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15"/>
  <sheetViews>
    <sheetView tabSelected="1" workbookViewId="0">
      <selection activeCell="B15" sqref="B15"/>
    </sheetView>
  </sheetViews>
  <sheetFormatPr baseColWidth="10" defaultRowHeight="15" x14ac:dyDescent="0"/>
  <cols>
    <col min="2" max="2" width="12.1640625" bestFit="1" customWidth="1"/>
    <col min="4" max="4" width="12.1640625" bestFit="1" customWidth="1"/>
  </cols>
  <sheetData>
    <row r="1" spans="1:5">
      <c r="A1" t="s">
        <v>14</v>
      </c>
      <c r="D1" t="s">
        <v>15</v>
      </c>
    </row>
    <row r="2" spans="1:5">
      <c r="A2" t="s">
        <v>18</v>
      </c>
      <c r="B2">
        <v>1</v>
      </c>
      <c r="D2" t="s">
        <v>20</v>
      </c>
      <c r="E2">
        <v>11</v>
      </c>
    </row>
    <row r="3" spans="1:5">
      <c r="A3" t="s">
        <v>16</v>
      </c>
      <c r="B3">
        <f>B2/(2^(1/B4) - 1)</f>
        <v>1.7024143839193155</v>
      </c>
      <c r="D3" t="s">
        <v>19</v>
      </c>
      <c r="E3">
        <v>0.5</v>
      </c>
    </row>
    <row r="4" spans="1:5">
      <c r="A4" t="s">
        <v>17</v>
      </c>
      <c r="B4">
        <v>1.5</v>
      </c>
    </row>
    <row r="13" spans="1:5">
      <c r="B13" t="e">
        <f>Trapezoid("CorePDF",0,1)</f>
        <v>#VALUE!</v>
      </c>
    </row>
    <row r="14" spans="1:5">
      <c r="B14" t="e">
        <f ca="1">Application.Run("CorePDF",0)</f>
        <v>#NAME?</v>
      </c>
      <c r="D14" s="8"/>
    </row>
    <row r="15" spans="1:5">
      <c r="D15" s="8"/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Globals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Dickens</dc:creator>
  <cp:lastModifiedBy>Michael Dickens</cp:lastModifiedBy>
  <dcterms:created xsi:type="dcterms:W3CDTF">2016-03-23T01:55:09Z</dcterms:created>
  <dcterms:modified xsi:type="dcterms:W3CDTF">2016-03-23T19:16:50Z</dcterms:modified>
</cp:coreProperties>
</file>