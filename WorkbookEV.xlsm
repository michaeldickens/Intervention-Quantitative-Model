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20" windowWidth="28800" windowHeight="17460" tabRatio="500" activeTab="5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I Safety" sheetId="6" r:id="rId6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Globals!$I$18</definedName>
    <definedName name="far_future_alpha">Globals!$E$3</definedName>
    <definedName name="far_future_median">Globals!$E$2</definedName>
    <definedName name="far_future_mu">Globals!$L$2</definedName>
    <definedName name="far_future_sigma">Globals!$L$3</definedName>
    <definedName name="interest_rate">Globals!$I$19</definedName>
    <definedName name="measurement">Globals!$B$4</definedName>
    <definedName name="median">Globals!$B$2</definedName>
    <definedName name="mu">Globals!$I$2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">Globals!$I$3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" i="7" l="1"/>
  <c r="D4" i="1"/>
  <c r="E4" i="1"/>
  <c r="L4" i="7"/>
  <c r="L5" i="7"/>
  <c r="L6" i="7"/>
  <c r="J3" i="7"/>
  <c r="L3" i="7"/>
  <c r="J4" i="7"/>
  <c r="K4" i="7"/>
  <c r="J5" i="7"/>
  <c r="K5" i="7"/>
  <c r="K6" i="7"/>
  <c r="K3" i="7"/>
  <c r="B5" i="1"/>
  <c r="C5" i="1"/>
  <c r="E5" i="1"/>
  <c r="E6" i="1"/>
  <c r="I3" i="1"/>
  <c r="D5" i="1"/>
  <c r="D6" i="1"/>
  <c r="H3" i="1"/>
  <c r="D19" i="2"/>
  <c r="C22" i="2"/>
  <c r="D22" i="2"/>
  <c r="I4" i="1"/>
  <c r="I5" i="1"/>
  <c r="D18" i="2"/>
  <c r="H4" i="1"/>
  <c r="H5" i="1"/>
  <c r="H7" i="1"/>
  <c r="N30" i="2"/>
  <c r="P30" i="2"/>
  <c r="H13" i="3"/>
  <c r="N31" i="2"/>
  <c r="N32" i="2"/>
  <c r="N33" i="2"/>
  <c r="P33" i="2"/>
  <c r="H14" i="3"/>
  <c r="P31" i="2"/>
  <c r="H15" i="3"/>
  <c r="H16" i="3"/>
  <c r="H17" i="3"/>
  <c r="M4" i="3"/>
  <c r="N5" i="1"/>
  <c r="E7" i="1"/>
  <c r="E8" i="1"/>
  <c r="N7" i="1"/>
  <c r="N8" i="1"/>
  <c r="P4" i="3"/>
  <c r="M3" i="1"/>
  <c r="O30" i="2"/>
  <c r="G13" i="3"/>
  <c r="O33" i="2"/>
  <c r="G14" i="3"/>
  <c r="O31" i="2"/>
  <c r="G15" i="3"/>
  <c r="G16" i="3"/>
  <c r="G17" i="3"/>
  <c r="L4" i="3"/>
  <c r="M5" i="1"/>
  <c r="M6" i="1"/>
  <c r="D7" i="1"/>
  <c r="D8" i="1"/>
  <c r="M7" i="1"/>
  <c r="M8" i="1"/>
  <c r="M10" i="1"/>
  <c r="H22" i="3"/>
  <c r="N34" i="2"/>
  <c r="P34" i="2"/>
  <c r="H23" i="3"/>
  <c r="H24" i="3"/>
  <c r="H25" i="3"/>
  <c r="H26" i="3"/>
  <c r="M5" i="3"/>
  <c r="I17" i="1"/>
  <c r="I19" i="1"/>
  <c r="I20" i="1"/>
  <c r="P5" i="3"/>
  <c r="H15" i="1"/>
  <c r="G22" i="3"/>
  <c r="O34" i="2"/>
  <c r="G23" i="3"/>
  <c r="G24" i="3"/>
  <c r="D20" i="2"/>
  <c r="G25" i="3"/>
  <c r="G26" i="3"/>
  <c r="L5" i="3"/>
  <c r="H17" i="1"/>
  <c r="H18" i="1"/>
  <c r="H19" i="1"/>
  <c r="H20" i="1"/>
  <c r="H22" i="1"/>
  <c r="H31" i="3"/>
  <c r="N35" i="2"/>
  <c r="P35" i="2"/>
  <c r="H32" i="3"/>
  <c r="H33" i="3"/>
  <c r="H34" i="3"/>
  <c r="H35" i="3"/>
  <c r="M6" i="3"/>
  <c r="I29" i="1"/>
  <c r="I31" i="1"/>
  <c r="I32" i="1"/>
  <c r="P6" i="3"/>
  <c r="H27" i="1"/>
  <c r="G31" i="3"/>
  <c r="O35" i="2"/>
  <c r="G32" i="3"/>
  <c r="G33" i="3"/>
  <c r="D21" i="2"/>
  <c r="G34" i="3"/>
  <c r="G35" i="3"/>
  <c r="L6" i="3"/>
  <c r="H29" i="1"/>
  <c r="H30" i="1"/>
  <c r="H31" i="1"/>
  <c r="H32" i="1"/>
  <c r="H34" i="1"/>
  <c r="H40" i="3"/>
  <c r="H41" i="3"/>
  <c r="H42" i="3"/>
  <c r="N36" i="2"/>
  <c r="P36" i="2"/>
  <c r="H43" i="3"/>
  <c r="H44" i="3"/>
  <c r="H45" i="3"/>
  <c r="M7" i="3"/>
  <c r="I41" i="1"/>
  <c r="I43" i="1"/>
  <c r="I44" i="1"/>
  <c r="P7" i="3"/>
  <c r="H39" i="1"/>
  <c r="G40" i="3"/>
  <c r="G41" i="3"/>
  <c r="G42" i="3"/>
  <c r="O36" i="2"/>
  <c r="G43" i="3"/>
  <c r="G44" i="3"/>
  <c r="G45" i="3"/>
  <c r="L7" i="3"/>
  <c r="H41" i="1"/>
  <c r="H42" i="1"/>
  <c r="H43" i="1"/>
  <c r="H44" i="1"/>
  <c r="H46" i="1"/>
  <c r="N17" i="1"/>
  <c r="N19" i="1"/>
  <c r="N20" i="1"/>
  <c r="M15" i="1"/>
  <c r="M17" i="1"/>
  <c r="M18" i="1"/>
  <c r="M19" i="1"/>
  <c r="M20" i="1"/>
  <c r="M22" i="1"/>
  <c r="N29" i="1"/>
  <c r="N31" i="1"/>
  <c r="N32" i="1"/>
  <c r="M27" i="1"/>
  <c r="M29" i="1"/>
  <c r="M30" i="1"/>
  <c r="M31" i="1"/>
  <c r="M32" i="1"/>
  <c r="M34" i="1"/>
  <c r="N41" i="1"/>
  <c r="N43" i="1"/>
  <c r="N44" i="1"/>
  <c r="M39" i="1"/>
  <c r="M41" i="1"/>
  <c r="M42" i="1"/>
  <c r="M43" i="1"/>
  <c r="M44" i="1"/>
  <c r="M46" i="1"/>
  <c r="B13" i="1"/>
  <c r="C4" i="7"/>
  <c r="C4" i="5"/>
  <c r="B4" i="5"/>
  <c r="H12" i="5"/>
  <c r="H4" i="3"/>
  <c r="P32" i="2"/>
  <c r="H5" i="3"/>
  <c r="H6" i="3"/>
  <c r="H7" i="3"/>
  <c r="H8" i="3"/>
  <c r="M3" i="3"/>
  <c r="J30" i="2"/>
  <c r="L30" i="2"/>
  <c r="C4" i="3"/>
  <c r="J31" i="2"/>
  <c r="J32" i="2"/>
  <c r="L32" i="2"/>
  <c r="C5" i="3"/>
  <c r="L31" i="2"/>
  <c r="C6" i="3"/>
  <c r="J33" i="2"/>
  <c r="L33" i="2"/>
  <c r="C7" i="3"/>
  <c r="C8" i="3"/>
  <c r="C9" i="3"/>
  <c r="M8" i="3"/>
  <c r="C14" i="3"/>
  <c r="C15" i="3"/>
  <c r="C16" i="3"/>
  <c r="C17" i="3"/>
  <c r="C18" i="3"/>
  <c r="C19" i="3"/>
  <c r="M9" i="3"/>
  <c r="C24" i="3"/>
  <c r="C25" i="3"/>
  <c r="C26" i="3"/>
  <c r="C27" i="3"/>
  <c r="C28" i="3"/>
  <c r="C29" i="3"/>
  <c r="M10" i="3"/>
  <c r="P3" i="3"/>
  <c r="P8" i="3"/>
  <c r="P9" i="3"/>
  <c r="P10" i="3"/>
  <c r="M13" i="3"/>
  <c r="H13" i="5"/>
  <c r="H14" i="5"/>
  <c r="G12" i="5"/>
  <c r="G4" i="3"/>
  <c r="O32" i="2"/>
  <c r="G5" i="3"/>
  <c r="G6" i="3"/>
  <c r="D17" i="2"/>
  <c r="G7" i="3"/>
  <c r="G8" i="3"/>
  <c r="L3" i="3"/>
  <c r="K30" i="2"/>
  <c r="B4" i="3"/>
  <c r="K32" i="2"/>
  <c r="B5" i="3"/>
  <c r="K31" i="2"/>
  <c r="B6" i="3"/>
  <c r="K33" i="2"/>
  <c r="B7" i="3"/>
  <c r="B8" i="3"/>
  <c r="B9" i="3"/>
  <c r="L8" i="3"/>
  <c r="B14" i="3"/>
  <c r="B15" i="3"/>
  <c r="B16" i="3"/>
  <c r="B17" i="3"/>
  <c r="D23" i="2"/>
  <c r="B18" i="3"/>
  <c r="B19" i="3"/>
  <c r="L9" i="3"/>
  <c r="B24" i="3"/>
  <c r="B25" i="3"/>
  <c r="B26" i="3"/>
  <c r="B27" i="3"/>
  <c r="B24" i="2"/>
  <c r="D24" i="2"/>
  <c r="B28" i="3"/>
  <c r="B29" i="3"/>
  <c r="L10" i="3"/>
  <c r="L13" i="3"/>
  <c r="G13" i="5"/>
  <c r="G14" i="5"/>
  <c r="G16" i="5"/>
  <c r="H23" i="5"/>
  <c r="H24" i="5"/>
  <c r="H25" i="5"/>
  <c r="G23" i="5"/>
  <c r="G24" i="5"/>
  <c r="G25" i="5"/>
  <c r="G27" i="5"/>
  <c r="B15" i="5"/>
  <c r="B4" i="7"/>
  <c r="C5" i="7"/>
  <c r="O3" i="6"/>
  <c r="O4" i="6"/>
  <c r="N3" i="6"/>
  <c r="N4" i="6"/>
  <c r="B12" i="6"/>
  <c r="D4" i="7"/>
  <c r="D5" i="7"/>
  <c r="B5" i="7"/>
  <c r="C11" i="7"/>
  <c r="H10" i="5"/>
  <c r="H11" i="5"/>
  <c r="G10" i="5"/>
  <c r="G11" i="5"/>
  <c r="H21" i="5"/>
  <c r="H22" i="5"/>
  <c r="G21" i="5"/>
  <c r="G22" i="5"/>
  <c r="H6" i="1"/>
  <c r="M9" i="1"/>
  <c r="H21" i="1"/>
  <c r="H33" i="1"/>
  <c r="H45" i="1"/>
  <c r="M21" i="1"/>
  <c r="M33" i="1"/>
  <c r="M45" i="1"/>
  <c r="B12" i="1"/>
  <c r="C10" i="7"/>
  <c r="B11" i="6"/>
  <c r="D3" i="7"/>
  <c r="C3" i="7"/>
  <c r="G15" i="5"/>
  <c r="G26" i="5"/>
  <c r="B14" i="5"/>
  <c r="B3" i="7"/>
  <c r="K3" i="6"/>
  <c r="I5" i="6"/>
  <c r="H5" i="6"/>
  <c r="K5" i="6"/>
  <c r="K6" i="6"/>
  <c r="K7" i="6"/>
  <c r="C4" i="6"/>
  <c r="B4" i="6"/>
  <c r="E4" i="6"/>
  <c r="K8" i="6"/>
  <c r="K14" i="6"/>
  <c r="I15" i="6"/>
  <c r="H15" i="6"/>
  <c r="K15" i="6"/>
  <c r="K16" i="6"/>
  <c r="K20" i="6"/>
  <c r="J3" i="6"/>
  <c r="J5" i="6"/>
  <c r="J6" i="6"/>
  <c r="J7" i="6"/>
  <c r="D4" i="6"/>
  <c r="J8" i="6"/>
  <c r="J14" i="6"/>
  <c r="J15" i="6"/>
  <c r="J16" i="6"/>
  <c r="J20" i="6"/>
  <c r="R4" i="3"/>
  <c r="R5" i="3"/>
  <c r="R6" i="3"/>
  <c r="R7" i="3"/>
  <c r="R8" i="3"/>
  <c r="R9" i="3"/>
  <c r="R10" i="3"/>
  <c r="R3" i="3"/>
  <c r="Q3" i="3"/>
  <c r="K13" i="6"/>
  <c r="J13" i="6"/>
  <c r="H3" i="5"/>
  <c r="G5" i="5"/>
  <c r="G4" i="5"/>
  <c r="Q4" i="3"/>
  <c r="Q5" i="3"/>
  <c r="Q6" i="3"/>
  <c r="Q7" i="3"/>
  <c r="Q8" i="3"/>
  <c r="Q9" i="3"/>
  <c r="Q10" i="3"/>
  <c r="Q11" i="3"/>
  <c r="Q12" i="3"/>
  <c r="Q13" i="3"/>
  <c r="R12" i="3"/>
  <c r="R11" i="3"/>
  <c r="R13" i="3"/>
  <c r="M12" i="3"/>
  <c r="O17" i="6"/>
  <c r="O18" i="6"/>
  <c r="L12" i="3"/>
  <c r="N17" i="6"/>
  <c r="N18" i="6"/>
  <c r="N19" i="6"/>
  <c r="M11" i="3"/>
  <c r="O9" i="6"/>
  <c r="O10" i="6"/>
  <c r="L11" i="3"/>
  <c r="N9" i="6"/>
  <c r="N10" i="6"/>
  <c r="N11" i="6"/>
  <c r="B16" i="6"/>
  <c r="D10" i="7"/>
  <c r="N20" i="6"/>
  <c r="N12" i="6"/>
  <c r="B17" i="6"/>
  <c r="D11" i="7"/>
  <c r="O10" i="5"/>
  <c r="O11" i="5"/>
  <c r="P10" i="5"/>
  <c r="P11" i="5"/>
  <c r="O12" i="5"/>
  <c r="K10" i="5"/>
  <c r="K11" i="5"/>
  <c r="L10" i="5"/>
  <c r="L11" i="5"/>
  <c r="K12" i="5"/>
  <c r="O21" i="5"/>
  <c r="O22" i="5"/>
  <c r="P21" i="5"/>
  <c r="P22" i="5"/>
  <c r="O23" i="5"/>
  <c r="K21" i="5"/>
  <c r="K22" i="5"/>
  <c r="L21" i="5"/>
  <c r="L22" i="5"/>
  <c r="K23" i="5"/>
  <c r="B18" i="5"/>
  <c r="B10" i="7"/>
  <c r="O13" i="5"/>
  <c r="K13" i="5"/>
  <c r="O24" i="5"/>
  <c r="K24" i="5"/>
  <c r="B19" i="5"/>
  <c r="B11" i="7"/>
</calcChain>
</file>

<file path=xl/sharedStrings.xml><?xml version="1.0" encoding="utf-8"?>
<sst xmlns="http://schemas.openxmlformats.org/spreadsheetml/2006/main" count="445" uniqueCount="187">
  <si>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</si>
  <si>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</si>
  <si>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</si>
  <si>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</si>
  <si>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</si>
  <si>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</si>
  <si>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</si>
  <si>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</si>
  <si>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</si>
  <si>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</si>
  <si>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</si>
  <si>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</si>
  <si>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</si>
  <si>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</si>
  <si>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</si>
  <si>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</si>
  <si>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</si>
  <si>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</si>
  <si>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</si>
  <si>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</si>
  <si>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</si>
  <si>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</si>
  <si>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</si>
  <si>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</si>
  <si>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</si>
  <si>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</si>
  <si>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</si>
  <si>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</si>
  <si>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</si>
  <si>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</si>
  <si>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Wikipedia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</si>
  <si>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</si>
  <si>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</si>
  <si>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</si>
  <si>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</si>
  <si>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</si>
  <si>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</si>
  <si>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</si>
  <si>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</si>
  <si>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</si>
  <si>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</si>
  <si>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</si>
  <si>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</si>
  <si>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</si>
  <si>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</si>
  <si>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</si>
  <si>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</si>
  <si>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</si>
  <si>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</si>
  <si>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</si>
  <si>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</si>
  <si>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</si>
  <si>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</si>
  <si>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</si>
  <si>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</si>
  <si>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</si>
  <si>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</si>
  <si>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</si>
  <si>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</si>
  <si>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</si>
  <si>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</si>
  <si>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</si>
  <si>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</si>
  <si>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</si>
  <si>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</si>
  <si>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</si>
  <si>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</si>
  <si>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</si>
  <si>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Assumes most simulated beings look like insects (r-selected, etc.)</t>
  </si>
  <si>
    <t>Results</t>
  </si>
  <si>
    <t>Utility estimate</t>
  </si>
  <si>
    <t>Sign</t>
  </si>
  <si>
    <t>Probability</t>
  </si>
  <si>
    <t>we have factory farming</t>
  </si>
  <si>
    <t>far future median</t>
  </si>
  <si>
    <t>far future alpha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</si>
  <si>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</si>
  <si>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</si>
  <si>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</si>
  <si>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</si>
  <si>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</si>
  <si>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</si>
  <si>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</si>
  <si>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</si>
  <si>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</si>
  <si>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</si>
  <si>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</si>
  <si>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</si>
  <si>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Varance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</si>
  <si>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</si>
  <si>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</si>
  <si>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</si>
  <si>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</si>
  <si>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</si>
  <si>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</si>
  <si>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</si>
  <si>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</si>
  <si>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</si>
  <si>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</si>
  <si>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</si>
  <si>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</si>
  <si>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</si>
  <si>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</si>
  <si>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</si>
  <si>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</si>
  <si>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</si>
  <si>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</si>
  <si>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</si>
  <si>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</si>
  <si>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</si>
  <si>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</si>
  <si>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</si>
  <si>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</si>
  <si>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</si>
  <si>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</si>
  <si>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</si>
  <si>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</si>
  <si>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TODO: I don't know what's a reasonable way to calculate variance here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</si>
  <si>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</si>
  <si>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</si>
  <si>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</si>
  <si>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</si>
  <si>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</si>
  <si>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</si>
  <si>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from looking at random articles I found on Google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</si>
  <si>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</si>
  <si>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</si>
  <si>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</si>
  <si>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</si>
  <si>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</si>
  <si>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</si>
  <si>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</si>
  <si>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</si>
  <si>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</si>
  <si>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1/size</t>
  </si>
  <si>
    <t>size of FAI community when AGI created</t>
  </si>
  <si>
    <t>hours per AI researcher</t>
  </si>
  <si>
    <t>cost per AI researcher</t>
  </si>
  <si>
    <t>1/cost per AI researcher</t>
  </si>
  <si>
    <t>far future mu</t>
  </si>
  <si>
    <t>far future sigma</t>
  </si>
  <si>
    <t>center of distribution</t>
  </si>
  <si>
    <t>scale (logarithmic)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</si>
  <si>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</si>
  <si>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</si>
  <si>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</si>
  <si>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</si>
  <si>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</si>
  <si>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</si>
  <si>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</si>
  <si>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</si>
  <si>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</si>
  <si>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</si>
  <si>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</si>
  <si>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</si>
  <si>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</si>
  <si>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</si>
  <si>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</si>
  <si>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</si>
  <si>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</si>
  <si>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</si>
  <si>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</si>
  <si>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</si>
  <si>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</si>
  <si>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</si>
  <si>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</si>
  <si>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</si>
  <si>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</si>
  <si>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</si>
  <si>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</si>
  <si>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Ratio</t>
  </si>
  <si>
    <t>utility per cage removed</t>
  </si>
  <si>
    <t>lower than for just chickens b/c includes fish</t>
  </si>
  <si>
    <t>for just chickens; high variance b/c there's disagreement about welfare difference for caged vs. cage-free</t>
  </si>
  <si>
    <t>years factory farming prevented per $1</t>
  </si>
  <si>
    <t>animals per year</t>
  </si>
  <si>
    <t>Direct effects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</si>
  <si>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</si>
  <si>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</si>
  <si>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</si>
  <si>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</si>
  <si>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</si>
  <si>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Split biological/computronium condition</t>
  </si>
  <si>
    <t>user input</t>
  </si>
  <si>
    <t>prior</t>
  </si>
  <si>
    <t>Inputs (80% CI)</t>
  </si>
  <si>
    <t>(80% CI)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</si>
</sst>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9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11" fontId="0" fillId="0" borderId="0" xfId="0" applyNumberFormat="1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0" fillId="0" borderId="0" xfId="0" applyFon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0" fillId="4" borderId="0" xfId="0" applyFill="1"/>
  </cellXfs>
  <cellStyles count="9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workbookViewId="0">
      <selection activeCell="D17" sqref="D17"/>
    </sheetView>
  </sheetViews>
  <sheetFormatPr baseColWidth="10" defaultRowHeight="15" x14ac:dyDescent="0"/>
  <cols>
    <col min="2" max="4" width="12.1640625" bestFit="1" customWidth="1"/>
  </cols>
  <sheetData>
    <row r="1" spans="1:12">
      <c r="A1" s="1" t="s">
        <v>164</v>
      </c>
      <c r="G1" s="1" t="s">
        <v>176</v>
      </c>
    </row>
    <row r="2" spans="1:12">
      <c r="B2" s="35" t="s">
        <v>161</v>
      </c>
      <c r="C2" s="35" t="s">
        <v>162</v>
      </c>
      <c r="D2" s="35" t="s">
        <v>163</v>
      </c>
      <c r="H2" t="s">
        <v>179</v>
      </c>
      <c r="I2" t="s">
        <v>114</v>
      </c>
      <c r="J2" t="s">
        <v>35</v>
      </c>
      <c r="K2" t="s">
        <v>115</v>
      </c>
      <c r="L2" t="s">
        <v>104</v>
      </c>
    </row>
    <row r="3" spans="1:12">
      <c r="A3" s="32" t="s">
        <v>159</v>
      </c>
      <c r="B3" s="6">
        <f>GiveDirectly!B14</f>
        <v>2.557111859170027E+23</v>
      </c>
      <c r="C3" s="6">
        <f>'Veg Ads'!B12</f>
        <v>5.9159760306759061E+20</v>
      </c>
      <c r="D3" s="6">
        <f>'AI Safety'!B11</f>
        <v>1.074425445653989E+28</v>
      </c>
      <c r="G3" s="39" t="s">
        <v>161</v>
      </c>
      <c r="H3" s="16">
        <v>1</v>
      </c>
      <c r="I3" s="16">
        <v>0.1</v>
      </c>
      <c r="J3">
        <f>I3^2</f>
        <v>1.0000000000000002E-2</v>
      </c>
      <c r="K3">
        <f>LognormPosterior(mu,sigma,H3,J3)</f>
        <v>1</v>
      </c>
      <c r="L3">
        <f>ParetoPosterior(median,alpha,H3,J3)</f>
        <v>1.0298118873262621</v>
      </c>
    </row>
    <row r="4" spans="1:12">
      <c r="A4" s="32" t="s">
        <v>160</v>
      </c>
      <c r="B4" s="6">
        <f>GiveDirectly!B15</f>
        <v>0.36020771207202529</v>
      </c>
      <c r="C4" s="6">
        <f>'Veg Ads'!B13</f>
        <v>88.936043981739687</v>
      </c>
      <c r="D4" s="6">
        <f>'AI Safety'!B12</f>
        <v>66.579942410212411</v>
      </c>
      <c r="G4" s="31" t="s">
        <v>177</v>
      </c>
      <c r="H4" s="16">
        <v>11</v>
      </c>
      <c r="I4" s="16">
        <v>0.3</v>
      </c>
      <c r="J4">
        <f t="shared" ref="J4:J6" si="0">I4^2</f>
        <v>0.09</v>
      </c>
      <c r="K4">
        <f>LognormPosterior(mu,sigma,H4,J4)</f>
        <v>5.8308237699146153</v>
      </c>
      <c r="L4">
        <f>ParetoPosterior(median,alpha,H4,J4)</f>
        <v>8.5101466951628151</v>
      </c>
    </row>
    <row r="5" spans="1:12">
      <c r="A5" s="32" t="s">
        <v>170</v>
      </c>
      <c r="B5" s="6">
        <f>B4/$B4</f>
        <v>1</v>
      </c>
      <c r="C5" s="6">
        <f t="shared" ref="C5:D5" si="1">C4/$B4</f>
        <v>246.90210953605705</v>
      </c>
      <c r="D5" s="6">
        <f t="shared" si="1"/>
        <v>184.837637226655</v>
      </c>
      <c r="G5" s="31" t="s">
        <v>178</v>
      </c>
      <c r="H5" s="29">
        <v>22000</v>
      </c>
      <c r="I5" s="16">
        <v>0.8</v>
      </c>
      <c r="J5">
        <f t="shared" si="0"/>
        <v>0.64000000000000012</v>
      </c>
      <c r="K5">
        <f>LognormPosterior(mu,sigma,H5,J5)</f>
        <v>16.587527348694902</v>
      </c>
      <c r="L5">
        <f>ParetoPosterior(median,alpha,H5,J5)</f>
        <v>811.8437204486396</v>
      </c>
    </row>
    <row r="6" spans="1:12">
      <c r="G6" s="31" t="s">
        <v>163</v>
      </c>
      <c r="H6" s="29">
        <v>1E+40</v>
      </c>
      <c r="I6" s="16">
        <v>2</v>
      </c>
      <c r="J6">
        <f t="shared" si="0"/>
        <v>4</v>
      </c>
      <c r="K6">
        <f>LognormPosterior(mu,sigma,H6,J6)</f>
        <v>225.39339047347912</v>
      </c>
      <c r="L6">
        <f>ParetoPosterior(median,alpha,H6,J6)</f>
        <v>6.1611194382693708E+30</v>
      </c>
    </row>
    <row r="8" spans="1:12">
      <c r="A8" s="1" t="s">
        <v>169</v>
      </c>
    </row>
    <row r="9" spans="1:12">
      <c r="B9" s="35" t="s">
        <v>161</v>
      </c>
      <c r="C9" s="35" t="s">
        <v>162</v>
      </c>
      <c r="D9" s="35" t="s">
        <v>163</v>
      </c>
    </row>
    <row r="10" spans="1:12">
      <c r="A10" s="32" t="s">
        <v>159</v>
      </c>
      <c r="B10" s="6">
        <f>GiveDirectly!B18</f>
        <v>8.0728337845520223E+20</v>
      </c>
      <c r="C10" s="6">
        <f>'Veg Ads'!B12</f>
        <v>5.9159760306759061E+20</v>
      </c>
      <c r="D10" s="6">
        <f>'AI Safety'!B16</f>
        <v>3.3919744275603411E+25</v>
      </c>
    </row>
    <row r="11" spans="1:12">
      <c r="A11" s="32" t="s">
        <v>160</v>
      </c>
      <c r="B11" s="6">
        <f>GiveDirectly!B19</f>
        <v>-4.0758014557656708E-2</v>
      </c>
      <c r="C11" s="6">
        <f>'Veg Ads'!B13</f>
        <v>88.936043981739687</v>
      </c>
      <c r="D11" s="6">
        <f>'AI Safety'!B17</f>
        <v>-1.9877939901981136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B29" sqref="B29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7" width="10.83203125" customWidth="1"/>
    <col min="8" max="8" width="21.66406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8" t="s">
        <v>6</v>
      </c>
      <c r="H1" s="8" t="s">
        <v>105</v>
      </c>
      <c r="N1" s="8" t="s">
        <v>119</v>
      </c>
    </row>
    <row r="2" spans="1:14">
      <c r="A2" s="6" t="s">
        <v>5</v>
      </c>
      <c r="B2" s="25">
        <v>1</v>
      </c>
      <c r="D2" s="6" t="s">
        <v>74</v>
      </c>
      <c r="E2" s="25">
        <v>100000000</v>
      </c>
      <c r="H2" s="6" t="s">
        <v>106</v>
      </c>
      <c r="I2" s="12">
        <v>1</v>
      </c>
      <c r="J2" t="s">
        <v>141</v>
      </c>
      <c r="K2" s="6" t="s">
        <v>139</v>
      </c>
      <c r="L2" s="25">
        <v>100000000</v>
      </c>
      <c r="N2" s="32" t="s">
        <v>121</v>
      </c>
    </row>
    <row r="3" spans="1:14">
      <c r="A3" s="6" t="s">
        <v>4</v>
      </c>
      <c r="B3" s="12">
        <v>1.5</v>
      </c>
      <c r="D3" s="6" t="s">
        <v>75</v>
      </c>
      <c r="E3" s="12">
        <v>1.2</v>
      </c>
      <c r="H3" s="6" t="s">
        <v>107</v>
      </c>
      <c r="I3" s="12">
        <v>0.5</v>
      </c>
      <c r="J3" t="s">
        <v>142</v>
      </c>
      <c r="K3" s="6" t="s">
        <v>140</v>
      </c>
      <c r="L3" s="12">
        <v>1</v>
      </c>
      <c r="N3" s="36" t="s">
        <v>120</v>
      </c>
    </row>
    <row r="4" spans="1:14">
      <c r="N4" s="30" t="s">
        <v>61</v>
      </c>
    </row>
    <row r="5" spans="1:14" ht="20">
      <c r="A5" s="8" t="s">
        <v>17</v>
      </c>
      <c r="N5" s="6" t="s">
        <v>184</v>
      </c>
    </row>
    <row r="6" spans="1:14">
      <c r="A6" s="15" t="s">
        <v>7</v>
      </c>
      <c r="B6" s="13">
        <v>0.2</v>
      </c>
      <c r="C6" s="15" t="s">
        <v>16</v>
      </c>
      <c r="D6" s="13">
        <v>0.7</v>
      </c>
      <c r="N6" s="31" t="s">
        <v>183</v>
      </c>
    </row>
    <row r="7" spans="1:14">
      <c r="N7" s="40" t="s">
        <v>183</v>
      </c>
    </row>
    <row r="8" spans="1:14">
      <c r="A8" s="15" t="s">
        <v>8</v>
      </c>
      <c r="B8" s="13">
        <v>0.7</v>
      </c>
      <c r="C8" s="15" t="s">
        <v>9</v>
      </c>
      <c r="D8" s="13">
        <v>0.8</v>
      </c>
      <c r="E8" s="15" t="s">
        <v>73</v>
      </c>
      <c r="F8" s="13">
        <v>0.3</v>
      </c>
      <c r="N8" t="s">
        <v>158</v>
      </c>
    </row>
    <row r="9" spans="1:14">
      <c r="A9" s="15"/>
      <c r="B9" s="13"/>
      <c r="C9" s="15"/>
      <c r="D9" s="13"/>
      <c r="E9" s="15" t="s">
        <v>11</v>
      </c>
      <c r="F9" s="14">
        <v>0.4</v>
      </c>
    </row>
    <row r="10" spans="1:14">
      <c r="E10" s="15" t="s">
        <v>10</v>
      </c>
      <c r="F10" s="14">
        <v>0.3</v>
      </c>
    </row>
    <row r="11" spans="1:14">
      <c r="A11" s="15" t="s">
        <v>13</v>
      </c>
      <c r="B11" s="13">
        <v>0.1</v>
      </c>
      <c r="C11" s="15" t="s">
        <v>12</v>
      </c>
      <c r="D11" s="13">
        <v>0.2</v>
      </c>
      <c r="E11" s="5"/>
    </row>
    <row r="12" spans="1:14">
      <c r="C12" s="15" t="s">
        <v>14</v>
      </c>
      <c r="D12" s="13">
        <v>0.75</v>
      </c>
    </row>
    <row r="13" spans="1:14">
      <c r="C13" s="15" t="s">
        <v>15</v>
      </c>
      <c r="D13" s="13">
        <v>0.05</v>
      </c>
    </row>
    <row r="15" spans="1:14" ht="20">
      <c r="A15" s="8" t="s">
        <v>42</v>
      </c>
    </row>
    <row r="16" spans="1:14" ht="20">
      <c r="B16" t="s">
        <v>51</v>
      </c>
      <c r="C16" s="5" t="s">
        <v>52</v>
      </c>
      <c r="D16" t="s">
        <v>54</v>
      </c>
      <c r="E16" t="s">
        <v>35</v>
      </c>
      <c r="F16" t="s">
        <v>32</v>
      </c>
      <c r="H16" s="8" t="s">
        <v>87</v>
      </c>
      <c r="J16" s="3"/>
    </row>
    <row r="17" spans="1:16">
      <c r="A17" s="21" t="s">
        <v>43</v>
      </c>
      <c r="B17" s="16">
        <v>1</v>
      </c>
      <c r="C17" s="16">
        <v>1</v>
      </c>
      <c r="D17">
        <f>B17*C17</f>
        <v>1</v>
      </c>
      <c r="E17" s="16">
        <v>0</v>
      </c>
      <c r="I17" t="s">
        <v>2</v>
      </c>
    </row>
    <row r="18" spans="1:16" ht="30">
      <c r="A18" s="21" t="s">
        <v>44</v>
      </c>
      <c r="B18" s="16">
        <v>-5</v>
      </c>
      <c r="C18" s="16">
        <v>0.3</v>
      </c>
      <c r="D18">
        <f>ABS(B18)*C18</f>
        <v>1.5</v>
      </c>
      <c r="E18" s="16">
        <v>0.1</v>
      </c>
      <c r="F18" t="s">
        <v>172</v>
      </c>
      <c r="H18" s="31" t="s">
        <v>31</v>
      </c>
      <c r="I18" s="29">
        <v>20000000000</v>
      </c>
      <c r="L18" s="4"/>
      <c r="P18" s="4"/>
    </row>
    <row r="19" spans="1:16">
      <c r="A19" s="31" t="s">
        <v>171</v>
      </c>
      <c r="B19" s="16">
        <v>1</v>
      </c>
      <c r="C19" s="16">
        <v>0.5</v>
      </c>
      <c r="D19">
        <f>ABS(B19)*C19</f>
        <v>0.5</v>
      </c>
      <c r="E19" s="16">
        <v>0.2</v>
      </c>
      <c r="F19" t="s">
        <v>173</v>
      </c>
      <c r="H19" s="31" t="s">
        <v>127</v>
      </c>
      <c r="I19" s="16">
        <v>0.05</v>
      </c>
      <c r="L19" s="4"/>
      <c r="P19" s="4"/>
    </row>
    <row r="20" spans="1:16" ht="30">
      <c r="A20" s="21" t="s">
        <v>45</v>
      </c>
      <c r="B20" s="16">
        <v>-1</v>
      </c>
      <c r="C20" s="16">
        <v>0.2</v>
      </c>
      <c r="D20">
        <f>ABS(B20)*C20</f>
        <v>0.2</v>
      </c>
      <c r="E20" s="16">
        <v>0.2</v>
      </c>
      <c r="L20" s="4"/>
      <c r="N20" s="4"/>
      <c r="P20" s="4"/>
    </row>
    <row r="21" spans="1:16">
      <c r="A21" s="21" t="s">
        <v>46</v>
      </c>
      <c r="B21" s="16">
        <v>-2</v>
      </c>
      <c r="C21" s="16">
        <v>0.01</v>
      </c>
      <c r="D21">
        <f>ABS(B21)*C21</f>
        <v>0.02</v>
      </c>
      <c r="E21" s="16">
        <v>0.5</v>
      </c>
      <c r="L21" s="4"/>
      <c r="N21" s="4"/>
      <c r="P21" s="4"/>
    </row>
    <row r="22" spans="1:16">
      <c r="A22" s="21" t="s">
        <v>48</v>
      </c>
      <c r="B22" s="16">
        <v>1000</v>
      </c>
      <c r="C22" s="16">
        <f>C17</f>
        <v>1</v>
      </c>
      <c r="D22">
        <f>ABS(B22)*C22</f>
        <v>1000</v>
      </c>
      <c r="E22" s="16">
        <v>0.8</v>
      </c>
      <c r="F22" t="s">
        <v>53</v>
      </c>
    </row>
    <row r="23" spans="1:16">
      <c r="A23" s="21" t="s">
        <v>49</v>
      </c>
      <c r="B23" s="16">
        <v>-1</v>
      </c>
      <c r="C23" s="16">
        <v>0.1</v>
      </c>
      <c r="D23">
        <f>ABS(B23)*C23</f>
        <v>0.1</v>
      </c>
      <c r="E23" s="16">
        <v>1</v>
      </c>
      <c r="F23" t="s">
        <v>53</v>
      </c>
    </row>
    <row r="24" spans="1:16">
      <c r="A24" s="21" t="s">
        <v>50</v>
      </c>
      <c r="B24" s="16">
        <f>-B22</f>
        <v>-1000</v>
      </c>
      <c r="C24" s="16">
        <v>1</v>
      </c>
      <c r="D24">
        <f>ABS(B24)*C24</f>
        <v>1000</v>
      </c>
      <c r="E24" s="16">
        <v>0.8</v>
      </c>
      <c r="F24" t="s">
        <v>53</v>
      </c>
    </row>
    <row r="27" spans="1:16" ht="20">
      <c r="A27" s="8" t="s">
        <v>34</v>
      </c>
      <c r="J27" s="8" t="s">
        <v>36</v>
      </c>
    </row>
    <row r="28" spans="1:16">
      <c r="A28" s="1" t="s">
        <v>41</v>
      </c>
      <c r="E28" s="1" t="s">
        <v>33</v>
      </c>
    </row>
    <row r="29" spans="1:16">
      <c r="B29" t="s">
        <v>0</v>
      </c>
      <c r="C29" t="s">
        <v>1</v>
      </c>
      <c r="D29" t="s">
        <v>32</v>
      </c>
      <c r="F29" t="s">
        <v>0</v>
      </c>
      <c r="G29" t="s">
        <v>1</v>
      </c>
      <c r="H29" t="s">
        <v>32</v>
      </c>
      <c r="K29" t="s">
        <v>2</v>
      </c>
      <c r="L29" t="s">
        <v>35</v>
      </c>
      <c r="O29" t="s">
        <v>2</v>
      </c>
      <c r="P29" t="s">
        <v>35</v>
      </c>
    </row>
    <row r="30" spans="1:16" ht="30">
      <c r="A30" s="11" t="s">
        <v>18</v>
      </c>
      <c r="B30" s="10">
        <v>100000000000</v>
      </c>
      <c r="C30" s="10">
        <v>100000000000000</v>
      </c>
      <c r="D30" t="s">
        <v>38</v>
      </c>
      <c r="E30" s="11" t="s">
        <v>18</v>
      </c>
      <c r="F30" s="10">
        <v>10000000000</v>
      </c>
      <c r="G30" s="10">
        <v>100000000000000</v>
      </c>
      <c r="H30" t="s">
        <v>38</v>
      </c>
      <c r="J30" s="17" t="str">
        <f>A30</f>
        <v>accessible stars</v>
      </c>
      <c r="K30">
        <f>SQRT(B30*C30)</f>
        <v>3162277660168.3794</v>
      </c>
      <c r="L30" s="4">
        <f>LogVariance(B30,C30)</f>
        <v>1.1704562191085683</v>
      </c>
      <c r="N30" s="17" t="str">
        <f>E30</f>
        <v>accessible stars</v>
      </c>
      <c r="O30">
        <f>SQRT(F30*G30)</f>
        <v>1000000000000</v>
      </c>
      <c r="P30" s="4">
        <f>LogVariance(F30,G30)</f>
        <v>1.5606082921447579</v>
      </c>
    </row>
    <row r="31" spans="1:16" ht="30">
      <c r="A31" s="11" t="s">
        <v>20</v>
      </c>
      <c r="B31" s="10">
        <v>100000000000</v>
      </c>
      <c r="C31" s="10">
        <v>1000000000000</v>
      </c>
      <c r="D31" t="s">
        <v>37</v>
      </c>
      <c r="E31" s="18" t="s">
        <v>20</v>
      </c>
      <c r="F31" s="19">
        <v>100000000000</v>
      </c>
      <c r="G31" s="19">
        <v>1000000000000</v>
      </c>
      <c r="H31" s="9" t="s">
        <v>37</v>
      </c>
      <c r="J31" s="17" t="str">
        <f t="shared" ref="J31:J32" si="0">A31</f>
        <v>years of future</v>
      </c>
      <c r="K31">
        <f t="shared" ref="K31:K33" si="1">SQRT(B31*C31)</f>
        <v>316227766016.83789</v>
      </c>
      <c r="L31" s="4">
        <f t="shared" ref="L31:L33" si="2">LogVariance(B31,C31)</f>
        <v>0.39015207303618948</v>
      </c>
      <c r="M31" s="4"/>
      <c r="N31" s="17" t="str">
        <f t="shared" ref="N31:N35" si="3">E31</f>
        <v>years of future</v>
      </c>
      <c r="O31">
        <f t="shared" ref="O31:O35" si="4">SQRT(F31*G31)</f>
        <v>316227766016.83789</v>
      </c>
      <c r="P31" s="4">
        <f t="shared" ref="P31:P36" si="5">LogVariance(F31,G31)</f>
        <v>0.39015207303618948</v>
      </c>
    </row>
    <row r="32" spans="1:16" ht="30">
      <c r="A32" s="11" t="s">
        <v>19</v>
      </c>
      <c r="B32" s="10">
        <v>1E+20</v>
      </c>
      <c r="C32" s="10">
        <v>1.0000000000000001E+25</v>
      </c>
      <c r="D32" t="s">
        <v>38</v>
      </c>
      <c r="E32" s="11" t="s">
        <v>21</v>
      </c>
      <c r="F32" s="10">
        <v>10000000000</v>
      </c>
      <c r="G32" s="10">
        <v>1000000000000</v>
      </c>
      <c r="J32" s="17" t="str">
        <f t="shared" si="0"/>
        <v>usable wattage</v>
      </c>
      <c r="K32">
        <f t="shared" si="1"/>
        <v>3.1622776601683796E+22</v>
      </c>
      <c r="L32" s="4">
        <f t="shared" si="2"/>
        <v>1.9507603651809475</v>
      </c>
      <c r="N32" s="17" t="str">
        <f t="shared" si="3"/>
        <v>humans per star</v>
      </c>
      <c r="O32">
        <f t="shared" si="4"/>
        <v>100000000000</v>
      </c>
      <c r="P32" s="4">
        <f t="shared" si="5"/>
        <v>0.78030414607237897</v>
      </c>
    </row>
    <row r="33" spans="1:16" ht="60">
      <c r="A33" s="11" t="s">
        <v>47</v>
      </c>
      <c r="B33" s="10">
        <v>0.1</v>
      </c>
      <c r="C33" s="10">
        <v>0.1</v>
      </c>
      <c r="D33" t="s">
        <v>38</v>
      </c>
      <c r="E33" s="11" t="s">
        <v>22</v>
      </c>
      <c r="F33" s="10">
        <v>10000000000</v>
      </c>
      <c r="G33" s="10">
        <v>1000000000000</v>
      </c>
      <c r="J33" s="17" t="str">
        <f>A33</f>
        <v>brains per watt</v>
      </c>
      <c r="K33">
        <f t="shared" si="1"/>
        <v>0.1</v>
      </c>
      <c r="L33" s="4">
        <f t="shared" si="2"/>
        <v>0</v>
      </c>
      <c r="N33" s="17" t="str">
        <f t="shared" si="3"/>
        <v>factory farmed animals per star</v>
      </c>
      <c r="O33">
        <f t="shared" si="4"/>
        <v>100000000000</v>
      </c>
      <c r="P33" s="4">
        <f t="shared" si="5"/>
        <v>0.78030414607237897</v>
      </c>
    </row>
    <row r="34" spans="1:16" ht="45">
      <c r="A34" s="17"/>
      <c r="B34" s="20"/>
      <c r="C34" s="20"/>
      <c r="E34" s="11" t="s">
        <v>23</v>
      </c>
      <c r="F34" s="10">
        <v>10000000000000</v>
      </c>
      <c r="G34" s="10">
        <v>1E+16</v>
      </c>
      <c r="H34" t="s">
        <v>39</v>
      </c>
      <c r="J34" s="17"/>
      <c r="L34" s="4"/>
      <c r="N34" s="17" t="str">
        <f t="shared" si="3"/>
        <v>wild vertebrates per star</v>
      </c>
      <c r="O34">
        <f t="shared" si="4"/>
        <v>316227766016837.94</v>
      </c>
      <c r="P34" s="4">
        <f t="shared" si="5"/>
        <v>1.1704562191085683</v>
      </c>
    </row>
    <row r="35" spans="1:16" ht="30">
      <c r="A35" s="17"/>
      <c r="B35" s="20"/>
      <c r="C35" s="20"/>
      <c r="E35" s="11" t="s">
        <v>63</v>
      </c>
      <c r="F35" s="10">
        <v>1E+17</v>
      </c>
      <c r="G35" s="10">
        <v>1E+21</v>
      </c>
      <c r="H35" t="s">
        <v>40</v>
      </c>
      <c r="J35" s="17"/>
      <c r="L35" s="4"/>
      <c r="N35" s="17" t="str">
        <f t="shared" si="3"/>
        <v>insects per star</v>
      </c>
      <c r="O35">
        <f t="shared" si="4"/>
        <v>1E+19</v>
      </c>
      <c r="P35" s="4">
        <f t="shared" si="5"/>
        <v>1.5606082921447579</v>
      </c>
    </row>
    <row r="36" spans="1:16" ht="30">
      <c r="E36" s="11" t="s">
        <v>67</v>
      </c>
      <c r="F36" s="10">
        <v>1E-3</v>
      </c>
      <c r="G36" s="10">
        <v>1</v>
      </c>
      <c r="N36" s="17" t="str">
        <f>E36</f>
        <v>simulations per insect</v>
      </c>
      <c r="O36">
        <f>SQRT(F36*G36)</f>
        <v>3.1622776601683791E-2</v>
      </c>
      <c r="P36" s="4">
        <f t="shared" si="5"/>
        <v>1.1704562191085683</v>
      </c>
    </row>
    <row r="39" spans="1:16" ht="20">
      <c r="A39" s="8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30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5"/>
  <sheetViews>
    <sheetView workbookViewId="0">
      <selection activeCell="M11" sqref="M11"/>
    </sheetView>
  </sheetViews>
  <sheetFormatPr baseColWidth="10" defaultRowHeight="15" customHeight="1" x14ac:dyDescent="0"/>
  <cols>
    <col min="1" max="1" width="21.6640625" style="7" customWidth="1"/>
    <col min="2" max="2" width="12.1640625" bestFit="1" customWidth="1"/>
    <col min="5" max="5" width="10.83203125" customWidth="1"/>
    <col min="6" max="6" width="21.6640625" customWidth="1"/>
    <col min="11" max="11" width="21.6640625" customWidth="1"/>
    <col min="12" max="12" width="12.83203125" bestFit="1" customWidth="1"/>
    <col min="14" max="14" width="12.1640625" bestFit="1" customWidth="1"/>
    <col min="17" max="17" width="12.83203125" bestFit="1" customWidth="1"/>
    <col min="18" max="18" width="12.1640625" bestFit="1" customWidth="1"/>
  </cols>
  <sheetData>
    <row r="1" spans="1:18" s="24" customFormat="1" ht="30" customHeight="1">
      <c r="A1" s="23" t="s">
        <v>60</v>
      </c>
      <c r="F1" s="23" t="s">
        <v>55</v>
      </c>
      <c r="K1" s="23" t="s">
        <v>69</v>
      </c>
    </row>
    <row r="2" spans="1:18" ht="15" customHeight="1">
      <c r="A2" s="22" t="s">
        <v>56</v>
      </c>
      <c r="F2" s="22" t="s">
        <v>59</v>
      </c>
      <c r="L2" s="30" t="s">
        <v>70</v>
      </c>
      <c r="M2" s="30" t="s">
        <v>35</v>
      </c>
      <c r="N2" t="s">
        <v>71</v>
      </c>
      <c r="P2" t="s">
        <v>72</v>
      </c>
      <c r="Q2" s="32" t="s">
        <v>104</v>
      </c>
      <c r="R2" s="32" t="s">
        <v>115</v>
      </c>
    </row>
    <row r="3" spans="1:18" ht="15" customHeight="1">
      <c r="B3" t="s">
        <v>2</v>
      </c>
      <c r="C3" t="s">
        <v>3</v>
      </c>
      <c r="F3" s="7"/>
      <c r="G3" t="s">
        <v>2</v>
      </c>
      <c r="H3" t="s">
        <v>3</v>
      </c>
      <c r="K3" t="s">
        <v>77</v>
      </c>
      <c r="L3" s="28">
        <f>G8</f>
        <v>3.1622776601683788E+34</v>
      </c>
      <c r="M3" s="28">
        <f>H8</f>
        <v>2.7310645112533263</v>
      </c>
      <c r="N3">
        <v>1</v>
      </c>
      <c r="O3" t="s">
        <v>96</v>
      </c>
      <c r="P3">
        <f>p_biological</f>
        <v>0.7</v>
      </c>
      <c r="Q3">
        <f>ParetoPosterior(far_future_median,far_future_alpha,L3,M3)</f>
        <v>1.2532684242209389E+30</v>
      </c>
      <c r="R3">
        <f t="shared" ref="R3:R10" si="0">LognormPosterior(far_future_mu,far_future_sigma,L3,M3)</f>
        <v>1266282593534853.5</v>
      </c>
    </row>
    <row r="4" spans="1:18" ht="15" customHeight="1">
      <c r="A4" s="7" t="s">
        <v>18</v>
      </c>
      <c r="B4" s="5">
        <f>VLOOKUP($A4,Globals!$J$30:$L$34,2,FALSE)</f>
        <v>3162277660168.3794</v>
      </c>
      <c r="C4" s="5">
        <f>VLOOKUP($A4,Globals!$J$30:$L$34,3,FALSE)</f>
        <v>1.1704562191085683</v>
      </c>
      <c r="F4" s="7" t="s">
        <v>18</v>
      </c>
      <c r="G4">
        <f>VLOOKUP($F4,Globals!$N$30:$P$36,2,FALSE)</f>
        <v>1000000000000</v>
      </c>
      <c r="H4">
        <f>VLOOKUP($F4,Globals!$N$30:$P$36,3,FALSE)</f>
        <v>1.5606082921447579</v>
      </c>
      <c r="K4" t="s">
        <v>76</v>
      </c>
      <c r="L4" s="28">
        <f>G17</f>
        <v>4.7434164902525682E+34</v>
      </c>
      <c r="M4" s="28">
        <f>H17</f>
        <v>2.8310645112533264</v>
      </c>
      <c r="N4">
        <v>-1</v>
      </c>
      <c r="O4" t="s">
        <v>84</v>
      </c>
      <c r="P4">
        <f>p_biological*p_not_care_about_animals*p_factory_farming</f>
        <v>0.16799999999999998</v>
      </c>
      <c r="Q4">
        <f>ParetoPosterior(far_future_median,far_future_alpha,'EV of Far Future'!L4,'EV of Far Future'!M4)</f>
        <v>1.2970430782974287E+30</v>
      </c>
      <c r="R4">
        <f t="shared" si="0"/>
        <v>918547365496261.38</v>
      </c>
    </row>
    <row r="5" spans="1:18" ht="15" customHeight="1">
      <c r="A5" s="7" t="s">
        <v>19</v>
      </c>
      <c r="B5" s="5">
        <f>VLOOKUP($A5,Globals!$J$30:$L$34,2,FALSE)</f>
        <v>3.1622776601683796E+22</v>
      </c>
      <c r="C5" s="5">
        <f>VLOOKUP($A5,Globals!$J$30:$L$34,3,FALSE)</f>
        <v>1.9507603651809475</v>
      </c>
      <c r="F5" s="7" t="s">
        <v>21</v>
      </c>
      <c r="G5">
        <f>VLOOKUP($F5,Globals!$N$30:$P$36,2,FALSE)</f>
        <v>100000000000</v>
      </c>
      <c r="H5">
        <f>VLOOKUP($F5,Globals!$N$30:$P$36,3,FALSE)</f>
        <v>0.78030414607237897</v>
      </c>
      <c r="K5" t="s">
        <v>78</v>
      </c>
      <c r="L5" s="28">
        <f>G26</f>
        <v>2.0000000000000001E+37</v>
      </c>
      <c r="M5" s="28">
        <f>H26</f>
        <v>3.321216584289516</v>
      </c>
      <c r="N5">
        <v>-1</v>
      </c>
      <c r="O5" t="s">
        <v>97</v>
      </c>
      <c r="P5">
        <f>p_biological*p_not_care_about_animals*p_spread_was</f>
        <v>0.22399999999999998</v>
      </c>
      <c r="Q5">
        <f>ParetoPosterior(far_future_median,far_future_alpha,'EV of Far Future'!L5,'EV of Far Future'!M5)</f>
        <v>8.8687280382008207E+31</v>
      </c>
      <c r="R5">
        <f t="shared" si="0"/>
        <v>603581977413498.5</v>
      </c>
    </row>
    <row r="6" spans="1:18" ht="15" customHeight="1">
      <c r="A6" s="7" t="s">
        <v>20</v>
      </c>
      <c r="B6" s="5">
        <f>VLOOKUP($A6,Globals!$J$30:$L$34,2,FALSE)</f>
        <v>316227766016.83789</v>
      </c>
      <c r="C6" s="5">
        <f>VLOOKUP($A6,Globals!$J$30:$L$34,3,FALSE)</f>
        <v>0.39015207303618948</v>
      </c>
      <c r="F6" s="7" t="s">
        <v>20</v>
      </c>
      <c r="G6">
        <f>VLOOKUP($F6,Globals!$N$30:$P$36,2,FALSE)</f>
        <v>316227766016.83789</v>
      </c>
      <c r="H6">
        <f>VLOOKUP($F6,Globals!$N$30:$P$36,3,FALSE)</f>
        <v>0.39015207303618948</v>
      </c>
      <c r="K6" t="s">
        <v>79</v>
      </c>
      <c r="L6" s="28">
        <f>G35</f>
        <v>6.3245553203367579E+40</v>
      </c>
      <c r="M6" s="28">
        <f>H35</f>
        <v>4.0113686573257059</v>
      </c>
      <c r="N6">
        <v>-1</v>
      </c>
      <c r="O6" t="s">
        <v>98</v>
      </c>
      <c r="P6">
        <f>p_biological*p_not_care_about_animals*p_spread_was</f>
        <v>0.22399999999999998</v>
      </c>
      <c r="Q6">
        <f>ParetoPosterior(far_future_median,far_future_alpha,'EV of Far Future'!L6,'EV of Far Future'!M6)</f>
        <v>2.1650484754806725E+34</v>
      </c>
      <c r="R6">
        <f t="shared" si="0"/>
        <v>351013395680006.88</v>
      </c>
    </row>
    <row r="7" spans="1:18" ht="15" customHeight="1">
      <c r="A7" s="7" t="s">
        <v>47</v>
      </c>
      <c r="B7" s="5">
        <f>VLOOKUP($A7,Globals!$J$30:$L$34,2,FALSE)</f>
        <v>0.1</v>
      </c>
      <c r="C7" s="5">
        <f>VLOOKUP($A7,Globals!$J$30:$L$34,3,FALSE)</f>
        <v>0</v>
      </c>
      <c r="F7" s="7" t="s">
        <v>43</v>
      </c>
      <c r="G7">
        <f>VLOOKUP($F7,Globals!$A$17:$E$24,4,FALSE)</f>
        <v>1</v>
      </c>
      <c r="H7">
        <f>VLOOKUP($F7,Globals!$A$17:$E$24,5,FALSE)</f>
        <v>0</v>
      </c>
      <c r="K7" t="s">
        <v>80</v>
      </c>
      <c r="L7" s="28">
        <f>G45</f>
        <v>1.9999999999999996E+39</v>
      </c>
      <c r="M7" s="28">
        <f>H45</f>
        <v>5.1818248764342734</v>
      </c>
      <c r="N7">
        <v>-1</v>
      </c>
      <c r="O7" t="s">
        <v>99</v>
      </c>
      <c r="P7">
        <f>p_biological*p_not_care_about_animals*p_suffering_simulations</f>
        <v>0.16799999999999998</v>
      </c>
      <c r="Q7">
        <f>ParetoPosterior(far_future_median,far_future_alpha,'EV of Far Future'!L7,'EV of Far Future'!M7)</f>
        <v>8.890272955363602E+30</v>
      </c>
      <c r="R7">
        <f t="shared" si="0"/>
        <v>11571680329356.045</v>
      </c>
    </row>
    <row r="8" spans="1:18" ht="15" customHeight="1">
      <c r="A8" s="7" t="s">
        <v>48</v>
      </c>
      <c r="B8" s="5">
        <f>VLOOKUP($A8,Globals!$A$17:$E$24,4,FALSE)</f>
        <v>1000</v>
      </c>
      <c r="C8" s="5">
        <f>VLOOKUP($A8,Globals!$A$17:$E$24,5,FALSE)</f>
        <v>0.8</v>
      </c>
      <c r="F8" s="34" t="s">
        <v>61</v>
      </c>
      <c r="G8" s="28">
        <f>PRODUCT(G4:G7)</f>
        <v>3.1622776601683788E+34</v>
      </c>
      <c r="H8" s="28">
        <f>SUM(H4:H7)</f>
        <v>2.7310645112533263</v>
      </c>
      <c r="K8" t="s">
        <v>81</v>
      </c>
      <c r="L8" s="28">
        <f>B9</f>
        <v>3.1622776601683793E+48</v>
      </c>
      <c r="M8" s="28">
        <f>C9</f>
        <v>4.3113686573257057</v>
      </c>
      <c r="N8">
        <v>1</v>
      </c>
      <c r="O8" t="s">
        <v>100</v>
      </c>
      <c r="P8">
        <f>p_computronium*p_hedonium</f>
        <v>2.0000000000000004E-2</v>
      </c>
      <c r="Q8">
        <f>ParetoPosterior(far_future_median,far_future_alpha,'EV of Far Future'!L8,'EV of Far Future'!M8)</f>
        <v>3.5554515055088789E+41</v>
      </c>
      <c r="R8">
        <f t="shared" si="0"/>
        <v>4218453379982196.5</v>
      </c>
    </row>
    <row r="9" spans="1:18" ht="15" customHeight="1">
      <c r="A9" s="33" t="s">
        <v>61</v>
      </c>
      <c r="B9" s="28">
        <f>PRODUCT(B4:B8)</f>
        <v>3.1622776601683793E+48</v>
      </c>
      <c r="C9" s="28">
        <f>SUM(C3:C8)</f>
        <v>4.3113686573257057</v>
      </c>
      <c r="K9" t="s">
        <v>82</v>
      </c>
      <c r="L9" s="28">
        <f>B19</f>
        <v>3.1622776601683798E+44</v>
      </c>
      <c r="M9" s="28">
        <f>C19</f>
        <v>4.5113686573257059</v>
      </c>
      <c r="N9">
        <v>-1</v>
      </c>
      <c r="O9" t="s">
        <v>101</v>
      </c>
      <c r="P9">
        <f>p_computronium*p_paperclip</f>
        <v>7.5000000000000011E-2</v>
      </c>
      <c r="Q9">
        <f>ParetoPosterior(far_future_median,far_future_alpha,'EV of Far Future'!L9,'EV of Far Future'!M9)</f>
        <v>1.692516247550611E+37</v>
      </c>
      <c r="R9">
        <f t="shared" si="0"/>
        <v>419444379210933.25</v>
      </c>
    </row>
    <row r="10" spans="1:18" ht="15" customHeight="1">
      <c r="K10" t="s">
        <v>83</v>
      </c>
      <c r="L10" s="28">
        <f>B29</f>
        <v>3.1622776601683793E+48</v>
      </c>
      <c r="M10" s="28">
        <f>C29</f>
        <v>4.3113686573257057</v>
      </c>
      <c r="N10">
        <v>-1</v>
      </c>
      <c r="O10" t="s">
        <v>102</v>
      </c>
      <c r="P10">
        <f>p_computronium*p_dolorium</f>
        <v>5.000000000000001E-3</v>
      </c>
      <c r="Q10">
        <f>ParetoPosterior(far_future_median,far_future_alpha,'EV of Far Future'!L10,'EV of Far Future'!M10)</f>
        <v>3.5554515055088789E+41</v>
      </c>
      <c r="R10">
        <f t="shared" si="0"/>
        <v>4218453379982196.5</v>
      </c>
    </row>
    <row r="11" spans="1:18" ht="15" customHeight="1">
      <c r="F11" s="1" t="s">
        <v>62</v>
      </c>
      <c r="K11" s="32" t="s">
        <v>148</v>
      </c>
      <c r="L11" s="6">
        <f>SUMPRODUCT(L3:L7,N3:N7,P3:P7)</f>
        <v>-1.4507469750550418E+40</v>
      </c>
      <c r="M11" s="6">
        <f>SUMPRODUCT(M3:M7,P3:P7)/SUM(P3:P7)</f>
        <v>3.3021628498185005</v>
      </c>
      <c r="Q11" s="6">
        <f>SUMPRODUCT($N3:$N7,$P3:$P7,$Q3:$Q7)</f>
        <v>-4.8704087170789761E+33</v>
      </c>
      <c r="R11" s="6">
        <f>SUMPRODUCT($N3:$N7,$P3:$P7,$Q3:$Q7)</f>
        <v>-4.8704087170789761E+33</v>
      </c>
    </row>
    <row r="12" spans="1:18" ht="15" customHeight="1">
      <c r="A12" s="22" t="s">
        <v>57</v>
      </c>
      <c r="G12" t="s">
        <v>2</v>
      </c>
      <c r="H12" t="s">
        <v>35</v>
      </c>
      <c r="K12" s="32" t="s">
        <v>149</v>
      </c>
      <c r="L12" s="6">
        <f>SUMPRODUCT(L8:L10,N8:N10,P8:P10)</f>
        <v>4.7410447820074434E+46</v>
      </c>
      <c r="M12" s="6">
        <f>SUMPRODUCT(M8:M10,P8:P10)/SUM(P8:P10)</f>
        <v>4.4613686573257061</v>
      </c>
      <c r="Q12" s="6">
        <f>SUMPRODUCT($N8:$N10,$P8:$P10,$Q8:$Q10)</f>
        <v>5.3319078710776558E+39</v>
      </c>
      <c r="R12" s="6">
        <f>SUMPRODUCT($N8:$N10,$P8:$P10,$Q8:$Q10)</f>
        <v>5.3319078710776558E+39</v>
      </c>
    </row>
    <row r="13" spans="1:18" ht="15" customHeight="1">
      <c r="B13" s="5" t="s">
        <v>2</v>
      </c>
      <c r="C13" s="5" t="s">
        <v>35</v>
      </c>
      <c r="F13" t="s">
        <v>18</v>
      </c>
      <c r="G13">
        <f>VLOOKUP($F13,Globals!$N$30:$P$36,2,FALSE)</f>
        <v>1000000000000</v>
      </c>
      <c r="H13">
        <f>VLOOKUP($F13,Globals!$N$30:$P$36,3,FALSE)</f>
        <v>1.5606082921447579</v>
      </c>
      <c r="K13" s="35" t="s">
        <v>147</v>
      </c>
      <c r="L13" s="6">
        <f>SUMPRODUCT(L3:L10,P3:P10,N3:N10)</f>
        <v>4.7410433312604684E+46</v>
      </c>
      <c r="M13" s="6">
        <f>SUMPRODUCT(M3:M10,P3:P10)/SUM(P3:P10)</f>
        <v>3.3753450346358744</v>
      </c>
      <c r="Q13" s="6">
        <f>SUMPRODUCT($Q$3:$Q$10,$P$3:$P$10,$N$3:$N$10)</f>
        <v>5.3319030006689386E+39</v>
      </c>
      <c r="R13" s="6">
        <f>SUMPRODUCT($Q$3:$Q$10,$P$3:$P$10,$N$3:$N$10)</f>
        <v>5.3319030006689386E+39</v>
      </c>
    </row>
    <row r="14" spans="1:18" ht="15" customHeight="1">
      <c r="A14" s="7" t="s">
        <v>18</v>
      </c>
      <c r="B14" s="5">
        <f>VLOOKUP($A14,Globals!$J$30:$L$34,2,FALSE)</f>
        <v>3162277660168.3794</v>
      </c>
      <c r="C14" s="5">
        <f>VLOOKUP($A14,Globals!$J$30:$L$34,3,FALSE)</f>
        <v>1.1704562191085683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117</v>
      </c>
    </row>
    <row r="15" spans="1:18" ht="15" customHeight="1">
      <c r="A15" s="7" t="s">
        <v>19</v>
      </c>
      <c r="B15" s="5">
        <f>VLOOKUP($A15,Globals!$J$30:$L$34,2,FALSE)</f>
        <v>3.1622776601683796E+22</v>
      </c>
      <c r="C15" s="5">
        <f>VLOOKUP($A15,Globals!$J$30:$L$34,3,FALSE)</f>
        <v>1.9507603651809475</v>
      </c>
      <c r="F15" t="s">
        <v>20</v>
      </c>
      <c r="G15">
        <f>VLOOKUP($F15,Globals!$N$30:$P$36,2,FALSE)</f>
        <v>316227766016.83789</v>
      </c>
      <c r="H15">
        <f>VLOOKUP($F15,Globals!$N$30:$P$36,3,FALSE)</f>
        <v>0.39015207303618948</v>
      </c>
    </row>
    <row r="16" spans="1:18" ht="15" customHeight="1">
      <c r="A16" s="7" t="s">
        <v>20</v>
      </c>
      <c r="B16" s="5">
        <f>VLOOKUP($A16,Globals!$J$30:$L$34,2,FALSE)</f>
        <v>316227766016.83789</v>
      </c>
      <c r="C16" s="5">
        <f>VLOOKUP($A16,Globals!$J$30:$L$34,3,FALSE)</f>
        <v>0.39015207303618948</v>
      </c>
      <c r="F16" s="7" t="s">
        <v>44</v>
      </c>
      <c r="G16">
        <f>VLOOKUP($F16,Globals!$A$17:$E$24,4,FALSE)</f>
        <v>1.5</v>
      </c>
      <c r="H16">
        <f>VLOOKUP($F16,Globals!$A$17:$E$24,5,FALSE)</f>
        <v>0.1</v>
      </c>
    </row>
    <row r="17" spans="1:8" ht="15" customHeight="1">
      <c r="A17" s="7" t="s">
        <v>47</v>
      </c>
      <c r="B17" s="5">
        <f>VLOOKUP($A17,Globals!$J$30:$L$34,2,FALSE)</f>
        <v>0.1</v>
      </c>
      <c r="C17" s="5">
        <f>VLOOKUP($A17,Globals!$J$30:$L$34,3,FALSE)</f>
        <v>0</v>
      </c>
      <c r="F17" s="33" t="s">
        <v>61</v>
      </c>
      <c r="G17" s="28">
        <f>PRODUCT(G13:G16)</f>
        <v>4.7434164902525682E+34</v>
      </c>
      <c r="H17" s="28">
        <f>SUM(H13:H16)</f>
        <v>2.8310645112533264</v>
      </c>
    </row>
    <row r="18" spans="1:8" ht="15" customHeight="1">
      <c r="A18" s="7" t="s">
        <v>49</v>
      </c>
      <c r="B18" s="5">
        <f>VLOOKUP($A18,Globals!$A$17:$E$24,4,FALSE)</f>
        <v>0.1</v>
      </c>
      <c r="C18" s="5">
        <f>VLOOKUP($A18,Globals!$A$17:$E$24,5,FALSE)</f>
        <v>1</v>
      </c>
    </row>
    <row r="19" spans="1:8" ht="15" customHeight="1">
      <c r="A19" s="33" t="s">
        <v>61</v>
      </c>
      <c r="B19" s="28">
        <f>PRODUCT(B14:B18)</f>
        <v>3.1622776601683798E+44</v>
      </c>
      <c r="C19" s="28">
        <f>SUM(C13:C18)</f>
        <v>4.5113686573257059</v>
      </c>
    </row>
    <row r="20" spans="1:8" ht="15" customHeight="1">
      <c r="F20" s="1" t="s">
        <v>64</v>
      </c>
    </row>
    <row r="21" spans="1:8" ht="15" customHeight="1">
      <c r="G21" t="s">
        <v>2</v>
      </c>
      <c r="H21" t="s">
        <v>35</v>
      </c>
    </row>
    <row r="22" spans="1:8" ht="15" customHeight="1">
      <c r="A22" s="22" t="s">
        <v>58</v>
      </c>
      <c r="F22" t="s">
        <v>18</v>
      </c>
      <c r="G22">
        <f>VLOOKUP($F22,Globals!$N$30:$P$36,2,FALSE)</f>
        <v>1000000000000</v>
      </c>
      <c r="H22">
        <f>VLOOKUP($F22,Globals!$N$30:$P$36,3,FALSE)</f>
        <v>1.5606082921447579</v>
      </c>
    </row>
    <row r="23" spans="1:8" ht="15" customHeight="1">
      <c r="B23" t="s">
        <v>2</v>
      </c>
      <c r="C23" t="s">
        <v>35</v>
      </c>
      <c r="F23" t="s">
        <v>23</v>
      </c>
      <c r="G23">
        <f>VLOOKUP($F23,Globals!$N$30:$P$36,2,FALSE)</f>
        <v>316227766016837.94</v>
      </c>
      <c r="H23">
        <f>VLOOKUP($F23,Globals!$N$30:$P$36,3,FALSE)</f>
        <v>1.1704562191085683</v>
      </c>
    </row>
    <row r="24" spans="1:8" ht="15" customHeight="1">
      <c r="A24" s="7" t="s">
        <v>18</v>
      </c>
      <c r="B24" s="5">
        <f>VLOOKUP($A24,Globals!$J$30:$L$34,2,FALSE)</f>
        <v>3162277660168.3794</v>
      </c>
      <c r="C24" s="5">
        <f>VLOOKUP($A24,Globals!$J$30:$L$34,3,FALSE)</f>
        <v>1.1704562191085683</v>
      </c>
      <c r="F24" t="s">
        <v>20</v>
      </c>
      <c r="G24">
        <f>VLOOKUP($F24,Globals!$N$30:$P$36,2,FALSE)</f>
        <v>316227766016.83789</v>
      </c>
      <c r="H24">
        <f>VLOOKUP($F24,Globals!$N$30:$P$36,3,FALSE)</f>
        <v>0.39015207303618948</v>
      </c>
    </row>
    <row r="25" spans="1:8" ht="15" customHeight="1">
      <c r="A25" s="7" t="s">
        <v>19</v>
      </c>
      <c r="B25" s="5">
        <f>VLOOKUP($A25,Globals!$J$30:$L$34,2,FALSE)</f>
        <v>3.1622776601683796E+22</v>
      </c>
      <c r="C25" s="5">
        <f>VLOOKUP($A25,Globals!$J$30:$L$34,3,FALSE)</f>
        <v>1.9507603651809475</v>
      </c>
      <c r="F25" s="7" t="s">
        <v>45</v>
      </c>
      <c r="G25">
        <f>VLOOKUP($F25,Globals!$A$17:$E$24,4,FALSE)</f>
        <v>0.2</v>
      </c>
      <c r="H25">
        <f>VLOOKUP($F25,Globals!$A$17:$E$24,5,FALSE)</f>
        <v>0.2</v>
      </c>
    </row>
    <row r="26" spans="1:8" ht="15" customHeight="1">
      <c r="A26" s="7" t="s">
        <v>20</v>
      </c>
      <c r="B26" s="5">
        <f>VLOOKUP($A26,Globals!$J$30:$L$34,2,FALSE)</f>
        <v>316227766016.83789</v>
      </c>
      <c r="C26" s="5">
        <f>VLOOKUP($A26,Globals!$J$30:$L$34,3,FALSE)</f>
        <v>0.39015207303618948</v>
      </c>
      <c r="F26" s="33" t="s">
        <v>61</v>
      </c>
      <c r="G26" s="28">
        <f>PRODUCT(G22:G25)</f>
        <v>2.0000000000000001E+37</v>
      </c>
      <c r="H26" s="28">
        <f>SUM(H22:H25)</f>
        <v>3.321216584289516</v>
      </c>
    </row>
    <row r="27" spans="1:8" ht="15" customHeight="1">
      <c r="A27" s="7" t="s">
        <v>47</v>
      </c>
      <c r="B27" s="5">
        <f>VLOOKUP($A27,Globals!$J$30:$L$34,2,FALSE)</f>
        <v>0.1</v>
      </c>
      <c r="C27" s="5">
        <f>VLOOKUP($A27,Globals!$J$30:$L$34,3,FALSE)</f>
        <v>0</v>
      </c>
    </row>
    <row r="28" spans="1:8" ht="15" customHeight="1">
      <c r="A28" s="7" t="s">
        <v>50</v>
      </c>
      <c r="B28" s="5">
        <f>VLOOKUP($A28,Globals!$A$17:$E$24,4,FALSE)</f>
        <v>1000</v>
      </c>
      <c r="C28" s="5">
        <f>VLOOKUP($A28,Globals!$A$17:$E$24,5,FALSE)</f>
        <v>0.8</v>
      </c>
    </row>
    <row r="29" spans="1:8" ht="15" customHeight="1">
      <c r="A29" s="33" t="s">
        <v>61</v>
      </c>
      <c r="B29" s="28">
        <f>PRODUCT(B24:B28)</f>
        <v>3.1622776601683793E+48</v>
      </c>
      <c r="C29" s="28">
        <f>SUM(C23:C28)</f>
        <v>4.3113686573257057</v>
      </c>
      <c r="F29" s="1" t="s">
        <v>65</v>
      </c>
    </row>
    <row r="30" spans="1:8" ht="15" customHeight="1">
      <c r="G30" t="s">
        <v>2</v>
      </c>
      <c r="H30" t="s">
        <v>35</v>
      </c>
    </row>
    <row r="31" spans="1:8" ht="15" customHeight="1">
      <c r="F31" t="s">
        <v>18</v>
      </c>
      <c r="G31">
        <f>VLOOKUP($F31,Globals!$N$30:$P$36,2,FALSE)</f>
        <v>1000000000000</v>
      </c>
      <c r="H31">
        <f>VLOOKUP($F31,Globals!$N$30:$P$36,3,FALSE)</f>
        <v>1.5606082921447579</v>
      </c>
    </row>
    <row r="32" spans="1:8" ht="15" customHeight="1">
      <c r="F32" t="s">
        <v>63</v>
      </c>
      <c r="G32">
        <f>VLOOKUP($F32,Globals!$N$30:$P$36,2,FALSE)</f>
        <v>1E+19</v>
      </c>
      <c r="H32">
        <f>VLOOKUP($F32,Globals!$N$30:$P$36,3,FALSE)</f>
        <v>1.5606082921447579</v>
      </c>
    </row>
    <row r="33" spans="6:9" ht="15" customHeight="1">
      <c r="F33" t="s">
        <v>20</v>
      </c>
      <c r="G33">
        <f>VLOOKUP($F33,Globals!$N$30:$P$36,2,FALSE)</f>
        <v>316227766016.83789</v>
      </c>
      <c r="H33">
        <f>VLOOKUP($F33,Globals!$N$30:$P$36,3,FALSE)</f>
        <v>0.39015207303618948</v>
      </c>
    </row>
    <row r="34" spans="6:9" ht="15" customHeight="1">
      <c r="F34" s="7" t="s">
        <v>46</v>
      </c>
      <c r="G34">
        <f>VLOOKUP($F34,Globals!$A$17:$E$24,4,FALSE)</f>
        <v>0.02</v>
      </c>
      <c r="H34">
        <f>VLOOKUP($F34,Globals!$A$17:$E$24,5,FALSE)</f>
        <v>0.5</v>
      </c>
    </row>
    <row r="35" spans="6:9" ht="15" customHeight="1">
      <c r="F35" s="33" t="s">
        <v>61</v>
      </c>
      <c r="G35" s="28">
        <f>PRODUCT(G31:G34)</f>
        <v>6.3245553203367579E+40</v>
      </c>
      <c r="H35" s="28">
        <f>SUM(H31:H34)</f>
        <v>4.0113686573257059</v>
      </c>
    </row>
    <row r="38" spans="6:9" ht="15" customHeight="1">
      <c r="F38" s="1" t="s">
        <v>66</v>
      </c>
    </row>
    <row r="39" spans="6:9" ht="15" customHeight="1">
      <c r="G39" t="s">
        <v>2</v>
      </c>
      <c r="H39" t="s">
        <v>35</v>
      </c>
      <c r="I39" t="s">
        <v>32</v>
      </c>
    </row>
    <row r="40" spans="6:9" ht="15" customHeight="1">
      <c r="F40" t="s">
        <v>18</v>
      </c>
      <c r="G40">
        <f>VLOOKUP($F40,Globals!$N$30:$P$36,2,FALSE)</f>
        <v>1000000000000</v>
      </c>
      <c r="H40">
        <f>VLOOKUP($F40,Globals!$N$30:$P$36,3,FALSE)</f>
        <v>1.5606082921447579</v>
      </c>
    </row>
    <row r="41" spans="6:9" ht="15" customHeight="1">
      <c r="F41" t="s">
        <v>20</v>
      </c>
      <c r="G41">
        <f>VLOOKUP($F41,Globals!$N$30:$P$36,2,FALSE)</f>
        <v>316227766016.83789</v>
      </c>
      <c r="H41">
        <f>VLOOKUP($F41,Globals!$N$30:$P$36,3,FALSE)</f>
        <v>0.39015207303618948</v>
      </c>
    </row>
    <row r="42" spans="6:9" ht="15" customHeight="1">
      <c r="F42" t="s">
        <v>63</v>
      </c>
      <c r="G42">
        <f>VLOOKUP($F42,Globals!$N$30:$P$36,2,FALSE)</f>
        <v>1E+19</v>
      </c>
      <c r="H42">
        <f>VLOOKUP($F42,Globals!$N$30:$P$36,3,FALSE)</f>
        <v>1.5606082921447579</v>
      </c>
    </row>
    <row r="43" spans="6:9" ht="15" customHeight="1">
      <c r="F43" t="s">
        <v>67</v>
      </c>
      <c r="G43">
        <f>VLOOKUP($F43,Globals!$N$30:$P$36,2,FALSE)</f>
        <v>3.1622776601683791E-2</v>
      </c>
      <c r="H43">
        <f>VLOOKUP($F43,Globals!$N$30:$P$36,3,FALSE)</f>
        <v>1.1704562191085683</v>
      </c>
    </row>
    <row r="44" spans="6:9" ht="15" customHeight="1">
      <c r="F44" t="s">
        <v>46</v>
      </c>
      <c r="G44">
        <f>VLOOKUP($F44,Globals!$A$17:$E$24,4,FALSE)</f>
        <v>0.02</v>
      </c>
      <c r="H44">
        <f>VLOOKUP($F44,Globals!$A$17:$E$24,5,FALSE)</f>
        <v>0.5</v>
      </c>
      <c r="I44" t="s">
        <v>68</v>
      </c>
    </row>
    <row r="45" spans="6:9" ht="15" customHeight="1">
      <c r="F45" s="33" t="s">
        <v>61</v>
      </c>
      <c r="G45" s="28">
        <f>PRODUCT(G40:G44)</f>
        <v>1.9999999999999996E+39</v>
      </c>
      <c r="H45" s="28">
        <f>SUM(H40:H44)</f>
        <v>5.1818248764342734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A2" sqref="A2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8" t="s">
        <v>185</v>
      </c>
      <c r="F1" s="1" t="s">
        <v>85</v>
      </c>
    </row>
    <row r="2" spans="1:16">
      <c r="B2" t="s">
        <v>0</v>
      </c>
      <c r="C2" t="s">
        <v>1</v>
      </c>
      <c r="G2" t="s">
        <v>2</v>
      </c>
      <c r="H2" t="s">
        <v>35</v>
      </c>
      <c r="I2" t="s">
        <v>114</v>
      </c>
    </row>
    <row r="3" spans="1:16">
      <c r="A3" s="31" t="s">
        <v>129</v>
      </c>
      <c r="B3" s="29">
        <v>50000000000</v>
      </c>
      <c r="C3" s="29">
        <v>1000000000000</v>
      </c>
      <c r="D3" t="s">
        <v>124</v>
      </c>
      <c r="G3">
        <v>1</v>
      </c>
      <c r="H3">
        <f>I3^2</f>
        <v>6.25E-2</v>
      </c>
      <c r="I3">
        <v>0.25</v>
      </c>
    </row>
    <row r="4" spans="1:16">
      <c r="A4" s="5" t="s">
        <v>118</v>
      </c>
      <c r="B4" s="20">
        <f>1000/C3*interest_rate</f>
        <v>5.0000000000000008E-11</v>
      </c>
      <c r="C4" s="20">
        <f>1000/B3*interest_rate</f>
        <v>1.0000000000000001E-9</v>
      </c>
      <c r="F4" s="36" t="s">
        <v>104</v>
      </c>
      <c r="G4" s="37">
        <f>ParetoPosterior(median,alpha,G3,H3)</f>
        <v>1.1679433680105671</v>
      </c>
      <c r="H4" s="5"/>
    </row>
    <row r="5" spans="1:16">
      <c r="A5" s="31" t="s">
        <v>122</v>
      </c>
      <c r="B5" s="16">
        <v>0.1</v>
      </c>
      <c r="C5" s="16">
        <v>0.5</v>
      </c>
      <c r="F5" s="36" t="s">
        <v>115</v>
      </c>
      <c r="G5" s="37">
        <f>LognormPosterior(mu, sigma, G3,H3)</f>
        <v>1</v>
      </c>
      <c r="H5" s="5"/>
    </row>
    <row r="6" spans="1:16">
      <c r="A6" s="31" t="s">
        <v>123</v>
      </c>
      <c r="B6" s="16">
        <v>0.01</v>
      </c>
      <c r="C6" s="16">
        <v>0.1</v>
      </c>
    </row>
    <row r="7" spans="1:16">
      <c r="A7" s="31" t="s">
        <v>125</v>
      </c>
      <c r="B7" s="16">
        <v>8.9999999999999993E-3</v>
      </c>
      <c r="C7" s="16">
        <v>0.09</v>
      </c>
    </row>
    <row r="8" spans="1:16">
      <c r="F8" s="1" t="s">
        <v>116</v>
      </c>
    </row>
    <row r="9" spans="1:16">
      <c r="G9" t="s">
        <v>2</v>
      </c>
      <c r="H9" t="s">
        <v>35</v>
      </c>
      <c r="J9" s="1" t="s">
        <v>154</v>
      </c>
      <c r="K9" t="s">
        <v>2</v>
      </c>
      <c r="L9" t="s">
        <v>35</v>
      </c>
      <c r="N9" s="1" t="s">
        <v>166</v>
      </c>
    </row>
    <row r="10" spans="1:16">
      <c r="F10" t="s">
        <v>122</v>
      </c>
      <c r="G10">
        <f>GeomMean($B$5,$C$5)</f>
        <v>0.22360679774997896</v>
      </c>
      <c r="H10">
        <f>LogVariance($B$5,$C$5)</f>
        <v>0.27270459618181209</v>
      </c>
      <c r="J10" t="s">
        <v>148</v>
      </c>
      <c r="K10">
        <f>VLOOKUP(J10,'EV of Far Future'!$K$11:$M$13,2,FALSE)</f>
        <v>-1.4507469750550418E+40</v>
      </c>
      <c r="L10">
        <f>VLOOKUP(J10,'EV of Far Future'!$K$11:$M$13,3,FALSE)</f>
        <v>3.3021628498185005</v>
      </c>
      <c r="N10" t="s">
        <v>149</v>
      </c>
      <c r="O10">
        <f>VLOOKUP(N10,'EV of Far Future'!$K$11:$M$13,2,FALSE)</f>
        <v>4.7410447820074434E+46</v>
      </c>
      <c r="P10">
        <f>VLOOKUP(N10,'EV of Far Future'!$K$11:$M$13,3,FALSE)</f>
        <v>4.4613686573257061</v>
      </c>
    </row>
    <row r="11" spans="1:16">
      <c r="F11" s="5" t="s">
        <v>123</v>
      </c>
      <c r="G11">
        <f>GeomMean($B$6,$C$6)</f>
        <v>3.1622776601683791E-2</v>
      </c>
      <c r="H11">
        <f>LogVariance($B$6,$C$6)</f>
        <v>0.39015207303618948</v>
      </c>
      <c r="J11" t="s">
        <v>165</v>
      </c>
      <c r="K11">
        <f>PRODUCT($G$10:$G$12)*K10</f>
        <v>-2.293832374886706E+28</v>
      </c>
      <c r="L11">
        <f>SUM($H$10:$H$12)+L10</f>
        <v>4.4726190689270684</v>
      </c>
      <c r="N11" t="s">
        <v>165</v>
      </c>
      <c r="O11">
        <f>PRODUCT($G$10:$G$12)*O10</f>
        <v>7.4962500000000013E+34</v>
      </c>
      <c r="P11">
        <f>SUM($H$10:$H$12)+P10</f>
        <v>5.6318248764342744</v>
      </c>
    </row>
    <row r="12" spans="1:16" ht="20">
      <c r="A12" s="8" t="s">
        <v>69</v>
      </c>
      <c r="F12" t="s">
        <v>118</v>
      </c>
      <c r="G12">
        <f>GEOMEAN($B$4,$C$4)</f>
        <v>2.2360679774997899E-10</v>
      </c>
      <c r="H12">
        <f>LogVariance($B$4,$C$4)</f>
        <v>0.50759954989056688</v>
      </c>
      <c r="J12" s="36" t="s">
        <v>104</v>
      </c>
      <c r="K12" s="37">
        <f>ParetoPosterior(median,alpha,ABS(K11),L11)</f>
        <v>1.1533887460221693E+18</v>
      </c>
      <c r="N12" s="36" t="s">
        <v>104</v>
      </c>
      <c r="O12" s="37">
        <f>ParetoPosterior(median,alpha,ABS(O11),P11)</f>
        <v>8.0739872019393953E+21</v>
      </c>
    </row>
    <row r="13" spans="1:16">
      <c r="A13" t="s">
        <v>167</v>
      </c>
      <c r="F13" t="s">
        <v>147</v>
      </c>
      <c r="G13">
        <f>VLOOKUP(F13,'EV of Far Future'!$K$11:$M$13,2,FALSE)</f>
        <v>4.7410433312604684E+46</v>
      </c>
      <c r="H13">
        <f>VLOOKUP(F13,'EV of Far Future'!$K$11:$M$13,3,FALSE)</f>
        <v>3.3753450346358744</v>
      </c>
      <c r="J13" s="36" t="s">
        <v>115</v>
      </c>
      <c r="K13" s="37">
        <f>LognormPosterior(mu, sigma, ABS(K11),L11)</f>
        <v>31.718696607388839</v>
      </c>
      <c r="N13" s="36" t="s">
        <v>115</v>
      </c>
      <c r="O13" s="37">
        <f>LognormPosterior(mu, sigma, ABS(O11),P11)</f>
        <v>30.360851068766841</v>
      </c>
    </row>
    <row r="14" spans="1:16">
      <c r="A14" s="32" t="s">
        <v>112</v>
      </c>
      <c r="B14" s="6">
        <f>G15-G26</f>
        <v>2.557111859170027E+23</v>
      </c>
      <c r="F14" s="30" t="s">
        <v>61</v>
      </c>
      <c r="G14" s="28">
        <f>PRODUCT(G10:G13)</f>
        <v>7.4962477061676265E+34</v>
      </c>
      <c r="H14" s="28">
        <f>SUM(H10:H13)</f>
        <v>4.5458012537444432</v>
      </c>
    </row>
    <row r="15" spans="1:16">
      <c r="A15" s="32" t="s">
        <v>113</v>
      </c>
      <c r="B15" s="6">
        <f>G16-G27</f>
        <v>0.36020771207202529</v>
      </c>
      <c r="F15" s="36" t="s">
        <v>104</v>
      </c>
      <c r="G15" s="37">
        <f>ParetoPosterior(median,alpha,G14,H14)</f>
        <v>2.5571118591702455E+24</v>
      </c>
    </row>
    <row r="16" spans="1:16">
      <c r="F16" s="36" t="s">
        <v>115</v>
      </c>
      <c r="G16" s="37">
        <f>LognormPosterior(mu, sigma, G14,H14)</f>
        <v>65.764025078935475</v>
      </c>
    </row>
    <row r="17" spans="1:16">
      <c r="A17" t="s">
        <v>168</v>
      </c>
    </row>
    <row r="18" spans="1:16">
      <c r="A18" s="32" t="s">
        <v>112</v>
      </c>
      <c r="B18" s="6">
        <f>(O12-K12)-(O23-K23)</f>
        <v>8.0728337845520223E+20</v>
      </c>
    </row>
    <row r="19" spans="1:16">
      <c r="A19" s="32" t="s">
        <v>113</v>
      </c>
      <c r="B19" s="6">
        <f>(O13-K13)-(O24-K24)</f>
        <v>-4.0758014557656708E-2</v>
      </c>
      <c r="F19" s="1" t="s">
        <v>126</v>
      </c>
    </row>
    <row r="20" spans="1:16">
      <c r="G20" t="s">
        <v>2</v>
      </c>
      <c r="H20" t="s">
        <v>35</v>
      </c>
      <c r="J20" s="1" t="s">
        <v>154</v>
      </c>
      <c r="K20" t="s">
        <v>2</v>
      </c>
      <c r="L20" t="s">
        <v>35</v>
      </c>
      <c r="N20" s="1" t="s">
        <v>166</v>
      </c>
    </row>
    <row r="21" spans="1:16">
      <c r="F21" t="s">
        <v>122</v>
      </c>
      <c r="G21">
        <f>GEOMEAN($B$5,$C$5)</f>
        <v>0.22360679774997896</v>
      </c>
      <c r="H21">
        <f>LogVariance($B$5,$C$5)</f>
        <v>0.27270459618181209</v>
      </c>
      <c r="J21" t="s">
        <v>148</v>
      </c>
      <c r="K21">
        <f>VLOOKUP(J21,'EV of Far Future'!$K$11:$M$13,2,FALSE)</f>
        <v>-1.4507469750550418E+40</v>
      </c>
      <c r="L21">
        <f>VLOOKUP(J21,'EV of Far Future'!$K$11:$M$13,3,FALSE)</f>
        <v>3.3021628498185005</v>
      </c>
      <c r="N21" t="s">
        <v>149</v>
      </c>
      <c r="O21">
        <f>VLOOKUP(N21,'EV of Far Future'!$K$11:$M$13,2,FALSE)</f>
        <v>4.7410447820074434E+46</v>
      </c>
      <c r="P21">
        <f>VLOOKUP(N21,'EV of Far Future'!$K$11:$M$13,3,FALSE)</f>
        <v>4.4613686573257061</v>
      </c>
    </row>
    <row r="22" spans="1:16">
      <c r="F22" s="5" t="s">
        <v>125</v>
      </c>
      <c r="G22">
        <f>GEOMEAN($B$7,$C$7)</f>
        <v>2.8460498941515412E-2</v>
      </c>
      <c r="H22">
        <f>LogVariance($B$7,$C$7)</f>
        <v>0.39015207303618948</v>
      </c>
      <c r="J22" t="s">
        <v>165</v>
      </c>
      <c r="K22">
        <f>PRODUCT($G$21:$G$23)*K21</f>
        <v>-2.064449137398035E+28</v>
      </c>
      <c r="L22">
        <f>SUM($H$21:$H$23)+L21</f>
        <v>4.4726190689270684</v>
      </c>
      <c r="N22" t="s">
        <v>165</v>
      </c>
      <c r="O22">
        <f>PRODUCT($G$21:$G$23)*O21</f>
        <v>6.7466250000000006E+34</v>
      </c>
      <c r="P22">
        <f>SUM($H$21:$H$23)+P21</f>
        <v>5.6318248764342744</v>
      </c>
    </row>
    <row r="23" spans="1:16">
      <c r="F23" t="s">
        <v>118</v>
      </c>
      <c r="G23">
        <f>GEOMEAN($B$4,$C$4)</f>
        <v>2.2360679774997899E-10</v>
      </c>
      <c r="H23">
        <f>LogVariance($B$4,$C$4)</f>
        <v>0.50759954989056688</v>
      </c>
      <c r="J23" s="36" t="s">
        <v>104</v>
      </c>
      <c r="K23" s="37">
        <f>ParetoPosterior(median,alpha,ABS(K22),L22)</f>
        <v>1.0380498779467721E+18</v>
      </c>
      <c r="N23" s="36" t="s">
        <v>104</v>
      </c>
      <c r="O23" s="37">
        <f>ParetoPosterior(median,alpha,ABS(O22),P22)</f>
        <v>7.2665884846161176E+21</v>
      </c>
    </row>
    <row r="24" spans="1:16">
      <c r="F24" t="s">
        <v>147</v>
      </c>
      <c r="G24">
        <f>VLOOKUP(F24,'EV of Far Future'!$K$11:$M$13,2,FALSE)</f>
        <v>4.7410433312604684E+46</v>
      </c>
      <c r="H24">
        <f>VLOOKUP(F24,'EV of Far Future'!$K$11:$M$13,3,FALSE)</f>
        <v>3.3753450346358744</v>
      </c>
      <c r="J24" s="36" t="s">
        <v>115</v>
      </c>
      <c r="K24" s="37">
        <f>LognormPosterior(mu, sigma, ABS(K22),L22)</f>
        <v>31.542279884786176</v>
      </c>
      <c r="N24" s="36" t="s">
        <v>115</v>
      </c>
      <c r="O24" s="37">
        <f>LognormPosterior(mu, sigma, ABS(O22),P22)</f>
        <v>30.225192360721834</v>
      </c>
    </row>
    <row r="25" spans="1:16">
      <c r="F25" s="30" t="s">
        <v>61</v>
      </c>
      <c r="G25" s="28">
        <f>PRODUCT(G21:G24)</f>
        <v>6.7466229355508639E+34</v>
      </c>
      <c r="H25" s="28">
        <f>SUM(H21:H24)</f>
        <v>4.5458012537444432</v>
      </c>
    </row>
    <row r="26" spans="1:16">
      <c r="F26" s="36" t="s">
        <v>104</v>
      </c>
      <c r="G26" s="37">
        <f>ParetoPosterior(median,alpha,G25,H25)</f>
        <v>2.3014006732532428E+24</v>
      </c>
    </row>
    <row r="27" spans="1:16">
      <c r="F27" s="36" t="s">
        <v>115</v>
      </c>
      <c r="G27" s="37">
        <f>LognormPosterior(mu, sigma, G25,H25)</f>
        <v>65.40381736686345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46"/>
  <sheetViews>
    <sheetView workbookViewId="0">
      <selection activeCell="A2" sqref="A2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</cols>
  <sheetData>
    <row r="1" spans="1:14" ht="20">
      <c r="A1" s="8" t="s">
        <v>185</v>
      </c>
      <c r="G1" s="1" t="s">
        <v>85</v>
      </c>
      <c r="L1" s="27" t="s">
        <v>86</v>
      </c>
    </row>
    <row r="2" spans="1:14">
      <c r="B2" t="s">
        <v>0</v>
      </c>
      <c r="C2" t="s">
        <v>1</v>
      </c>
      <c r="D2" t="s">
        <v>2</v>
      </c>
      <c r="E2" t="s">
        <v>35</v>
      </c>
      <c r="H2" s="5" t="s">
        <v>2</v>
      </c>
      <c r="I2" s="5" t="s">
        <v>3</v>
      </c>
      <c r="M2" t="s">
        <v>2</v>
      </c>
      <c r="N2" t="s">
        <v>88</v>
      </c>
    </row>
    <row r="3" spans="1:14">
      <c r="A3" s="31" t="s">
        <v>174</v>
      </c>
      <c r="B3" s="16">
        <v>0.7</v>
      </c>
      <c r="C3" s="29">
        <v>13</v>
      </c>
      <c r="F3" s="9" t="s">
        <v>180</v>
      </c>
      <c r="G3" t="s">
        <v>91</v>
      </c>
      <c r="H3">
        <f>D6</f>
        <v>10449.880382090505</v>
      </c>
      <c r="I3">
        <f>E6</f>
        <v>0.54378773604345199</v>
      </c>
      <c r="L3" s="5" t="s">
        <v>84</v>
      </c>
      <c r="M3">
        <f>VLOOKUP($L3,'EV of Far Future'!$O$3:$P$10,2,FALSE)</f>
        <v>0.16799999999999998</v>
      </c>
      <c r="N3">
        <v>0</v>
      </c>
    </row>
    <row r="4" spans="1:14">
      <c r="A4" s="31" t="s">
        <v>175</v>
      </c>
      <c r="B4" s="16">
        <v>3</v>
      </c>
      <c r="C4" s="29">
        <v>4</v>
      </c>
      <c r="D4">
        <f>GeomMean(B4,C4)</f>
        <v>3.4641016151377544</v>
      </c>
      <c r="E4">
        <f>LogVariance(B4,C4)</f>
        <v>4.8745107090250664E-2</v>
      </c>
      <c r="G4" t="s">
        <v>44</v>
      </c>
      <c r="H4">
        <f>VLOOKUP($G4,Globals!A17:E24,4,FALSE)</f>
        <v>1.5</v>
      </c>
      <c r="I4">
        <f>VLOOKUP($G4,Globals!A17:E24,5,FALSE)</f>
        <v>0.1</v>
      </c>
      <c r="L4" s="5" t="s">
        <v>93</v>
      </c>
      <c r="M4">
        <v>1</v>
      </c>
      <c r="N4">
        <v>0</v>
      </c>
    </row>
    <row r="5" spans="1:14">
      <c r="A5" t="s">
        <v>91</v>
      </c>
      <c r="B5">
        <f>B3*1000</f>
        <v>700</v>
      </c>
      <c r="C5">
        <f>C3*1000</f>
        <v>13000</v>
      </c>
      <c r="D5">
        <f>GeomMean(B5,C5)</f>
        <v>3016.6206257996714</v>
      </c>
      <c r="E5">
        <f>LogVariance(B5,C5)</f>
        <v>0.49504262895320128</v>
      </c>
      <c r="G5" s="30" t="s">
        <v>61</v>
      </c>
      <c r="H5" s="28">
        <f>PRODUCT(H3:H4)</f>
        <v>15674.820573135758</v>
      </c>
      <c r="I5" s="28">
        <f>SUM(I3:I4)</f>
        <v>0.64378773604345196</v>
      </c>
      <c r="L5" s="5" t="s">
        <v>76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90</v>
      </c>
      <c r="D6">
        <f>PRODUCT(D4:D5)</f>
        <v>10449.880382090505</v>
      </c>
      <c r="E6">
        <f>SUM(E4:E5)</f>
        <v>0.54378773604345199</v>
      </c>
      <c r="G6" s="36" t="s">
        <v>104</v>
      </c>
      <c r="H6" s="37">
        <f>ParetoPosterior(median,alpha,H5,I5)</f>
        <v>583.53960189960549</v>
      </c>
      <c r="L6" s="5" t="s">
        <v>89</v>
      </c>
      <c r="M6">
        <f>1/factory_farmed_animals</f>
        <v>5.0000000000000002E-11</v>
      </c>
      <c r="N6">
        <v>0</v>
      </c>
    </row>
    <row r="7" spans="1:14">
      <c r="A7" s="31" t="s">
        <v>143</v>
      </c>
      <c r="B7" s="16">
        <v>0.01</v>
      </c>
      <c r="C7" s="16">
        <v>0.01</v>
      </c>
      <c r="D7">
        <f>GeomMean(B7,C7)</f>
        <v>0.01</v>
      </c>
      <c r="E7">
        <f>LogVariance(B7,C7)</f>
        <v>0</v>
      </c>
      <c r="F7" t="s">
        <v>144</v>
      </c>
      <c r="G7" s="36" t="s">
        <v>92</v>
      </c>
      <c r="H7" s="38">
        <f>LognormPosterior(mu, sigma, H5,I5)</f>
        <v>14.908491216195802</v>
      </c>
      <c r="L7" s="5" t="s">
        <v>128</v>
      </c>
      <c r="M7">
        <f>$D$8</f>
        <v>626.99282292543035</v>
      </c>
      <c r="N7">
        <f>$E$8</f>
        <v>0.54378773604345199</v>
      </c>
    </row>
    <row r="8" spans="1:14">
      <c r="A8" t="s">
        <v>128</v>
      </c>
      <c r="D8">
        <f>D6*(interest_rate+D7)</f>
        <v>626.99282292543035</v>
      </c>
      <c r="E8">
        <f>E6+E7</f>
        <v>0.54378773604345199</v>
      </c>
      <c r="L8" s="30" t="s">
        <v>61</v>
      </c>
      <c r="M8" s="28">
        <f>PRODUCT(M3:M7)</f>
        <v>2.4982340002489752E+26</v>
      </c>
      <c r="N8" s="28">
        <f>SUM(N3:N7)</f>
        <v>3.3748522472967784</v>
      </c>
    </row>
    <row r="9" spans="1:14">
      <c r="L9" s="36" t="s">
        <v>104</v>
      </c>
      <c r="M9" s="37">
        <f>ParetoPosterior(median,alpha,M8,N8)</f>
        <v>4.2339784090607196E+18</v>
      </c>
    </row>
    <row r="10" spans="1:14">
      <c r="L10" s="36" t="s">
        <v>92</v>
      </c>
      <c r="M10" s="38">
        <f>LognormPosterior(mu, sigma, M8,N8)</f>
        <v>66.160781760692174</v>
      </c>
    </row>
    <row r="11" spans="1:14" ht="20">
      <c r="A11" s="8" t="s">
        <v>69</v>
      </c>
      <c r="M11" s="2"/>
    </row>
    <row r="12" spans="1:14">
      <c r="A12" s="32" t="s">
        <v>112</v>
      </c>
      <c r="B12" s="6">
        <f>H6+M9+H21+H33+H45-(M21+M33+M45)</f>
        <v>5.9159760306759061E+20</v>
      </c>
      <c r="M12" s="26"/>
    </row>
    <row r="13" spans="1:14">
      <c r="A13" s="32" t="s">
        <v>113</v>
      </c>
      <c r="B13" s="6">
        <f>H7+M10+H22+H34+H46-(M22+M34+M46)</f>
        <v>88.936043981739687</v>
      </c>
      <c r="G13" s="1" t="s">
        <v>95</v>
      </c>
      <c r="L13" s="1" t="s">
        <v>109</v>
      </c>
      <c r="N13" s="5"/>
    </row>
    <row r="14" spans="1:14">
      <c r="H14" t="s">
        <v>2</v>
      </c>
      <c r="I14" t="s">
        <v>88</v>
      </c>
      <c r="L14" s="5"/>
      <c r="M14" s="5" t="s">
        <v>2</v>
      </c>
      <c r="N14" s="5" t="s">
        <v>35</v>
      </c>
    </row>
    <row r="15" spans="1:14">
      <c r="G15" t="s">
        <v>97</v>
      </c>
      <c r="H15">
        <f>VLOOKUP($G15,'EV of Far Future'!$O$3:$P$10,2,FALSE)</f>
        <v>0.22399999999999998</v>
      </c>
      <c r="I15">
        <v>0</v>
      </c>
      <c r="L15" t="s">
        <v>97</v>
      </c>
      <c r="M15">
        <f>VLOOKUP($G15,'EV of Far Future'!$O$3:$P$10,2,FALSE)</f>
        <v>0.22399999999999998</v>
      </c>
      <c r="N15">
        <v>0</v>
      </c>
    </row>
    <row r="16" spans="1:14">
      <c r="G16" s="5" t="s">
        <v>93</v>
      </c>
      <c r="H16" s="3">
        <v>0.1</v>
      </c>
      <c r="I16">
        <v>0</v>
      </c>
      <c r="J16" t="s">
        <v>94</v>
      </c>
      <c r="L16" s="5" t="s">
        <v>110</v>
      </c>
      <c r="M16" s="3">
        <v>0.04</v>
      </c>
      <c r="N16">
        <v>0</v>
      </c>
    </row>
    <row r="17" spans="2:14">
      <c r="G17" s="5" t="s">
        <v>78</v>
      </c>
      <c r="H17">
        <f>VLOOKUP($G17,'EV of Far Future'!$K$3:$N$10,2,FALSE)</f>
        <v>2.0000000000000001E+37</v>
      </c>
      <c r="I17">
        <f>VLOOKUP($G17,'EV of Far Future'!$K$3:$N$10,3,FALSE)</f>
        <v>3.321216584289516</v>
      </c>
      <c r="L17" s="5" t="s">
        <v>78</v>
      </c>
      <c r="M17">
        <f>VLOOKUP($G17,'EV of Far Future'!$K$3:$N$10,2,FALSE)</f>
        <v>2.0000000000000001E+37</v>
      </c>
      <c r="N17">
        <f>VLOOKUP($G17,'EV of Far Future'!$K$3:$N$10,3,FALSE)</f>
        <v>3.321216584289516</v>
      </c>
    </row>
    <row r="18" spans="2:14">
      <c r="G18" s="5" t="s">
        <v>89</v>
      </c>
      <c r="H18">
        <f>1/factory_farmed_animals</f>
        <v>5.0000000000000002E-11</v>
      </c>
      <c r="I18">
        <v>0</v>
      </c>
      <c r="L18" s="5" t="s">
        <v>89</v>
      </c>
      <c r="M18">
        <f>1/factory_farmed_animals</f>
        <v>5.0000000000000002E-11</v>
      </c>
      <c r="N18">
        <v>0</v>
      </c>
    </row>
    <row r="19" spans="2:14">
      <c r="G19" s="5" t="s">
        <v>128</v>
      </c>
      <c r="H19">
        <f>$D$8</f>
        <v>626.99282292543035</v>
      </c>
      <c r="I19">
        <f>$E$8</f>
        <v>0.54378773604345199</v>
      </c>
      <c r="L19" s="5" t="s">
        <v>128</v>
      </c>
      <c r="M19">
        <f>$D$8</f>
        <v>626.99282292543035</v>
      </c>
      <c r="N19">
        <f>$E$8</f>
        <v>0.54378773604345199</v>
      </c>
    </row>
    <row r="20" spans="2:14">
      <c r="G20" s="30" t="s">
        <v>61</v>
      </c>
      <c r="H20" s="28">
        <f>PRODUCT(H15:H19)</f>
        <v>1.4044639233529641E+28</v>
      </c>
      <c r="I20" s="28">
        <f>SUM(I15:I19)</f>
        <v>3.865004320332968</v>
      </c>
      <c r="L20" s="30" t="s">
        <v>61</v>
      </c>
      <c r="M20" s="28">
        <f>PRODUCT(M15:M19)</f>
        <v>5.6178556934118561E+27</v>
      </c>
      <c r="N20" s="28">
        <f>SUM(N15:N19)</f>
        <v>3.865004320332968</v>
      </c>
    </row>
    <row r="21" spans="2:14">
      <c r="B21" s="4"/>
      <c r="G21" s="36" t="s">
        <v>104</v>
      </c>
      <c r="H21" s="37">
        <f>ParetoPosterior(median,alpha,H20,I20)</f>
        <v>1.7701466830544269E+19</v>
      </c>
      <c r="L21" s="36" t="s">
        <v>104</v>
      </c>
      <c r="M21" s="37">
        <f>ParetoPosterior(median,alpha,M20,N20)</f>
        <v>7.0805867342201641E+18</v>
      </c>
    </row>
    <row r="22" spans="2:14">
      <c r="G22" s="36" t="s">
        <v>92</v>
      </c>
      <c r="H22" s="38">
        <f>LognormPosterior(mu, sigma, H20,I20)</f>
        <v>51.292459696578128</v>
      </c>
      <c r="L22" s="36" t="s">
        <v>92</v>
      </c>
      <c r="M22" s="38">
        <f>LognormPosterior(mu, sigma, M20,N20)</f>
        <v>48.515148610564083</v>
      </c>
    </row>
    <row r="25" spans="2:14">
      <c r="G25" s="1" t="s">
        <v>108</v>
      </c>
      <c r="L25" s="1" t="s">
        <v>111</v>
      </c>
    </row>
    <row r="26" spans="2:14">
      <c r="B26" s="5"/>
      <c r="C26" s="5"/>
      <c r="D26" s="5"/>
      <c r="H26" t="s">
        <v>2</v>
      </c>
      <c r="I26" t="s">
        <v>88</v>
      </c>
      <c r="M26" t="s">
        <v>2</v>
      </c>
      <c r="N26" t="s">
        <v>88</v>
      </c>
    </row>
    <row r="27" spans="2:14">
      <c r="D27" s="5"/>
      <c r="G27" t="s">
        <v>98</v>
      </c>
      <c r="H27">
        <f>VLOOKUP($G27,'EV of Far Future'!$O$3:$P$10,2,FALSE)</f>
        <v>0.22399999999999998</v>
      </c>
      <c r="I27">
        <v>0</v>
      </c>
      <c r="L27" t="s">
        <v>98</v>
      </c>
      <c r="M27">
        <f>VLOOKUP($G27,'EV of Far Future'!$O$3:$P$10,2,FALSE)</f>
        <v>0.22399999999999998</v>
      </c>
      <c r="N27">
        <v>0</v>
      </c>
    </row>
    <row r="28" spans="2:14">
      <c r="B28" s="4"/>
      <c r="D28" s="5"/>
      <c r="G28" s="5" t="s">
        <v>93</v>
      </c>
      <c r="H28" s="3">
        <v>0.05</v>
      </c>
      <c r="I28">
        <v>0</v>
      </c>
      <c r="L28" s="5" t="s">
        <v>110</v>
      </c>
      <c r="M28" s="3">
        <v>0.01</v>
      </c>
      <c r="N28">
        <v>0</v>
      </c>
    </row>
    <row r="29" spans="2:14">
      <c r="D29" s="5"/>
      <c r="G29" s="5" t="s">
        <v>79</v>
      </c>
      <c r="H29">
        <f>VLOOKUP($G29,'EV of Far Future'!$K$3:$N$10,2,FALSE)</f>
        <v>6.3245553203367579E+40</v>
      </c>
      <c r="I29">
        <f>VLOOKUP($G29,'EV of Far Future'!$K$3:$N$10,3,FALSE)</f>
        <v>4.0113686573257059</v>
      </c>
      <c r="L29" s="5" t="s">
        <v>79</v>
      </c>
      <c r="M29">
        <f>VLOOKUP($G29,'EV of Far Future'!$K$3:$N$10,2,FALSE)</f>
        <v>6.3245553203367579E+40</v>
      </c>
      <c r="N29">
        <f>VLOOKUP($G29,'EV of Far Future'!$K$3:$N$10,3,FALSE)</f>
        <v>4.0113686573257059</v>
      </c>
    </row>
    <row r="30" spans="2:14">
      <c r="G30" s="5" t="s">
        <v>89</v>
      </c>
      <c r="H30">
        <f>1/factory_farmed_animals</f>
        <v>5.0000000000000002E-11</v>
      </c>
      <c r="I30">
        <v>0</v>
      </c>
      <c r="L30" s="5" t="s">
        <v>89</v>
      </c>
      <c r="M30">
        <f>1/factory_farmed_animals</f>
        <v>5.0000000000000002E-11</v>
      </c>
      <c r="N30">
        <v>0</v>
      </c>
    </row>
    <row r="31" spans="2:14">
      <c r="G31" s="5" t="s">
        <v>128</v>
      </c>
      <c r="H31">
        <f>$D$8</f>
        <v>626.99282292543035</v>
      </c>
      <c r="I31">
        <f>$E$8</f>
        <v>0.54378773604345199</v>
      </c>
      <c r="L31" s="5" t="s">
        <v>128</v>
      </c>
      <c r="M31">
        <f>$D$8</f>
        <v>626.99282292543035</v>
      </c>
      <c r="N31">
        <f>$E$8</f>
        <v>0.54378773604345199</v>
      </c>
    </row>
    <row r="32" spans="2:14">
      <c r="G32" s="30" t="s">
        <v>61</v>
      </c>
      <c r="H32" s="28">
        <f>PRODUCT(H27:H31)</f>
        <v>2.2206524446657563E+31</v>
      </c>
      <c r="I32" s="28">
        <f>SUM(I27:I31)</f>
        <v>4.5551563933691579</v>
      </c>
      <c r="L32" s="30" t="s">
        <v>61</v>
      </c>
      <c r="M32" s="28">
        <f>PRODUCT(M27:M31)</f>
        <v>4.4413048893315121E+30</v>
      </c>
      <c r="N32" s="28">
        <f>SUM(N27:N31)</f>
        <v>4.5551563933691579</v>
      </c>
    </row>
    <row r="33" spans="7:14">
      <c r="G33" s="36" t="s">
        <v>104</v>
      </c>
      <c r="H33" s="37">
        <f>ParetoPosterior(median,alpha,H32,I32)</f>
        <v>7.2085079985890289E+20</v>
      </c>
      <c r="L33" s="36" t="s">
        <v>104</v>
      </c>
      <c r="M33" s="37">
        <f>ParetoPosterior(median,alpha,M32,N32)</f>
        <v>1.4417016007166375E+20</v>
      </c>
    </row>
    <row r="34" spans="7:14">
      <c r="G34" s="36" t="s">
        <v>92</v>
      </c>
      <c r="H34" s="38">
        <f>LognormPosterior(mu, sigma, H32,I32)</f>
        <v>42.744203608035484</v>
      </c>
      <c r="L34" s="36" t="s">
        <v>92</v>
      </c>
      <c r="M34" s="38">
        <f>LognormPosterior(mu, sigma, M32,N32)</f>
        <v>39.310775181583089</v>
      </c>
    </row>
    <row r="37" spans="7:14">
      <c r="G37" s="1" t="s">
        <v>103</v>
      </c>
      <c r="L37" s="1" t="s">
        <v>103</v>
      </c>
    </row>
    <row r="38" spans="7:14">
      <c r="H38" t="s">
        <v>2</v>
      </c>
      <c r="I38" t="s">
        <v>35</v>
      </c>
      <c r="M38" t="s">
        <v>2</v>
      </c>
      <c r="N38" t="s">
        <v>35</v>
      </c>
    </row>
    <row r="39" spans="7:14">
      <c r="G39" t="s">
        <v>99</v>
      </c>
      <c r="H39">
        <f>VLOOKUP($G39,'EV of Far Future'!$O$3:$P$10,2,FALSE)</f>
        <v>0.16799999999999998</v>
      </c>
      <c r="I39">
        <v>0</v>
      </c>
      <c r="L39" t="s">
        <v>99</v>
      </c>
      <c r="M39">
        <f>VLOOKUP($G39,'EV of Far Future'!$O$3:$P$10,2,FALSE)</f>
        <v>0.16799999999999998</v>
      </c>
      <c r="N39">
        <v>0</v>
      </c>
    </row>
    <row r="40" spans="7:14">
      <c r="G40" s="5" t="s">
        <v>93</v>
      </c>
      <c r="H40" s="3">
        <v>0.1</v>
      </c>
      <c r="I40">
        <v>0</v>
      </c>
      <c r="L40" s="5" t="s">
        <v>110</v>
      </c>
      <c r="M40" s="3">
        <v>0.01</v>
      </c>
      <c r="N40">
        <v>0</v>
      </c>
    </row>
    <row r="41" spans="7:14">
      <c r="G41" s="5" t="s">
        <v>80</v>
      </c>
      <c r="H41">
        <f>VLOOKUP($G41,'EV of Far Future'!$K$3:$N$10,2,FALSE)</f>
        <v>1.9999999999999996E+39</v>
      </c>
      <c r="I41">
        <f>VLOOKUP($G41,'EV of Far Future'!$K$3:$N$10,3,FALSE)</f>
        <v>5.1818248764342734</v>
      </c>
      <c r="L41" s="5" t="s">
        <v>80</v>
      </c>
      <c r="M41">
        <f>VLOOKUP($G41,'EV of Far Future'!$K$3:$N$10,2,FALSE)</f>
        <v>1.9999999999999996E+39</v>
      </c>
      <c r="N41">
        <f>VLOOKUP($G41,'EV of Far Future'!$K$3:$N$10,3,FALSE)</f>
        <v>5.1818248764342734</v>
      </c>
    </row>
    <row r="42" spans="7:14">
      <c r="G42" s="5" t="s">
        <v>89</v>
      </c>
      <c r="H42">
        <f>1/factory_farmed_animals</f>
        <v>5.0000000000000002E-11</v>
      </c>
      <c r="I42">
        <v>0</v>
      </c>
      <c r="L42" s="5" t="s">
        <v>89</v>
      </c>
      <c r="M42">
        <f>1/factory_farmed_animals</f>
        <v>5.0000000000000002E-11</v>
      </c>
      <c r="N42">
        <v>0</v>
      </c>
    </row>
    <row r="43" spans="7:14">
      <c r="G43" s="5" t="s">
        <v>128</v>
      </c>
      <c r="H43">
        <f>$D$8</f>
        <v>626.99282292543035</v>
      </c>
      <c r="I43">
        <f>$E$8</f>
        <v>0.54378773604345199</v>
      </c>
      <c r="L43" s="5" t="s">
        <v>128</v>
      </c>
      <c r="M43">
        <f>$D$8</f>
        <v>626.99282292543035</v>
      </c>
      <c r="N43">
        <f>$E$8</f>
        <v>0.54378773604345199</v>
      </c>
    </row>
    <row r="44" spans="7:14">
      <c r="G44" s="30" t="s">
        <v>61</v>
      </c>
      <c r="H44" s="28">
        <f>PRODUCT(H39:H43)</f>
        <v>1.0533479425147227E+30</v>
      </c>
      <c r="I44" s="28">
        <f>SUM(I39:I43)</f>
        <v>5.7256126124777253</v>
      </c>
      <c r="L44" s="30" t="s">
        <v>61</v>
      </c>
      <c r="M44" s="28">
        <f>PRODUCT(M39:M43)</f>
        <v>1.0533479425147228E+29</v>
      </c>
      <c r="N44" s="28">
        <f>SUM(N39:N43)</f>
        <v>5.7256126124777253</v>
      </c>
    </row>
    <row r="45" spans="7:14">
      <c r="G45" s="36" t="s">
        <v>104</v>
      </c>
      <c r="H45" s="37">
        <f>ParetoPosterior(median,alpha,H44,I44)</f>
        <v>6.9007410461953376E+16</v>
      </c>
      <c r="L45" s="36" t="s">
        <v>104</v>
      </c>
      <c r="M45" s="37">
        <f>ParetoPosterior(median,alpha,M44,N44)</f>
        <v>6902635495317148</v>
      </c>
    </row>
    <row r="46" spans="7:14">
      <c r="G46" s="36" t="s">
        <v>92</v>
      </c>
      <c r="H46" s="38">
        <f>LognormPosterior(mu, sigma, H44,I44)</f>
        <v>18.032077820277262</v>
      </c>
      <c r="L46" s="36" t="s">
        <v>92</v>
      </c>
      <c r="M46" s="38">
        <f>LognormPosterior(mu, sigma, M44,N44)</f>
        <v>16.376046327891999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20"/>
  <sheetViews>
    <sheetView tabSelected="1" workbookViewId="0">
      <selection activeCell="G20" sqref="G20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4" width="12.1640625" bestFit="1" customWidth="1"/>
  </cols>
  <sheetData>
    <row r="1" spans="1:15">
      <c r="A1" s="1" t="s">
        <v>150</v>
      </c>
      <c r="B1" t="s">
        <v>186</v>
      </c>
      <c r="G1" s="1" t="s">
        <v>145</v>
      </c>
      <c r="H1" t="s">
        <v>186</v>
      </c>
      <c r="M1" s="1" t="s">
        <v>156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31" t="s">
        <v>137</v>
      </c>
      <c r="B3" s="16">
        <v>70000</v>
      </c>
      <c r="C3" s="16">
        <v>150000</v>
      </c>
      <c r="G3" s="31" t="s">
        <v>130</v>
      </c>
      <c r="H3" s="16">
        <v>0.03</v>
      </c>
      <c r="I3" s="16">
        <v>0.3</v>
      </c>
      <c r="J3">
        <f>GeomMean(H3,I3)</f>
        <v>9.4868329805051374E-2</v>
      </c>
      <c r="K3">
        <f>LogVariance(H3,I3)</f>
        <v>0.39015207303618948</v>
      </c>
      <c r="L3" t="s">
        <v>181</v>
      </c>
      <c r="M3" s="5" t="s">
        <v>147</v>
      </c>
      <c r="N3">
        <f>ABS(VLOOKUP(M3,'EV of Far Future'!$K$11:$M$13,2,FALSE))</f>
        <v>4.7410433312604684E+46</v>
      </c>
      <c r="O3">
        <f>VLOOKUP(M3,'EV of Far Future'!$K$11:$M$13,3,FALSE)</f>
        <v>3.3753450346358744</v>
      </c>
    </row>
    <row r="4" spans="1:15">
      <c r="A4" t="s">
        <v>138</v>
      </c>
      <c r="B4">
        <f>1/C3</f>
        <v>6.6666666666666666E-6</v>
      </c>
      <c r="C4">
        <f>1/B3</f>
        <v>1.4285714285714285E-5</v>
      </c>
      <c r="D4">
        <f>GeomMean(B4,C4)</f>
        <v>9.7590007294853309E-6</v>
      </c>
      <c r="E4">
        <f>LogVariance(B4,C4)</f>
        <v>0.12913769056993327</v>
      </c>
      <c r="G4" s="31" t="s">
        <v>135</v>
      </c>
      <c r="H4" s="16">
        <v>200</v>
      </c>
      <c r="I4" s="16">
        <v>10000</v>
      </c>
      <c r="M4" s="30" t="s">
        <v>61</v>
      </c>
      <c r="N4" s="28">
        <f>N3*$J$20</f>
        <v>1.3261883798923057E+40</v>
      </c>
      <c r="O4" s="28">
        <f>O3+$K$20</f>
        <v>5.2512408639690697</v>
      </c>
    </row>
    <row r="5" spans="1:15">
      <c r="G5" t="s">
        <v>134</v>
      </c>
      <c r="H5">
        <f>1/I4</f>
        <v>1E-4</v>
      </c>
      <c r="I5">
        <f>1/H4</f>
        <v>5.0000000000000001E-3</v>
      </c>
      <c r="J5">
        <f>GeomMean(H5,I5)</f>
        <v>7.0710678118654762E-4</v>
      </c>
      <c r="K5">
        <f>LogVariance(H5,I5)</f>
        <v>0.66285666921800146</v>
      </c>
    </row>
    <row r="6" spans="1:15">
      <c r="G6" s="31" t="s">
        <v>131</v>
      </c>
      <c r="H6" s="16">
        <v>0.5</v>
      </c>
      <c r="I6" s="16">
        <v>3</v>
      </c>
      <c r="J6">
        <f>GeomMean(H6,I6)</f>
        <v>1.2247448713915889</v>
      </c>
      <c r="K6">
        <f>LogVariance(H6,I6)</f>
        <v>0.30359732347288149</v>
      </c>
    </row>
    <row r="7" spans="1:15">
      <c r="G7" s="31" t="s">
        <v>132</v>
      </c>
      <c r="H7" s="16">
        <v>0.05</v>
      </c>
      <c r="I7" s="16">
        <v>0.5</v>
      </c>
      <c r="J7">
        <f>GeomMean(H7,I7)</f>
        <v>0.15811388300841897</v>
      </c>
      <c r="K7">
        <f>LogVariance(H7,I7)</f>
        <v>0.39015207303618948</v>
      </c>
      <c r="M7" s="1" t="s">
        <v>155</v>
      </c>
    </row>
    <row r="8" spans="1:15">
      <c r="G8" s="5" t="s">
        <v>151</v>
      </c>
      <c r="J8">
        <f>J3*J5*J6*J7*D4*1000</f>
        <v>1.2677313820927748E-7</v>
      </c>
      <c r="K8">
        <f>K3+K5+K6+K7+E4</f>
        <v>1.8758958293331953</v>
      </c>
      <c r="N8" t="s">
        <v>2</v>
      </c>
      <c r="O8" t="s">
        <v>35</v>
      </c>
    </row>
    <row r="9" spans="1:15" ht="20">
      <c r="A9" s="8" t="s">
        <v>69</v>
      </c>
      <c r="M9" s="5" t="s">
        <v>148</v>
      </c>
      <c r="N9">
        <f>ABS(VLOOKUP(M9,'EV of Far Future'!$K$11:$M$13,2,FALSE))</f>
        <v>1.4507469750550418E+40</v>
      </c>
      <c r="O9">
        <f>VLOOKUP(M9,'EV of Far Future'!$K$11:$M$13,3,FALSE)</f>
        <v>3.3021628498185005</v>
      </c>
    </row>
    <row r="10" spans="1:15">
      <c r="A10" s="1" t="s">
        <v>156</v>
      </c>
      <c r="M10" s="30" t="s">
        <v>61</v>
      </c>
      <c r="N10" s="28">
        <f>N9*$J$20</f>
        <v>4.0581020801815754E+33</v>
      </c>
      <c r="O10" s="28">
        <f>O9+$K$20</f>
        <v>5.1780586791516958</v>
      </c>
    </row>
    <row r="11" spans="1:15">
      <c r="A11" s="32" t="s">
        <v>104</v>
      </c>
      <c r="B11" s="6">
        <f>ParetoPosterior(median,alpha,N4,O4)</f>
        <v>1.074425445653989E+28</v>
      </c>
      <c r="G11" s="1" t="s">
        <v>146</v>
      </c>
      <c r="H11" s="9" t="s">
        <v>186</v>
      </c>
      <c r="M11" s="36" t="s">
        <v>104</v>
      </c>
      <c r="N11" s="37">
        <f>ParetoPosterior(median,alpha,N10,O10)</f>
        <v>4.8462101447885655E+21</v>
      </c>
    </row>
    <row r="12" spans="1:15">
      <c r="A12" s="32" t="s">
        <v>115</v>
      </c>
      <c r="B12" s="6">
        <f>LognormPosterior(mu,sigma,N4,O4)</f>
        <v>66.579942410212411</v>
      </c>
      <c r="H12" t="s">
        <v>0</v>
      </c>
      <c r="I12" t="s">
        <v>1</v>
      </c>
      <c r="J12" t="s">
        <v>2</v>
      </c>
      <c r="K12" t="s">
        <v>3</v>
      </c>
      <c r="M12" s="36" t="s">
        <v>115</v>
      </c>
      <c r="N12" s="37">
        <f>LognormPosterior(mu,sigma,N10,O10)</f>
        <v>35.310016500097845</v>
      </c>
    </row>
    <row r="13" spans="1:15">
      <c r="G13" s="31" t="s">
        <v>133</v>
      </c>
      <c r="H13" s="29">
        <v>1000000</v>
      </c>
      <c r="I13" s="29">
        <v>1000000000</v>
      </c>
      <c r="J13">
        <f>GeomMean(H13,I13)</f>
        <v>31622776.601683792</v>
      </c>
      <c r="K13">
        <f>LogVariance(H13,I13)</f>
        <v>1.1704562191085683</v>
      </c>
    </row>
    <row r="14" spans="1:15">
      <c r="G14" s="31" t="s">
        <v>136</v>
      </c>
      <c r="H14" s="16">
        <v>2000</v>
      </c>
      <c r="I14" s="16">
        <v>2000</v>
      </c>
      <c r="J14">
        <f>GeomMean(H14,I14)</f>
        <v>2000</v>
      </c>
      <c r="K14">
        <f>LogVariance(H14,I14)</f>
        <v>0</v>
      </c>
    </row>
    <row r="15" spans="1:15">
      <c r="A15" s="1" t="s">
        <v>182</v>
      </c>
      <c r="G15" t="s">
        <v>152</v>
      </c>
      <c r="H15" s="4">
        <f>1/I13</f>
        <v>1.0000000000000001E-9</v>
      </c>
      <c r="I15" s="4">
        <f>1/H13</f>
        <v>9.9999999999999995E-7</v>
      </c>
      <c r="J15">
        <f>GeomMean(H15,I15)</f>
        <v>3.1622776601683792E-8</v>
      </c>
      <c r="K15">
        <f>LogVariance(H15,I15)</f>
        <v>1.1704562191085683</v>
      </c>
      <c r="M15" s="27" t="s">
        <v>41</v>
      </c>
    </row>
    <row r="16" spans="1:15">
      <c r="A16" s="32" t="s">
        <v>104</v>
      </c>
      <c r="B16" s="6">
        <f>N19-N11</f>
        <v>3.3919744275603411E+25</v>
      </c>
      <c r="G16" t="s">
        <v>151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35</v>
      </c>
    </row>
    <row r="17" spans="1:15">
      <c r="A17" s="32" t="s">
        <v>115</v>
      </c>
      <c r="B17" s="6">
        <f>N20-N12</f>
        <v>-1.9877939901981136</v>
      </c>
      <c r="M17" s="5" t="s">
        <v>149</v>
      </c>
      <c r="N17">
        <f>VLOOKUP(M17,'EV of Far Future'!$K$11:$M$13,2,FALSE)</f>
        <v>4.7410447820074434E+46</v>
      </c>
      <c r="O17">
        <f>VLOOKUP(M17,'EV of Far Future'!$K$11:$M$13,3,FALSE)</f>
        <v>4.4613686573257061</v>
      </c>
    </row>
    <row r="18" spans="1:15">
      <c r="M18" s="30" t="s">
        <v>61</v>
      </c>
      <c r="N18" s="28">
        <f>N17*$J$20</f>
        <v>1.3261887857025137E+40</v>
      </c>
      <c r="O18" s="28">
        <f>O17+$K$20</f>
        <v>6.337264486658901</v>
      </c>
    </row>
    <row r="19" spans="1:15">
      <c r="G19" s="1" t="s">
        <v>157</v>
      </c>
      <c r="M19" s="36" t="s">
        <v>104</v>
      </c>
      <c r="N19" s="37">
        <f>ParetoPosterior(median,alpha,N18,O18)</f>
        <v>3.3924590485748199E+25</v>
      </c>
    </row>
    <row r="20" spans="1:15">
      <c r="G20" t="s">
        <v>151</v>
      </c>
      <c r="J20">
        <f>GEOMEAN(J8,J16)</f>
        <v>2.7972500718311748E-7</v>
      </c>
      <c r="K20">
        <f>MAX(K8,K16)</f>
        <v>1.8758958293331953</v>
      </c>
      <c r="L20" t="s">
        <v>153</v>
      </c>
      <c r="M20" s="36" t="s">
        <v>115</v>
      </c>
      <c r="N20" s="37">
        <f>LognormPosterior(mu,sigma,N18,O18)</f>
        <v>33.322222509899731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Globals</vt:lpstr>
      <vt:lpstr>EV of Far Future</vt:lpstr>
      <vt:lpstr>GiveDirectly</vt:lpstr>
      <vt:lpstr>Veg Ads</vt:lpstr>
      <vt:lpstr>AI Safety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2016-03-24T17:56:03Z</dcterms:modified>
</cp:coreProperties>
</file>