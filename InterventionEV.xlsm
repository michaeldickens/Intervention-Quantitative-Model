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28260" tabRatio="500" activeTab="1"/>
  </bookViews>
  <sheets>
    <sheet name="Summary" sheetId="7" r:id="rId1"/>
    <sheet name="Globals" sheetId="2" r:id="rId2"/>
    <sheet name="EV of Far Future" sheetId="3" r:id="rId3"/>
    <sheet name="GiveDirectly" sheetId="5" r:id="rId4"/>
    <sheet name="THL" sheetId="1" r:id="rId5"/>
    <sheet name="AI Safety" sheetId="6" r:id="rId6"/>
    <sheet name="AI Targeted Values Spreading" sheetId="10" r:id="rId7"/>
    <sheet name="EA Outreach (INCOMPLETE)" sheetId="11" r:id="rId8"/>
  </sheets>
  <definedNames>
    <definedName name="alpha">Globals!$K$4</definedName>
    <definedName name="enable_calculations">Globals!$A$2</definedName>
    <definedName name="factory_farmed_animals">Globals!$K$22</definedName>
    <definedName name="interest_rate">Globals!$K$23</definedName>
    <definedName name="measurement">Globals!#REF!</definedName>
    <definedName name="median">Globals!$K$3</definedName>
    <definedName name="mu_factory_farming">Globals!$E$3</definedName>
    <definedName name="mu_far_future">Globals!$F$3</definedName>
    <definedName name="mu_far_future_humans">Globals!$F$3</definedName>
    <definedName name="mu_global_poverty">Globals!$D$3</definedName>
    <definedName name="mu_sentient_simulations">Globals!$G$2</definedName>
    <definedName name="mu_wild_animals">Globals!#REF!</definedName>
    <definedName name="p_biological">Globals!$B$9</definedName>
    <definedName name="p_computronium">Globals!$B$12</definedName>
    <definedName name="p_dolorium">Globals!$D$15</definedName>
    <definedName name="p_ems">Globals!$D$13</definedName>
    <definedName name="p_factory_farming">Globals!$F$9</definedName>
    <definedName name="p_hedonium">Globals!$D$12</definedName>
    <definedName name="p_not_care_about_animals">Globals!$D$9</definedName>
    <definedName name="p_paperclip">Globals!$D$14</definedName>
    <definedName name="p_reduce_WAS">Globals!$D$8</definedName>
    <definedName name="p_society_does_not_care_about_animals">Globals!$D$9</definedName>
    <definedName name="p_spread_was">Globals!$F$10</definedName>
    <definedName name="p_stay_on_earth">Globals!$B$8</definedName>
    <definedName name="p_suffering_simulations">Globals!$F$11</definedName>
    <definedName name="sigma_factory_farming">Globals!$E$4</definedName>
    <definedName name="sigma_far_future">Globals!$F$4</definedName>
    <definedName name="sigma_far_future_humans">Globals!$F$4</definedName>
    <definedName name="sigma_global_poverty">Globals!$D$4</definedName>
    <definedName name="sigma_sentient_simulations">Globals!$G$3</definedName>
    <definedName name="sigma_wild_animals">Globals!#REF!</definedName>
    <definedName name="stay_on_earth">Globals!$B$8</definedName>
    <definedName name="stdev_base10">Globals!#REF!</definedName>
    <definedName name="utility_per_dolorium">Globals!$D$28</definedName>
    <definedName name="utility_per_factory_farmed_animal">Globals!$D$21</definedName>
    <definedName name="utility_per_hedonium">Globals!$D$25</definedName>
    <definedName name="utility_per_human">Globals!$D$20</definedName>
    <definedName name="utility_per_insect">Globals!$D$24</definedName>
    <definedName name="utility_per_paperclip">Globals!$D$27</definedName>
    <definedName name="utility_per_wild_vertebrate">Globals!$D$23</definedName>
    <definedName name="x_m">Globals!#REF!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F4" i="2" l="1"/>
  <c r="P34" i="2"/>
  <c r="H3" i="3"/>
  <c r="P35" i="2"/>
  <c r="H4" i="3"/>
  <c r="P37" i="2"/>
  <c r="H14" i="3"/>
  <c r="H16" i="3"/>
  <c r="M9" i="3"/>
  <c r="P38" i="2"/>
  <c r="H20" i="3"/>
  <c r="H22" i="3"/>
  <c r="M10" i="3"/>
  <c r="P39" i="2"/>
  <c r="H26" i="3"/>
  <c r="H28" i="3"/>
  <c r="M11" i="3"/>
  <c r="H32" i="3"/>
  <c r="P40" i="2"/>
  <c r="H33" i="3"/>
  <c r="H35" i="3"/>
  <c r="M12" i="3"/>
  <c r="L34" i="2"/>
  <c r="C3" i="3"/>
  <c r="L35" i="2"/>
  <c r="C4" i="3"/>
  <c r="L36" i="2"/>
  <c r="C5" i="3"/>
  <c r="L37" i="2"/>
  <c r="C6" i="3"/>
  <c r="C21" i="3"/>
  <c r="M13" i="3"/>
  <c r="C26" i="3"/>
  <c r="M14" i="3"/>
  <c r="L15" i="3"/>
  <c r="L16" i="3"/>
  <c r="M16" i="3"/>
  <c r="P36" i="2"/>
  <c r="H8" i="3"/>
  <c r="H10" i="3"/>
  <c r="M3" i="3"/>
  <c r="C11" i="3"/>
  <c r="M4" i="3"/>
  <c r="C16" i="3"/>
  <c r="M5" i="3"/>
  <c r="L6" i="3"/>
  <c r="L7" i="3"/>
  <c r="M7" i="3"/>
  <c r="M18" i="3"/>
  <c r="L18" i="3"/>
  <c r="L19" i="3"/>
  <c r="G23" i="5"/>
  <c r="G24" i="5"/>
  <c r="H20" i="5"/>
  <c r="H21" i="5"/>
  <c r="H22" i="5"/>
  <c r="M19" i="3"/>
  <c r="H23" i="5"/>
  <c r="H24" i="5"/>
  <c r="H25" i="5"/>
  <c r="G25" i="5"/>
  <c r="G13" i="5"/>
  <c r="G14" i="5"/>
  <c r="H10" i="5"/>
  <c r="H11" i="5"/>
  <c r="H12" i="5"/>
  <c r="H13" i="5"/>
  <c r="H14" i="5"/>
  <c r="H15" i="5"/>
  <c r="G15" i="5"/>
  <c r="C14" i="5"/>
  <c r="B14" i="5"/>
  <c r="C15" i="5"/>
  <c r="E13" i="10"/>
  <c r="J3" i="10"/>
  <c r="J10" i="10"/>
  <c r="E14" i="10"/>
  <c r="J4" i="10"/>
  <c r="J11" i="10"/>
  <c r="E15" i="10"/>
  <c r="J5" i="10"/>
  <c r="J12" i="10"/>
  <c r="E16" i="10"/>
  <c r="J6" i="10"/>
  <c r="J13" i="10"/>
  <c r="E17" i="10"/>
  <c r="J7" i="10"/>
  <c r="J14" i="10"/>
  <c r="E18" i="10"/>
  <c r="J8" i="10"/>
  <c r="J15" i="10"/>
  <c r="I16" i="10"/>
  <c r="J14" i="1"/>
  <c r="E4" i="1"/>
  <c r="E5" i="1"/>
  <c r="E6" i="1"/>
  <c r="E7" i="1"/>
  <c r="E8" i="1"/>
  <c r="J16" i="1"/>
  <c r="J17" i="1"/>
  <c r="O19" i="1"/>
  <c r="E10" i="1"/>
  <c r="J22" i="1"/>
  <c r="J23" i="1"/>
  <c r="J25" i="1"/>
  <c r="J26" i="1"/>
  <c r="O20" i="1"/>
  <c r="E11" i="1"/>
  <c r="J31" i="1"/>
  <c r="J32" i="1"/>
  <c r="J34" i="1"/>
  <c r="J35" i="1"/>
  <c r="O21" i="1"/>
  <c r="E12" i="1"/>
  <c r="O3" i="1"/>
  <c r="O4" i="1"/>
  <c r="O6" i="1"/>
  <c r="O7" i="1"/>
  <c r="O22" i="1"/>
  <c r="E13" i="1"/>
  <c r="O11" i="1"/>
  <c r="O12" i="1"/>
  <c r="O14" i="1"/>
  <c r="O15" i="1"/>
  <c r="O23" i="1"/>
  <c r="N24" i="1"/>
  <c r="N25" i="1"/>
  <c r="B20" i="1"/>
  <c r="O25" i="1"/>
  <c r="C20" i="1"/>
  <c r="B21" i="1"/>
  <c r="I3" i="11"/>
  <c r="I6" i="11"/>
  <c r="C7" i="10"/>
  <c r="B7" i="10"/>
  <c r="D13" i="10"/>
  <c r="B3" i="3"/>
  <c r="B4" i="3"/>
  <c r="B5" i="3"/>
  <c r="B6" i="3"/>
  <c r="B11" i="3"/>
  <c r="L4" i="3"/>
  <c r="I3" i="10"/>
  <c r="I10" i="10"/>
  <c r="D14" i="10"/>
  <c r="B26" i="3"/>
  <c r="L14" i="3"/>
  <c r="I4" i="10"/>
  <c r="I11" i="10"/>
  <c r="D15" i="10"/>
  <c r="G3" i="3"/>
  <c r="G4" i="3"/>
  <c r="G14" i="3"/>
  <c r="G16" i="3"/>
  <c r="L9" i="3"/>
  <c r="I5" i="10"/>
  <c r="I12" i="10"/>
  <c r="D16" i="10"/>
  <c r="G20" i="3"/>
  <c r="G22" i="3"/>
  <c r="L10" i="3"/>
  <c r="I6" i="10"/>
  <c r="I13" i="10"/>
  <c r="D17" i="10"/>
  <c r="G26" i="3"/>
  <c r="G28" i="3"/>
  <c r="L11" i="3"/>
  <c r="I7" i="10"/>
  <c r="I14" i="10"/>
  <c r="D18" i="10"/>
  <c r="G32" i="3"/>
  <c r="G33" i="3"/>
  <c r="G35" i="3"/>
  <c r="L12" i="3"/>
  <c r="I8" i="10"/>
  <c r="I15" i="10"/>
  <c r="C21" i="1"/>
  <c r="J3" i="11"/>
  <c r="E5" i="11"/>
  <c r="E8" i="11"/>
  <c r="E10" i="11"/>
  <c r="J6" i="11"/>
  <c r="H25" i="6"/>
  <c r="H26" i="6"/>
  <c r="I4" i="11"/>
  <c r="I7" i="11"/>
  <c r="K3" i="6"/>
  <c r="K5" i="6"/>
  <c r="K6" i="6"/>
  <c r="K7" i="6"/>
  <c r="E4" i="6"/>
  <c r="K8" i="6"/>
  <c r="K14" i="6"/>
  <c r="K15" i="6"/>
  <c r="K16" i="6"/>
  <c r="K20" i="6"/>
  <c r="I24" i="6"/>
  <c r="I25" i="6"/>
  <c r="I26" i="6"/>
  <c r="J4" i="11"/>
  <c r="E6" i="11"/>
  <c r="J7" i="11"/>
  <c r="I8" i="11"/>
  <c r="I9" i="11"/>
  <c r="J9" i="11"/>
  <c r="J2" i="11"/>
  <c r="E4" i="11"/>
  <c r="J11" i="11"/>
  <c r="B15" i="5"/>
  <c r="I2" i="11"/>
  <c r="I11" i="11"/>
  <c r="I12" i="11"/>
  <c r="I13" i="11"/>
  <c r="J13" i="11"/>
  <c r="J15" i="11"/>
  <c r="I15" i="11"/>
  <c r="J16" i="11"/>
  <c r="I16" i="11"/>
  <c r="B17" i="11"/>
  <c r="B16" i="11"/>
  <c r="C10" i="11"/>
  <c r="B10" i="11"/>
  <c r="D10" i="11"/>
  <c r="D5" i="11"/>
  <c r="D6" i="11"/>
  <c r="D8" i="11"/>
  <c r="D4" i="11"/>
  <c r="C6" i="5"/>
  <c r="B6" i="5"/>
  <c r="K5" i="7"/>
  <c r="K4" i="7"/>
  <c r="E4" i="2"/>
  <c r="J3" i="1"/>
  <c r="J5" i="1"/>
  <c r="I7" i="1"/>
  <c r="G21" i="5"/>
  <c r="B17" i="5"/>
  <c r="G5" i="5"/>
  <c r="P5" i="3"/>
  <c r="B16" i="3"/>
  <c r="L5" i="3"/>
  <c r="F26" i="2"/>
  <c r="D26" i="2"/>
  <c r="C15" i="3"/>
  <c r="B15" i="3"/>
  <c r="E7" i="10"/>
  <c r="E8" i="10"/>
  <c r="C10" i="10"/>
  <c r="B10" i="10"/>
  <c r="E10" i="10"/>
  <c r="E5" i="10"/>
  <c r="E3" i="10"/>
  <c r="E4" i="10"/>
  <c r="E11" i="10"/>
  <c r="D7" i="10"/>
  <c r="D8" i="10"/>
  <c r="D10" i="10"/>
  <c r="D5" i="10"/>
  <c r="D3" i="10"/>
  <c r="D4" i="10"/>
  <c r="D11" i="10"/>
  <c r="J34" i="2"/>
  <c r="K34" i="2"/>
  <c r="J35" i="2"/>
  <c r="K35" i="2"/>
  <c r="J36" i="2"/>
  <c r="K36" i="2"/>
  <c r="J37" i="2"/>
  <c r="K37" i="2"/>
  <c r="B28" i="2"/>
  <c r="D28" i="2"/>
  <c r="B25" i="3"/>
  <c r="P14" i="3"/>
  <c r="E28" i="2"/>
  <c r="F28" i="2"/>
  <c r="C25" i="3"/>
  <c r="N34" i="2"/>
  <c r="O34" i="2"/>
  <c r="N35" i="2"/>
  <c r="O35" i="2"/>
  <c r="N36" i="2"/>
  <c r="N37" i="2"/>
  <c r="O37" i="2"/>
  <c r="D21" i="2"/>
  <c r="G15" i="3"/>
  <c r="P9" i="3"/>
  <c r="F21" i="2"/>
  <c r="H15" i="3"/>
  <c r="N38" i="2"/>
  <c r="O38" i="2"/>
  <c r="D23" i="2"/>
  <c r="G21" i="3"/>
  <c r="P10" i="3"/>
  <c r="F23" i="2"/>
  <c r="H21" i="3"/>
  <c r="N39" i="2"/>
  <c r="O39" i="2"/>
  <c r="D24" i="2"/>
  <c r="G27" i="3"/>
  <c r="P11" i="3"/>
  <c r="F24" i="2"/>
  <c r="H27" i="3"/>
  <c r="N40" i="2"/>
  <c r="O40" i="2"/>
  <c r="G34" i="3"/>
  <c r="P12" i="3"/>
  <c r="H34" i="3"/>
  <c r="F25" i="2"/>
  <c r="C10" i="3"/>
  <c r="C25" i="2"/>
  <c r="D25" i="2"/>
  <c r="B10" i="3"/>
  <c r="P4" i="3"/>
  <c r="I17" i="10"/>
  <c r="J17" i="10"/>
  <c r="D27" i="2"/>
  <c r="B20" i="3"/>
  <c r="B21" i="3"/>
  <c r="P13" i="3"/>
  <c r="L13" i="3"/>
  <c r="F27" i="2"/>
  <c r="C20" i="3"/>
  <c r="O36" i="2"/>
  <c r="G8" i="3"/>
  <c r="D20" i="2"/>
  <c r="G9" i="3"/>
  <c r="G10" i="3"/>
  <c r="P3" i="3"/>
  <c r="L3" i="3"/>
  <c r="F20" i="2"/>
  <c r="H9" i="3"/>
  <c r="J18" i="10"/>
  <c r="I14" i="1"/>
  <c r="I12" i="1"/>
  <c r="I15" i="1"/>
  <c r="D4" i="1"/>
  <c r="B5" i="1"/>
  <c r="C5" i="1"/>
  <c r="D5" i="1"/>
  <c r="D6" i="1"/>
  <c r="D7" i="1"/>
  <c r="D8" i="1"/>
  <c r="I16" i="1"/>
  <c r="I17" i="1"/>
  <c r="N19" i="1"/>
  <c r="D10" i="1"/>
  <c r="I22" i="1"/>
  <c r="I23" i="1"/>
  <c r="I24" i="1"/>
  <c r="I25" i="1"/>
  <c r="I26" i="1"/>
  <c r="N20" i="1"/>
  <c r="D11" i="1"/>
  <c r="I31" i="1"/>
  <c r="I32" i="1"/>
  <c r="I33" i="1"/>
  <c r="I34" i="1"/>
  <c r="I35" i="1"/>
  <c r="N21" i="1"/>
  <c r="D12" i="1"/>
  <c r="N3" i="1"/>
  <c r="N4" i="1"/>
  <c r="N5" i="1"/>
  <c r="N6" i="1"/>
  <c r="N7" i="1"/>
  <c r="N22" i="1"/>
  <c r="D13" i="1"/>
  <c r="N11" i="1"/>
  <c r="N12" i="1"/>
  <c r="N13" i="1"/>
  <c r="N14" i="1"/>
  <c r="N15" i="1"/>
  <c r="N23" i="1"/>
  <c r="B7" i="5"/>
  <c r="C7" i="5"/>
  <c r="G22" i="5"/>
  <c r="G12" i="5"/>
  <c r="I18" i="10"/>
  <c r="K7" i="7"/>
  <c r="J4" i="1"/>
  <c r="I6" i="7"/>
  <c r="K6" i="7"/>
  <c r="J7" i="7"/>
  <c r="I4" i="1"/>
  <c r="I3" i="1"/>
  <c r="I5" i="1"/>
  <c r="H6" i="7"/>
  <c r="J6" i="7"/>
  <c r="J5" i="7"/>
  <c r="J4" i="7"/>
  <c r="B23" i="1"/>
  <c r="B27" i="1"/>
  <c r="B22" i="1"/>
  <c r="I6" i="1"/>
  <c r="B26" i="1"/>
  <c r="B24" i="10"/>
  <c r="C6" i="7"/>
  <c r="B23" i="10"/>
  <c r="B6" i="7"/>
  <c r="C4" i="7"/>
  <c r="B4" i="7"/>
  <c r="G11" i="5"/>
  <c r="G20" i="5"/>
  <c r="B21" i="5"/>
  <c r="B16" i="5"/>
  <c r="G4" i="5"/>
  <c r="B20" i="5"/>
  <c r="F22" i="2"/>
  <c r="I4" i="7"/>
  <c r="H4" i="7"/>
  <c r="H24" i="6"/>
  <c r="G10" i="5"/>
  <c r="I5" i="7"/>
  <c r="J15" i="6"/>
  <c r="J14" i="6"/>
  <c r="J13" i="6"/>
  <c r="D4" i="6"/>
  <c r="J7" i="6"/>
  <c r="J6" i="6"/>
  <c r="J5" i="6"/>
  <c r="J3" i="6"/>
  <c r="H3" i="5"/>
  <c r="C3" i="7"/>
  <c r="D4" i="7"/>
  <c r="J8" i="6"/>
  <c r="J16" i="6"/>
  <c r="J20" i="6"/>
  <c r="I5" i="6"/>
  <c r="H5" i="6"/>
  <c r="C4" i="6"/>
  <c r="B4" i="6"/>
  <c r="I15" i="6"/>
  <c r="H15" i="6"/>
  <c r="D6" i="7"/>
  <c r="D3" i="7"/>
  <c r="B3" i="7"/>
  <c r="D22" i="2"/>
  <c r="K13" i="6"/>
  <c r="B12" i="6"/>
  <c r="C5" i="7"/>
  <c r="D5" i="7"/>
  <c r="B11" i="6"/>
  <c r="B5" i="7"/>
</calcChain>
</file>

<file path=xl/sharedStrings.xml><?xml version="1.0" encoding="utf-8"?>
<sst xmlns="http://schemas.openxmlformats.org/spreadsheetml/2006/main" count="447" uniqueCount="248">
  <si>
    <t>Low CI</t>
  </si>
  <si>
    <t>High CI</t>
  </si>
  <si>
    <t>Mean</t>
  </si>
  <si>
    <t>alpha</t>
  </si>
  <si>
    <t>median</t>
  </si>
  <si>
    <t>Prior (Pareto)</t>
  </si>
  <si>
    <t>stay on earth</t>
  </si>
  <si>
    <t>biological</t>
  </si>
  <si>
    <t>society doesn't care about animals</t>
  </si>
  <si>
    <t>we make suffering simulations</t>
  </si>
  <si>
    <t>we spread WAS</t>
  </si>
  <si>
    <t>hedonium</t>
  </si>
  <si>
    <t>computronium</t>
  </si>
  <si>
    <t>paperclip</t>
  </si>
  <si>
    <t>dolorium</t>
  </si>
  <si>
    <t>we reduce WAS on balance</t>
  </si>
  <si>
    <t>Far future outcome probabilities</t>
  </si>
  <si>
    <t>accessible stars</t>
  </si>
  <si>
    <t>usable wattage</t>
  </si>
  <si>
    <t>years of future</t>
  </si>
  <si>
    <t>humans per star</t>
  </si>
  <si>
    <t>factory farmed animals per star</t>
  </si>
  <si>
    <t>wild vertebrates per star</t>
  </si>
  <si>
    <t>Sources</t>
  </si>
  <si>
    <t>http://reducing-suffering.org/how-many-wild-animals-are-there/</t>
  </si>
  <si>
    <t>https://en.wikipedia.org/wiki/Timeline_of_the_far_future</t>
  </si>
  <si>
    <t>Bradbury, "Matrioshka Brains"</t>
  </si>
  <si>
    <t>https://www.gwern.net/docs/1999-bradbury-matrioshkabrains.pdf</t>
  </si>
  <si>
    <t>Tomasik, "How Many Wild Animals Are There?"</t>
  </si>
  <si>
    <t>factory farmed animals</t>
  </si>
  <si>
    <t>Notes</t>
  </si>
  <si>
    <t>Biological condition</t>
  </si>
  <si>
    <t>Size of far future (80% CI)</t>
  </si>
  <si>
    <t>Variance</t>
  </si>
  <si>
    <t>Size of far future (mean/variance)</t>
  </si>
  <si>
    <t>[2]</t>
  </si>
  <si>
    <t>[3]</t>
  </si>
  <si>
    <t>[1]; assumes 1-10 planets per star</t>
  </si>
  <si>
    <t>[1]</t>
  </si>
  <si>
    <t>Computronium condition</t>
  </si>
  <si>
    <t>Utility for different types of beings</t>
  </si>
  <si>
    <t>utility per human</t>
  </si>
  <si>
    <t>utility per factory farmed animal</t>
  </si>
  <si>
    <t>utility per wild vertebrate</t>
  </si>
  <si>
    <t>utility per insect</t>
  </si>
  <si>
    <t>brains per watt</t>
  </si>
  <si>
    <t>utility per hedonium</t>
  </si>
  <si>
    <t>utility per paperclip</t>
  </si>
  <si>
    <t>utility per dolorium</t>
  </si>
  <si>
    <t>Well-being</t>
  </si>
  <si>
    <t>Sentience adjustment</t>
  </si>
  <si>
    <t>for same energy requirements as human brain</t>
  </si>
  <si>
    <t>Biological Condition</t>
  </si>
  <si>
    <t>Hedonium utility</t>
  </si>
  <si>
    <t>Paperclip neg utility</t>
  </si>
  <si>
    <t>Dolorium neg utility</t>
  </si>
  <si>
    <t>Human utility</t>
  </si>
  <si>
    <t>Computronium Condition</t>
  </si>
  <si>
    <t>utility estimate</t>
  </si>
  <si>
    <t>Factory farming neg utility</t>
  </si>
  <si>
    <t>insects per star</t>
  </si>
  <si>
    <t>Wild vertebrate neg utility</t>
  </si>
  <si>
    <t>Insect neg utility</t>
  </si>
  <si>
    <t>Simulation neg utility</t>
  </si>
  <si>
    <t>simulations per insect</t>
  </si>
  <si>
    <t>Results</t>
  </si>
  <si>
    <t>Sign</t>
  </si>
  <si>
    <t>we have factory farming</t>
  </si>
  <si>
    <t>P(factory farming exists)</t>
  </si>
  <si>
    <t>Direct effect</t>
  </si>
  <si>
    <t>Far-future effect on factory farming</t>
  </si>
  <si>
    <t>Basic facts</t>
  </si>
  <si>
    <t>1/factory farmed animals</t>
  </si>
  <si>
    <t>animals spared per $1000</t>
  </si>
  <si>
    <t>years factory farming prevented per $1000</t>
  </si>
  <si>
    <t>log-normal posterior</t>
  </si>
  <si>
    <t>P(stopping this if we stop factory farming)</t>
  </si>
  <si>
    <t>Far-future effect on wild vertebrates</t>
  </si>
  <si>
    <t>P(humans exist)</t>
  </si>
  <si>
    <t>P(wild vertebrates exist)</t>
  </si>
  <si>
    <t>P(insects exist)</t>
  </si>
  <si>
    <t>P(simulations exist)</t>
  </si>
  <si>
    <t>P(hedonium exists)</t>
  </si>
  <si>
    <t>P(paperclips exist)</t>
  </si>
  <si>
    <t>P(dolorium exists)</t>
  </si>
  <si>
    <t>Far-future effect on suffering simulations</t>
  </si>
  <si>
    <t>Pareto posterior</t>
  </si>
  <si>
    <t>Prior (log-normal)</t>
  </si>
  <si>
    <t>mu</t>
  </si>
  <si>
    <t>sigma</t>
  </si>
  <si>
    <t>Far-future effect on insects</t>
  </si>
  <si>
    <t>Total (Pareto)</t>
  </si>
  <si>
    <t>Total (log-normal)</t>
  </si>
  <si>
    <t>Log-normal posterior</t>
  </si>
  <si>
    <t>Extinction risk reduction</t>
  </si>
  <si>
    <t>poverty ended per $1000</t>
  </si>
  <si>
    <t>Color guide</t>
  </si>
  <si>
    <t>intermediate result</t>
  </si>
  <si>
    <t>final result</t>
  </si>
  <si>
    <t>P(extinction)</t>
  </si>
  <si>
    <t>extinction scenarios averted by ending poverty</t>
  </si>
  <si>
    <t>extinction scenarios caused by ending poverty</t>
  </si>
  <si>
    <t>Extinction risk increase</t>
  </si>
  <si>
    <t>interest rate</t>
  </si>
  <si>
    <t>animals permanently spared per $1000</t>
  </si>
  <si>
    <t>cost per year to end poverty ($)</t>
  </si>
  <si>
    <t>P(AI-related extinction)</t>
  </si>
  <si>
    <t>AI researcher multiplicative effect</t>
  </si>
  <si>
    <t>bad scenarios averted by doubling research</t>
  </si>
  <si>
    <t>hours to solve AI safety</t>
  </si>
  <si>
    <t>size of FAI community when AGI created</t>
  </si>
  <si>
    <t>hours per AI researcher</t>
  </si>
  <si>
    <t>cost per AI researcher</t>
  </si>
  <si>
    <t>1/cost per AI researcher</t>
  </si>
  <si>
    <t>annual rate at which vegetarians convert new vegetarians</t>
  </si>
  <si>
    <t>I made the variance 0 because this should only improve the results, but making the variance nontrivial causes the results to get worse. I kept the number low to compensate.</t>
  </si>
  <si>
    <t>Model 1 (GPP)</t>
  </si>
  <si>
    <t>Model 2</t>
  </si>
  <si>
    <t>EV far future</t>
  </si>
  <si>
    <t>General</t>
  </si>
  <si>
    <t>x-risk averted per $1000</t>
  </si>
  <si>
    <t>1/hours to solve</t>
  </si>
  <si>
    <t>TODO: don't know how to calculate this variance</t>
  </si>
  <si>
    <t>Model average</t>
  </si>
  <si>
    <t>Pareto</t>
  </si>
  <si>
    <t>Log-normal</t>
  </si>
  <si>
    <t>GiveDirectly</t>
  </si>
  <si>
    <t>AI Safety</t>
  </si>
  <si>
    <t>Unified model</t>
  </si>
  <si>
    <t>utility per cage removed</t>
  </si>
  <si>
    <t>years factory farming prevented per $1</t>
  </si>
  <si>
    <t>AMF</t>
  </si>
  <si>
    <t>Corporate Campaigns</t>
  </si>
  <si>
    <t xml:space="preserve">Mean </t>
  </si>
  <si>
    <t>Estimated by doubling the 80% CI given by http://www.animalcharityevaluators.org/research/interventions/impact-calculator/</t>
  </si>
  <si>
    <t>Inputs (80% CI)</t>
  </si>
  <si>
    <t>(80% CI)</t>
  </si>
  <si>
    <t>Wikipedia, "Timeline of the Far Future"</t>
  </si>
  <si>
    <t>P(friendly AI gets built)</t>
  </si>
  <si>
    <t>suffering simulations prevented</t>
  </si>
  <si>
    <t>dolorium scenarios prevented by making the FAI animal-friendly</t>
  </si>
  <si>
    <t>values propagation multiplier</t>
  </si>
  <si>
    <t>cost to convince one AI researcher to care about animals</t>
  </si>
  <si>
    <t>P(FAI is bad for animals by default)</t>
  </si>
  <si>
    <t>1/size of FAI community when AGI created</t>
  </si>
  <si>
    <t>user input (or any other color)</t>
  </si>
  <si>
    <t>$1000/cost</t>
  </si>
  <si>
    <t>Increased probability AGI is good for animals per $1000 spent</t>
  </si>
  <si>
    <t>wild vertebrate suffering prevented</t>
  </si>
  <si>
    <t>insect suffering prevented</t>
  </si>
  <si>
    <t>dolorium utility estimate</t>
  </si>
  <si>
    <t>wild vertebrate utility estimate</t>
  </si>
  <si>
    <t>insect utility estimate</t>
  </si>
  <si>
    <t>simulation utility estimate</t>
  </si>
  <si>
    <t>Model</t>
  </si>
  <si>
    <t>AI Targeted Values Spreading</t>
  </si>
  <si>
    <t>Posterior</t>
  </si>
  <si>
    <t>Total utility</t>
  </si>
  <si>
    <t>Ratio vs. GD</t>
  </si>
  <si>
    <t>Utility from direct effects only</t>
  </si>
  <si>
    <t>high variance b/c unclear how bad/good wild vertebrate lives actually are</t>
  </si>
  <si>
    <t>for just chickens; higher variance than factory farming b/c there's disagreement about welfare difference for caged vs. cage-free</t>
  </si>
  <si>
    <t xml:space="preserve"> </t>
  </si>
  <si>
    <t>global poverty</t>
  </si>
  <si>
    <t>factory farming</t>
  </si>
  <si>
    <t>far future</t>
  </si>
  <si>
    <t>should be 43.27</t>
  </si>
  <si>
    <t>Enable calculations?</t>
  </si>
  <si>
    <t>0 for false, 1 for true</t>
  </si>
  <si>
    <t>animal-years caused per human year</t>
  </si>
  <si>
    <t>buckets</t>
  </si>
  <si>
    <t>for a poor developing-world human. probably less happy than someone in the developed world</t>
  </si>
  <si>
    <t>(1) does not include fish/shellfish; (2) I am willing to trade maybe 5 years normal life vs. 1 year on factory farm, and extremely poor people's lives are about half as good as those in the developed world according to world happiness surveys</t>
  </si>
  <si>
    <t>Warning: takes a long time to evaluate (30 seconds on my machine)</t>
  </si>
  <si>
    <t>exp mean/variance</t>
  </si>
  <si>
    <t>pos EV (buckets)</t>
  </si>
  <si>
    <t>neg EV (buckets)</t>
  </si>
  <si>
    <t>neg exp mean/variance</t>
  </si>
  <si>
    <t>pos exp mean/variance</t>
  </si>
  <si>
    <t>Mu</t>
  </si>
  <si>
    <t>Sigma^2 (orders of magnitude)</t>
  </si>
  <si>
    <t>Sigma^2</t>
  </si>
  <si>
    <t>Sigma</t>
  </si>
  <si>
    <t>P-weighted utility estimate (adj. by probability)</t>
  </si>
  <si>
    <t>Probability (used in P-weighted utility estimate)</t>
  </si>
  <si>
    <t>overall exp mean/variance</t>
  </si>
  <si>
    <t>overall utility estimate</t>
  </si>
  <si>
    <t>from looking at random articles I found on Google</t>
  </si>
  <si>
    <t>Total far future effect</t>
  </si>
  <si>
    <t>Total positive far-future effect</t>
  </si>
  <si>
    <t>utility estimates</t>
  </si>
  <si>
    <t>sum (buckets)</t>
  </si>
  <si>
    <t>Total far-future effect</t>
  </si>
  <si>
    <t>Total (Pareto posterior)</t>
  </si>
  <si>
    <t>Total (log-normal posterior)</t>
  </si>
  <si>
    <t>THL</t>
  </si>
  <si>
    <t>Far-future effect on hedonium</t>
  </si>
  <si>
    <t>hedonium scenarios caused by making the FAI animal-friendly</t>
  </si>
  <si>
    <t>wild vertebrate suffering prevented if we end factory farming</t>
  </si>
  <si>
    <t>suffering sumulatins prevented</t>
  </si>
  <si>
    <t>hedonium caused</t>
  </si>
  <si>
    <t>This is the probability increase of stopping WAS conditional on stopping factory farming. This assumes net effect is positive. You can make it negative but that requires changing the way the posterior is calculated. If you make the low CI close to 0, that has a similar effect to putting some of the probability mass below 0.</t>
  </si>
  <si>
    <t>hedonium utility estimate</t>
  </si>
  <si>
    <t>hedonium weighted utility</t>
  </si>
  <si>
    <t>dolorium weighted utility</t>
  </si>
  <si>
    <t>wild vertebrate weighted utility</t>
  </si>
  <si>
    <t>insect weighted utility</t>
  </si>
  <si>
    <t>simulation weighted utility</t>
  </si>
  <si>
    <t>factory farming weighted utility</t>
  </si>
  <si>
    <t>human weighted utility</t>
  </si>
  <si>
    <t>paperclip weighted utility</t>
  </si>
  <si>
    <t>needs manual re-calculation</t>
  </si>
  <si>
    <t>ignore these (no color)</t>
  </si>
  <si>
    <t>factory farming scenarios prevented by making the FAI animal-friendly</t>
  </si>
  <si>
    <t>factory farming utility estimate</t>
  </si>
  <si>
    <t>implicitly correlated with P(AI-related extinction) on the AI Safety sheet</t>
  </si>
  <si>
    <t>center of distribution (median)</t>
  </si>
  <si>
    <t>scale (logarithmic base 10); this corresponds to standard deviation, not variance</t>
  </si>
  <si>
    <t>Outcomes in a column are conditional on outcomes to the left</t>
  </si>
  <si>
    <t>ABS(Utility)</t>
  </si>
  <si>
    <t>log-normal prior is parameterized by Y = mu*10^(sigma*X) for standard normal R.V. X</t>
  </si>
  <si>
    <t>Em utility</t>
  </si>
  <si>
    <t>utility per em</t>
  </si>
  <si>
    <t>em weighted utility</t>
  </si>
  <si>
    <t>P(ems exist)</t>
  </si>
  <si>
    <t>ems</t>
  </si>
  <si>
    <t>Estimated from FHI x-risk survey. CI for probability represents uncertainty about estimate.</t>
  </si>
  <si>
    <t>animal advocacy</t>
  </si>
  <si>
    <t>AI safety</t>
  </si>
  <si>
    <t>donations per EA</t>
  </si>
  <si>
    <t>Expected Donation Proportions</t>
  </si>
  <si>
    <t>animal advocacy utility</t>
  </si>
  <si>
    <t>global poverty utility</t>
  </si>
  <si>
    <t>AI safety utility</t>
  </si>
  <si>
    <t>cost to create 1 new EA</t>
  </si>
  <si>
    <t>global poverty (GiveDirectly-equivalent)</t>
  </si>
  <si>
    <t>this proportion is over 1.0 because it's converted into GiveDirectly equivalents, so like 0.5 to AMF is worth maybe 3.0 to GD</t>
  </si>
  <si>
    <t>animal advocacy utility/$1000</t>
  </si>
  <si>
    <t>AI safety utility/$1000</t>
  </si>
  <si>
    <t>global poverty utility/$1000</t>
  </si>
  <si>
    <t>TODO: this uses a fixed prior even though we should use different priors for different intervention categories</t>
  </si>
  <si>
    <t>TODO: mu too high, variance too low. don't know why</t>
  </si>
  <si>
    <t>This figure is pretty robust but only includes land animals, you could increase the upper bound to account for fish/shellfish</t>
  </si>
  <si>
    <t>P(AI researchers' values matter)</t>
  </si>
  <si>
    <t>number of AI researchers when AGI created</t>
  </si>
  <si>
    <t>1/number of AI researchers</t>
  </si>
  <si>
    <t>Different from size of AI safety community; presumably all AI researchers could matter. See https://intelligence.org/2014/01/28/how-big-is-ai/</t>
  </si>
  <si>
    <t>See https://intelligence.org/2014/01/28/how-big-is-ai/</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</si>
</sst>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2"/>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6"/>
      <color theme="1"/>
      <name val="Calibri"/>
      <scheme val="minor"/>
    </font>
    <font>
      <sz val="12"/>
      <color rgb="FF000000"/>
      <name val="Calibri"/>
      <family val="2"/>
      <scheme val="minor"/>
    </font>
    <font>
      <sz val="12"/>
      <name val="Calibri"/>
      <scheme val="minor"/>
    </font>
    <font>
      <sz val="12"/>
      <color rgb="FFFF0000"/>
      <name val="Calibri"/>
      <family val="2"/>
      <scheme val="minor"/>
    </font>
    <font>
      <sz val="12"/>
      <color rgb="FFFF6600"/>
      <name val="Calibri"/>
      <scheme val="minor"/>
    </font>
  </fonts>
  <fills count="23">
    <fill>
      <patternFill patternType="none"/>
    </fill>
    <fill>
      <patternFill patternType="gray125"/>
    </fill>
    <fill>
      <patternFill patternType="solid">
        <fgColor theme="9" tint="0.59999389629810485"/>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C4BD97"/>
        <bgColor rgb="FF000000"/>
      </patternFill>
    </fill>
    <fill>
      <patternFill patternType="solid">
        <fgColor rgb="FFDDD9C4"/>
        <bgColor rgb="FF000000"/>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rgb="FFF79646"/>
        <bgColor rgb="FF000000"/>
      </patternFill>
    </fill>
    <fill>
      <patternFill patternType="solid">
        <fgColor rgb="FFFCD5B4"/>
        <bgColor rgb="FF000000"/>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auto="1"/>
      </top>
      <bottom/>
      <diagonal/>
    </border>
  </borders>
  <cellStyleXfs count="1919">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119">
    <xf numFmtId="0" fontId="0" fillId="0" borderId="0" xfId="0"/>
    <xf numFmtId="0" fontId="3" fillId="0" borderId="0" xfId="0" applyFont="1"/>
    <xf numFmtId="11" fontId="0" fillId="0" borderId="0" xfId="0" applyNumberFormat="1"/>
    <xf numFmtId="0" fontId="0" fillId="0" borderId="0" xfId="0" applyFill="1"/>
    <xf numFmtId="0" fontId="0" fillId="2" borderId="0" xfId="0" applyFill="1"/>
    <xf numFmtId="0" fontId="0" fillId="0" borderId="0" xfId="0" applyAlignment="1">
      <alignment wrapText="1"/>
    </xf>
    <xf numFmtId="0" fontId="4" fillId="0" borderId="0" xfId="0" applyFont="1"/>
    <xf numFmtId="0" fontId="5" fillId="0" borderId="0" xfId="0" applyFont="1"/>
    <xf numFmtId="0" fontId="0" fillId="0" borderId="0" xfId="0" applyFill="1" applyAlignment="1">
      <alignment wrapText="1"/>
    </xf>
    <xf numFmtId="11" fontId="0" fillId="0" borderId="0" xfId="0" applyNumberFormat="1" applyFill="1"/>
    <xf numFmtId="0" fontId="3" fillId="0" borderId="0" xfId="0" applyFont="1" applyAlignment="1">
      <alignment wrapText="1"/>
    </xf>
    <xf numFmtId="0" fontId="4" fillId="0" borderId="0" xfId="0" applyFont="1" applyAlignment="1"/>
    <xf numFmtId="0" fontId="0" fillId="0" borderId="0" xfId="0" applyAlignment="1"/>
    <xf numFmtId="0" fontId="3" fillId="0" borderId="0" xfId="0" applyFont="1" applyFill="1"/>
    <xf numFmtId="0" fontId="0" fillId="12" borderId="0" xfId="0" applyFill="1"/>
    <xf numFmtId="0" fontId="0" fillId="13" borderId="0" xfId="0" applyFill="1"/>
    <xf numFmtId="0" fontId="0" fillId="13" borderId="0" xfId="0" applyFill="1" applyAlignment="1">
      <alignment wrapText="1"/>
    </xf>
    <xf numFmtId="0" fontId="0" fillId="13" borderId="0" xfId="0" applyFont="1" applyFill="1" applyAlignment="1">
      <alignment wrapText="1"/>
    </xf>
    <xf numFmtId="0" fontId="0" fillId="15" borderId="0" xfId="0" applyFill="1"/>
    <xf numFmtId="0" fontId="0" fillId="16" borderId="0" xfId="0" applyFill="1"/>
    <xf numFmtId="0" fontId="0" fillId="16" borderId="0" xfId="0" applyFill="1" applyAlignment="1">
      <alignment horizontal="right"/>
    </xf>
    <xf numFmtId="0" fontId="0" fillId="0" borderId="0" xfId="0" applyFill="1" applyAlignment="1">
      <alignment horizontal="right"/>
    </xf>
    <xf numFmtId="0" fontId="3" fillId="0" borderId="0" xfId="0" applyFont="1" applyFill="1" applyAlignment="1">
      <alignment wrapText="1"/>
    </xf>
    <xf numFmtId="0" fontId="0" fillId="0" borderId="0" xfId="0" applyFont="1" applyFill="1" applyAlignment="1">
      <alignment wrapText="1"/>
    </xf>
    <xf numFmtId="0" fontId="0" fillId="17" borderId="0" xfId="0" applyFill="1"/>
    <xf numFmtId="0" fontId="0" fillId="0" borderId="0" xfId="0" applyFont="1" applyFill="1"/>
    <xf numFmtId="0" fontId="7" fillId="0" borderId="0" xfId="0" applyFont="1" applyFill="1"/>
    <xf numFmtId="0" fontId="0" fillId="15" borderId="0" xfId="0" applyFont="1" applyFill="1"/>
    <xf numFmtId="0" fontId="8" fillId="0" borderId="0" xfId="0" applyFont="1"/>
    <xf numFmtId="0" fontId="5" fillId="0" borderId="0" xfId="0" applyFont="1" applyFill="1"/>
    <xf numFmtId="0" fontId="0" fillId="19" borderId="0" xfId="0" applyFill="1"/>
    <xf numFmtId="0" fontId="0" fillId="20" borderId="0" xfId="0" applyFill="1"/>
    <xf numFmtId="0" fontId="4" fillId="0" borderId="0" xfId="0" applyFont="1" applyAlignment="1">
      <alignment wrapText="1"/>
    </xf>
    <xf numFmtId="0" fontId="0" fillId="14" borderId="0" xfId="0" applyFill="1" applyAlignment="1">
      <alignment wrapText="1"/>
    </xf>
    <xf numFmtId="0" fontId="0" fillId="0" borderId="0" xfId="0" applyBorder="1"/>
    <xf numFmtId="0" fontId="0" fillId="0" borderId="0" xfId="0" applyBorder="1" applyAlignment="1">
      <alignment wrapText="1"/>
    </xf>
    <xf numFmtId="0" fontId="0" fillId="15" borderId="0" xfId="0" applyFill="1" applyAlignment="1">
      <alignment wrapText="1"/>
    </xf>
    <xf numFmtId="0" fontId="0" fillId="14" borderId="0" xfId="0" applyFill="1" applyBorder="1" applyAlignment="1">
      <alignment wrapText="1"/>
    </xf>
    <xf numFmtId="0" fontId="0" fillId="2" borderId="0" xfId="0" applyFill="1" applyBorder="1"/>
    <xf numFmtId="0" fontId="0" fillId="0" borderId="0" xfId="0" applyAlignment="1">
      <alignment horizontal="left" vertical="center"/>
    </xf>
    <xf numFmtId="0" fontId="4" fillId="0" borderId="0" xfId="0" applyFont="1" applyAlignment="1">
      <alignment horizontal="left" vertical="center"/>
    </xf>
    <xf numFmtId="0" fontId="5" fillId="0" borderId="0" xfId="0" applyFont="1" applyAlignment="1">
      <alignment horizontal="left" vertical="center"/>
    </xf>
    <xf numFmtId="0" fontId="0" fillId="11" borderId="1" xfId="0" applyFill="1" applyBorder="1" applyAlignment="1">
      <alignment horizontal="center" vertical="center" wrapText="1"/>
    </xf>
    <xf numFmtId="0" fontId="0" fillId="8" borderId="1" xfId="0" applyFill="1" applyBorder="1" applyAlignment="1">
      <alignment horizontal="center" vertical="center"/>
    </xf>
    <xf numFmtId="0" fontId="0" fillId="0" borderId="0" xfId="0" applyAlignment="1">
      <alignment horizontal="center" vertical="center"/>
    </xf>
    <xf numFmtId="0" fontId="0" fillId="0" borderId="0" xfId="0" applyFill="1" applyAlignment="1">
      <alignment horizontal="center" vertical="center"/>
    </xf>
    <xf numFmtId="0" fontId="0" fillId="11" borderId="2" xfId="0" applyFill="1" applyBorder="1" applyAlignment="1">
      <alignment horizontal="center" vertical="center" wrapText="1"/>
    </xf>
    <xf numFmtId="0" fontId="0" fillId="8" borderId="2" xfId="0" applyFill="1" applyBorder="1" applyAlignment="1">
      <alignment horizontal="center" vertical="center"/>
    </xf>
    <xf numFmtId="0" fontId="4" fillId="0" borderId="0" xfId="0" applyFont="1" applyAlignment="1">
      <alignment horizontal="center" vertical="center"/>
    </xf>
    <xf numFmtId="11" fontId="0" fillId="0" borderId="0" xfId="0" applyNumberFormat="1" applyAlignment="1">
      <alignment horizontal="center" vertical="center"/>
    </xf>
    <xf numFmtId="11" fontId="0" fillId="8" borderId="1" xfId="0" applyNumberFormat="1" applyFill="1" applyBorder="1" applyAlignment="1">
      <alignment horizontal="center" vertical="center"/>
    </xf>
    <xf numFmtId="0" fontId="0" fillId="8" borderId="3" xfId="0" applyFill="1" applyBorder="1" applyAlignment="1">
      <alignment horizontal="center" vertical="center"/>
    </xf>
    <xf numFmtId="0" fontId="0" fillId="11" borderId="3" xfId="0" applyFill="1" applyBorder="1" applyAlignment="1">
      <alignment horizontal="center" vertical="center" wrapText="1"/>
    </xf>
    <xf numFmtId="0" fontId="3" fillId="0" borderId="0" xfId="0" applyFont="1" applyAlignment="1">
      <alignment horizontal="center" vertical="center"/>
    </xf>
    <xf numFmtId="0" fontId="5" fillId="0" borderId="0" xfId="0" applyFont="1" applyAlignment="1">
      <alignment horizontal="center" vertical="center"/>
    </xf>
    <xf numFmtId="0" fontId="0" fillId="0" borderId="0" xfId="0" applyFill="1" applyAlignment="1">
      <alignment horizontal="center" vertical="center" wrapText="1"/>
    </xf>
    <xf numFmtId="11" fontId="0" fillId="0" borderId="0" xfId="0" applyNumberFormat="1" applyFill="1" applyAlignment="1">
      <alignment horizontal="center" vertical="center"/>
    </xf>
    <xf numFmtId="0" fontId="0" fillId="0" borderId="0" xfId="0" applyAlignment="1">
      <alignment horizontal="center" vertical="center" wrapText="1"/>
    </xf>
    <xf numFmtId="0" fontId="0" fillId="14" borderId="0" xfId="0" applyFill="1" applyAlignment="1">
      <alignment horizontal="center" vertical="center"/>
    </xf>
    <xf numFmtId="0" fontId="0" fillId="15" borderId="0" xfId="0" applyFill="1" applyAlignment="1">
      <alignment horizontal="center" vertical="center"/>
    </xf>
    <xf numFmtId="0" fontId="0" fillId="13" borderId="0" xfId="0" applyFill="1" applyAlignment="1">
      <alignment horizontal="center" vertical="center"/>
    </xf>
    <xf numFmtId="0" fontId="6" fillId="19" borderId="0" xfId="0" applyFont="1" applyFill="1" applyAlignment="1">
      <alignment horizontal="center" vertical="center"/>
    </xf>
    <xf numFmtId="0" fontId="0" fillId="11" borderId="0" xfId="0" applyFill="1" applyAlignment="1">
      <alignment horizontal="center" vertical="center"/>
    </xf>
    <xf numFmtId="0" fontId="0" fillId="0" borderId="3" xfId="0" applyFill="1" applyBorder="1" applyAlignment="1">
      <alignment horizontal="center" vertical="center" wrapText="1"/>
    </xf>
    <xf numFmtId="11" fontId="0" fillId="0" borderId="3" xfId="0" applyNumberFormat="1" applyFill="1" applyBorder="1" applyAlignment="1">
      <alignment horizontal="center" vertical="center"/>
    </xf>
    <xf numFmtId="0" fontId="0" fillId="11" borderId="0" xfId="0" applyFill="1" applyBorder="1" applyAlignment="1">
      <alignment horizontal="center" vertical="center" wrapText="1"/>
    </xf>
    <xf numFmtId="0" fontId="0" fillId="8" borderId="0" xfId="0" applyFill="1" applyBorder="1" applyAlignment="1">
      <alignment horizontal="center" vertical="center"/>
    </xf>
    <xf numFmtId="0" fontId="0" fillId="11" borderId="0" xfId="0" applyFill="1" applyBorder="1" applyAlignment="1">
      <alignment horizontal="center" vertical="center"/>
    </xf>
    <xf numFmtId="0" fontId="6" fillId="8" borderId="0" xfId="0" applyFont="1" applyFill="1" applyBorder="1" applyAlignment="1">
      <alignment horizontal="center" vertical="center"/>
    </xf>
    <xf numFmtId="0" fontId="0" fillId="4" borderId="0" xfId="0" applyFill="1" applyBorder="1" applyAlignment="1">
      <alignment horizontal="center" vertical="center" wrapText="1"/>
    </xf>
    <xf numFmtId="11" fontId="0" fillId="3" borderId="0" xfId="0" applyNumberFormat="1" applyFill="1" applyBorder="1" applyAlignment="1">
      <alignment horizontal="center" vertical="center"/>
    </xf>
    <xf numFmtId="0" fontId="5" fillId="9" borderId="0" xfId="0" applyFont="1" applyFill="1" applyBorder="1" applyAlignment="1">
      <alignment horizontal="center" vertical="center" wrapText="1"/>
    </xf>
    <xf numFmtId="11" fontId="5" fillId="10" borderId="0" xfId="0" applyNumberFormat="1" applyFont="1" applyFill="1" applyBorder="1" applyAlignment="1">
      <alignment horizontal="center" vertical="center"/>
    </xf>
    <xf numFmtId="11" fontId="0" fillId="8" borderId="0" xfId="0" applyNumberFormat="1" applyFill="1" applyBorder="1" applyAlignment="1">
      <alignment horizontal="center" vertical="center"/>
    </xf>
    <xf numFmtId="0" fontId="0" fillId="2" borderId="0" xfId="0" applyFill="1" applyBorder="1" applyAlignment="1">
      <alignment horizontal="center" vertical="center"/>
    </xf>
    <xf numFmtId="0" fontId="0" fillId="5" borderId="0" xfId="0" applyFill="1" applyBorder="1" applyAlignment="1">
      <alignment horizontal="center" vertical="center"/>
    </xf>
    <xf numFmtId="0" fontId="0" fillId="0" borderId="0" xfId="0" applyBorder="1" applyAlignment="1">
      <alignment horizontal="left" vertical="center"/>
    </xf>
    <xf numFmtId="0" fontId="0" fillId="0" borderId="0" xfId="0" applyBorder="1" applyAlignment="1">
      <alignment horizontal="center" vertical="center"/>
    </xf>
    <xf numFmtId="11" fontId="0" fillId="5" borderId="0" xfId="0" applyNumberFormat="1" applyFill="1" applyBorder="1" applyAlignment="1">
      <alignment horizontal="center" vertical="center"/>
    </xf>
    <xf numFmtId="0" fontId="4" fillId="0" borderId="0" xfId="0" applyFont="1" applyBorder="1"/>
    <xf numFmtId="0" fontId="0" fillId="7" borderId="0" xfId="0" applyFill="1" applyBorder="1" applyAlignment="1">
      <alignment horizontal="center" vertical="center" wrapText="1"/>
    </xf>
    <xf numFmtId="0" fontId="0" fillId="6" borderId="0" xfId="0" applyFill="1" applyBorder="1" applyAlignment="1">
      <alignment horizontal="center" vertical="center" wrapText="1"/>
    </xf>
    <xf numFmtId="0" fontId="0" fillId="0" borderId="0" xfId="0" applyBorder="1" applyAlignment="1">
      <alignment horizontal="center" vertical="center" wrapText="1"/>
    </xf>
    <xf numFmtId="0" fontId="0" fillId="0" borderId="0" xfId="0" applyFill="1" applyBorder="1" applyAlignment="1">
      <alignment horizontal="center" vertical="center" wrapText="1"/>
    </xf>
    <xf numFmtId="11" fontId="0" fillId="6" borderId="0" xfId="0" applyNumberFormat="1" applyFill="1" applyBorder="1" applyAlignment="1">
      <alignment horizontal="center" vertical="center" wrapText="1"/>
    </xf>
    <xf numFmtId="0" fontId="0" fillId="0" borderId="0" xfId="0" applyBorder="1" applyAlignment="1">
      <alignment horizontal="left"/>
    </xf>
    <xf numFmtId="0" fontId="0" fillId="8" borderId="1" xfId="0" applyNumberFormat="1" applyFill="1" applyBorder="1" applyAlignment="1">
      <alignment horizontal="center" vertical="center"/>
    </xf>
    <xf numFmtId="0" fontId="0" fillId="8" borderId="2" xfId="0" applyNumberFormat="1" applyFill="1" applyBorder="1" applyAlignment="1">
      <alignment horizontal="center" vertical="center"/>
    </xf>
    <xf numFmtId="0" fontId="0" fillId="0" borderId="2" xfId="0" applyBorder="1" applyAlignment="1">
      <alignment horizontal="center" vertical="center" wrapText="1"/>
    </xf>
    <xf numFmtId="0" fontId="0" fillId="0" borderId="2" xfId="0" applyBorder="1" applyAlignment="1">
      <alignment horizontal="center" vertical="center"/>
    </xf>
    <xf numFmtId="0" fontId="0" fillId="0" borderId="2" xfId="0" applyFill="1" applyBorder="1" applyAlignment="1">
      <alignment horizontal="center" vertical="center" wrapText="1"/>
    </xf>
    <xf numFmtId="0" fontId="0" fillId="0" borderId="3" xfId="0" applyBorder="1" applyAlignment="1">
      <alignment horizontal="center" vertical="center"/>
    </xf>
    <xf numFmtId="11" fontId="0" fillId="0" borderId="2" xfId="0" applyNumberFormat="1" applyBorder="1" applyAlignment="1">
      <alignment horizontal="center" vertical="center"/>
    </xf>
    <xf numFmtId="0" fontId="0" fillId="0" borderId="3" xfId="0" applyBorder="1" applyAlignment="1">
      <alignment horizontal="center" vertical="center" wrapText="1"/>
    </xf>
    <xf numFmtId="0" fontId="0" fillId="11" borderId="0" xfId="0" applyFill="1" applyAlignment="1">
      <alignment horizontal="center" vertical="center" wrapText="1"/>
    </xf>
    <xf numFmtId="0" fontId="0" fillId="8" borderId="0" xfId="0" applyFill="1" applyAlignment="1">
      <alignment horizontal="center" vertical="center"/>
    </xf>
    <xf numFmtId="0" fontId="4" fillId="0" borderId="0" xfId="0" applyFont="1" applyBorder="1" applyAlignment="1">
      <alignment horizontal="left"/>
    </xf>
    <xf numFmtId="0" fontId="0" fillId="11" borderId="1" xfId="0" applyFont="1" applyFill="1" applyBorder="1" applyAlignment="1">
      <alignment horizontal="center" vertical="center" wrapText="1"/>
    </xf>
    <xf numFmtId="0" fontId="0" fillId="11" borderId="2" xfId="0" applyFont="1" applyFill="1" applyBorder="1" applyAlignment="1">
      <alignment horizontal="center" vertical="center" wrapText="1"/>
    </xf>
    <xf numFmtId="0" fontId="0" fillId="14" borderId="0" xfId="0" applyFill="1" applyAlignment="1">
      <alignment horizontal="center" vertical="center" wrapText="1"/>
    </xf>
    <xf numFmtId="0" fontId="0" fillId="2" borderId="0" xfId="0" applyFill="1" applyAlignment="1">
      <alignment horizontal="center" vertical="center" wrapText="1"/>
    </xf>
    <xf numFmtId="0" fontId="0" fillId="0" borderId="1" xfId="0" applyFont="1" applyFill="1" applyBorder="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wrapText="1"/>
    </xf>
    <xf numFmtId="0" fontId="0" fillId="8" borderId="2" xfId="0" applyFill="1" applyBorder="1" applyAlignment="1">
      <alignment horizontal="center" vertical="center" wrapText="1"/>
    </xf>
    <xf numFmtId="11" fontId="0" fillId="0" borderId="2" xfId="0" applyNumberFormat="1" applyFill="1" applyBorder="1" applyAlignment="1">
      <alignment horizontal="center" vertical="center" wrapText="1"/>
    </xf>
    <xf numFmtId="11" fontId="0" fillId="8" borderId="3" xfId="0" applyNumberFormat="1" applyFill="1" applyBorder="1" applyAlignment="1">
      <alignment horizontal="center" vertical="center" wrapText="1"/>
    </xf>
    <xf numFmtId="0" fontId="0" fillId="8" borderId="3" xfId="0" applyFill="1" applyBorder="1" applyAlignment="1">
      <alignment horizontal="center" vertical="center" wrapText="1"/>
    </xf>
    <xf numFmtId="0" fontId="3" fillId="0" borderId="0" xfId="0" applyFont="1" applyAlignment="1">
      <alignment horizontal="left" vertical="top" wrapText="1"/>
    </xf>
    <xf numFmtId="0" fontId="3" fillId="0" borderId="0" xfId="0" applyFont="1" applyAlignment="1">
      <alignment horizontal="left" wrapText="1"/>
    </xf>
    <xf numFmtId="0" fontId="0" fillId="18" borderId="0" xfId="0" applyFill="1" applyAlignment="1">
      <alignment wrapText="1"/>
    </xf>
    <xf numFmtId="0" fontId="5" fillId="21" borderId="0" xfId="0" applyFont="1" applyFill="1" applyAlignment="1">
      <alignment wrapText="1"/>
    </xf>
    <xf numFmtId="0" fontId="5" fillId="22" borderId="0" xfId="0" applyNumberFormat="1" applyFont="1" applyFill="1"/>
    <xf numFmtId="0" fontId="5" fillId="22" borderId="0" xfId="0" applyFont="1" applyFill="1"/>
    <xf numFmtId="0" fontId="0" fillId="8" borderId="1" xfId="0" applyFill="1" applyBorder="1" applyAlignment="1">
      <alignment horizontal="center" vertical="center" wrapText="1"/>
    </xf>
    <xf numFmtId="0" fontId="0" fillId="13" borderId="0" xfId="0" applyFont="1" applyFill="1"/>
    <xf numFmtId="0" fontId="6" fillId="11" borderId="2" xfId="0" applyFont="1" applyFill="1" applyBorder="1" applyAlignment="1">
      <alignment horizontal="center" vertical="center" wrapText="1"/>
    </xf>
    <xf numFmtId="0" fontId="6" fillId="8" borderId="2" xfId="0" applyFont="1" applyFill="1" applyBorder="1" applyAlignment="1">
      <alignment horizontal="center" vertical="center"/>
    </xf>
    <xf numFmtId="0" fontId="0" fillId="0" borderId="0" xfId="0" applyAlignment="1">
      <alignment vertical="center"/>
    </xf>
  </cellXfs>
  <cellStyles count="19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Followed Hyperlink" xfId="720" builtinId="9" hidden="1"/>
    <cellStyle name="Followed Hyperlink" xfId="722" builtinId="9" hidden="1"/>
    <cellStyle name="Followed Hyperlink" xfId="724" builtinId="9" hidden="1"/>
    <cellStyle name="Followed Hyperlink" xfId="726" builtinId="9" hidden="1"/>
    <cellStyle name="Followed Hyperlink" xfId="728" builtinId="9" hidden="1"/>
    <cellStyle name="Followed Hyperlink" xfId="730" builtinId="9" hidden="1"/>
    <cellStyle name="Followed Hyperlink" xfId="732" builtinId="9" hidden="1"/>
    <cellStyle name="Followed Hyperlink" xfId="734" builtinId="9" hidden="1"/>
    <cellStyle name="Followed Hyperlink" xfId="736" builtinId="9" hidden="1"/>
    <cellStyle name="Followed Hyperlink" xfId="738" builtinId="9" hidden="1"/>
    <cellStyle name="Followed Hyperlink" xfId="740" builtinId="9" hidden="1"/>
    <cellStyle name="Followed Hyperlink" xfId="742" builtinId="9" hidden="1"/>
    <cellStyle name="Followed Hyperlink" xfId="744" builtinId="9" hidden="1"/>
    <cellStyle name="Followed Hyperlink" xfId="746" builtinId="9" hidden="1"/>
    <cellStyle name="Followed Hyperlink" xfId="748" builtinId="9" hidden="1"/>
    <cellStyle name="Followed Hyperlink" xfId="750" builtinId="9" hidden="1"/>
    <cellStyle name="Followed Hyperlink" xfId="752" builtinId="9" hidden="1"/>
    <cellStyle name="Followed Hyperlink" xfId="754" builtinId="9" hidden="1"/>
    <cellStyle name="Followed Hyperlink" xfId="756" builtinId="9" hidden="1"/>
    <cellStyle name="Followed Hyperlink" xfId="758" builtinId="9" hidden="1"/>
    <cellStyle name="Followed Hyperlink" xfId="760" builtinId="9" hidden="1"/>
    <cellStyle name="Followed Hyperlink" xfId="762" builtinId="9" hidden="1"/>
    <cellStyle name="Followed Hyperlink" xfId="764" builtinId="9" hidden="1"/>
    <cellStyle name="Followed Hyperlink" xfId="766" builtinId="9" hidden="1"/>
    <cellStyle name="Followed Hyperlink" xfId="768" builtinId="9" hidden="1"/>
    <cellStyle name="Followed Hyperlink" xfId="770" builtinId="9" hidden="1"/>
    <cellStyle name="Followed Hyperlink" xfId="772" builtinId="9" hidden="1"/>
    <cellStyle name="Followed Hyperlink" xfId="774" builtinId="9" hidden="1"/>
    <cellStyle name="Followed Hyperlink" xfId="776" builtinId="9" hidden="1"/>
    <cellStyle name="Followed Hyperlink" xfId="778" builtinId="9" hidden="1"/>
    <cellStyle name="Followed Hyperlink" xfId="780" builtinId="9" hidden="1"/>
    <cellStyle name="Followed Hyperlink" xfId="782" builtinId="9" hidden="1"/>
    <cellStyle name="Followed Hyperlink" xfId="784" builtinId="9" hidden="1"/>
    <cellStyle name="Followed Hyperlink" xfId="786" builtinId="9" hidden="1"/>
    <cellStyle name="Followed Hyperlink" xfId="788" builtinId="9" hidden="1"/>
    <cellStyle name="Followed Hyperlink" xfId="790" builtinId="9" hidden="1"/>
    <cellStyle name="Followed Hyperlink" xfId="792" builtinId="9" hidden="1"/>
    <cellStyle name="Followed Hyperlink" xfId="794" builtinId="9" hidden="1"/>
    <cellStyle name="Followed Hyperlink" xfId="796" builtinId="9" hidden="1"/>
    <cellStyle name="Followed Hyperlink" xfId="798" builtinId="9" hidden="1"/>
    <cellStyle name="Followed Hyperlink" xfId="800" builtinId="9" hidden="1"/>
    <cellStyle name="Followed Hyperlink" xfId="802" builtinId="9" hidden="1"/>
    <cellStyle name="Followed Hyperlink" xfId="804" builtinId="9" hidden="1"/>
    <cellStyle name="Followed Hyperlink" xfId="806" builtinId="9" hidden="1"/>
    <cellStyle name="Followed Hyperlink" xfId="808" builtinId="9" hidden="1"/>
    <cellStyle name="Followed Hyperlink" xfId="810" builtinId="9" hidden="1"/>
    <cellStyle name="Followed Hyperlink" xfId="812" builtinId="9" hidden="1"/>
    <cellStyle name="Followed Hyperlink" xfId="814" builtinId="9" hidden="1"/>
    <cellStyle name="Followed Hyperlink" xfId="816" builtinId="9" hidden="1"/>
    <cellStyle name="Followed Hyperlink" xfId="818" builtinId="9" hidden="1"/>
    <cellStyle name="Followed Hyperlink" xfId="820" builtinId="9" hidden="1"/>
    <cellStyle name="Followed Hyperlink" xfId="822" builtinId="9" hidden="1"/>
    <cellStyle name="Followed Hyperlink" xfId="824" builtinId="9" hidden="1"/>
    <cellStyle name="Followed Hyperlink" xfId="826" builtinId="9" hidden="1"/>
    <cellStyle name="Followed Hyperlink" xfId="828" builtinId="9" hidden="1"/>
    <cellStyle name="Followed Hyperlink" xfId="830" builtinId="9" hidden="1"/>
    <cellStyle name="Followed Hyperlink" xfId="832" builtinId="9" hidden="1"/>
    <cellStyle name="Followed Hyperlink" xfId="834" builtinId="9" hidden="1"/>
    <cellStyle name="Followed Hyperlink" xfId="836" builtinId="9" hidden="1"/>
    <cellStyle name="Followed Hyperlink" xfId="838" builtinId="9" hidden="1"/>
    <cellStyle name="Followed Hyperlink" xfId="840" builtinId="9" hidden="1"/>
    <cellStyle name="Followed Hyperlink" xfId="842" builtinId="9" hidden="1"/>
    <cellStyle name="Followed Hyperlink" xfId="844" builtinId="9" hidden="1"/>
    <cellStyle name="Followed Hyperlink" xfId="846" builtinId="9" hidden="1"/>
    <cellStyle name="Followed Hyperlink" xfId="848" builtinId="9" hidden="1"/>
    <cellStyle name="Followed Hyperlink" xfId="850" builtinId="9" hidden="1"/>
    <cellStyle name="Followed Hyperlink" xfId="852" builtinId="9" hidden="1"/>
    <cellStyle name="Followed Hyperlink" xfId="854" builtinId="9" hidden="1"/>
    <cellStyle name="Followed Hyperlink" xfId="856" builtinId="9" hidden="1"/>
    <cellStyle name="Followed Hyperlink" xfId="858" builtinId="9" hidden="1"/>
    <cellStyle name="Followed Hyperlink" xfId="860" builtinId="9" hidden="1"/>
    <cellStyle name="Followed Hyperlink" xfId="862" builtinId="9" hidden="1"/>
    <cellStyle name="Followed Hyperlink" xfId="864" builtinId="9" hidden="1"/>
    <cellStyle name="Followed Hyperlink" xfId="866" builtinId="9" hidden="1"/>
    <cellStyle name="Followed Hyperlink" xfId="868" builtinId="9" hidden="1"/>
    <cellStyle name="Followed Hyperlink" xfId="870" builtinId="9" hidden="1"/>
    <cellStyle name="Followed Hyperlink" xfId="872" builtinId="9" hidden="1"/>
    <cellStyle name="Followed Hyperlink" xfId="874" builtinId="9" hidden="1"/>
    <cellStyle name="Followed Hyperlink" xfId="876" builtinId="9" hidden="1"/>
    <cellStyle name="Followed Hyperlink" xfId="878" builtinId="9" hidden="1"/>
    <cellStyle name="Followed Hyperlink" xfId="880" builtinId="9" hidden="1"/>
    <cellStyle name="Followed Hyperlink" xfId="882" builtinId="9" hidden="1"/>
    <cellStyle name="Followed Hyperlink" xfId="884" builtinId="9" hidden="1"/>
    <cellStyle name="Followed Hyperlink" xfId="886" builtinId="9" hidden="1"/>
    <cellStyle name="Followed Hyperlink" xfId="888" builtinId="9" hidden="1"/>
    <cellStyle name="Followed Hyperlink" xfId="890" builtinId="9" hidden="1"/>
    <cellStyle name="Followed Hyperlink" xfId="892" builtinId="9" hidden="1"/>
    <cellStyle name="Followed Hyperlink" xfId="894" builtinId="9" hidden="1"/>
    <cellStyle name="Followed Hyperlink" xfId="896" builtinId="9" hidden="1"/>
    <cellStyle name="Followed Hyperlink" xfId="898" builtinId="9" hidden="1"/>
    <cellStyle name="Followed Hyperlink" xfId="900" builtinId="9" hidden="1"/>
    <cellStyle name="Followed Hyperlink" xfId="902" builtinId="9" hidden="1"/>
    <cellStyle name="Followed Hyperlink" xfId="904" builtinId="9" hidden="1"/>
    <cellStyle name="Followed Hyperlink" xfId="906" builtinId="9" hidden="1"/>
    <cellStyle name="Followed Hyperlink" xfId="908" builtinId="9" hidden="1"/>
    <cellStyle name="Followed Hyperlink" xfId="910" builtinId="9" hidden="1"/>
    <cellStyle name="Followed Hyperlink" xfId="912" builtinId="9" hidden="1"/>
    <cellStyle name="Followed Hyperlink" xfId="914" builtinId="9" hidden="1"/>
    <cellStyle name="Followed Hyperlink" xfId="916" builtinId="9" hidden="1"/>
    <cellStyle name="Followed Hyperlink" xfId="918" builtinId="9" hidden="1"/>
    <cellStyle name="Followed Hyperlink" xfId="920" builtinId="9" hidden="1"/>
    <cellStyle name="Followed Hyperlink" xfId="922" builtinId="9" hidden="1"/>
    <cellStyle name="Followed Hyperlink" xfId="924" builtinId="9" hidden="1"/>
    <cellStyle name="Followed Hyperlink" xfId="926" builtinId="9" hidden="1"/>
    <cellStyle name="Followed Hyperlink" xfId="928" builtinId="9" hidden="1"/>
    <cellStyle name="Followed Hyperlink" xfId="930" builtinId="9" hidden="1"/>
    <cellStyle name="Followed Hyperlink" xfId="932" builtinId="9" hidden="1"/>
    <cellStyle name="Followed Hyperlink" xfId="934" builtinId="9" hidden="1"/>
    <cellStyle name="Followed Hyperlink" xfId="936" builtinId="9" hidden="1"/>
    <cellStyle name="Followed Hyperlink" xfId="938" builtinId="9" hidden="1"/>
    <cellStyle name="Followed Hyperlink" xfId="940" builtinId="9" hidden="1"/>
    <cellStyle name="Followed Hyperlink" xfId="942" builtinId="9" hidden="1"/>
    <cellStyle name="Followed Hyperlink" xfId="944" builtinId="9" hidden="1"/>
    <cellStyle name="Followed Hyperlink" xfId="946" builtinId="9" hidden="1"/>
    <cellStyle name="Followed Hyperlink" xfId="948" builtinId="9" hidden="1"/>
    <cellStyle name="Followed Hyperlink" xfId="950" builtinId="9" hidden="1"/>
    <cellStyle name="Followed Hyperlink" xfId="952" builtinId="9" hidden="1"/>
    <cellStyle name="Followed Hyperlink" xfId="954" builtinId="9" hidden="1"/>
    <cellStyle name="Followed Hyperlink" xfId="956" builtinId="9" hidden="1"/>
    <cellStyle name="Followed Hyperlink" xfId="958" builtinId="9" hidden="1"/>
    <cellStyle name="Followed Hyperlink" xfId="960" builtinId="9" hidden="1"/>
    <cellStyle name="Followed Hyperlink" xfId="962" builtinId="9" hidden="1"/>
    <cellStyle name="Followed Hyperlink" xfId="964" builtinId="9" hidden="1"/>
    <cellStyle name="Followed Hyperlink" xfId="966" builtinId="9" hidden="1"/>
    <cellStyle name="Followed Hyperlink" xfId="968" builtinId="9" hidden="1"/>
    <cellStyle name="Followed Hyperlink" xfId="970" builtinId="9" hidden="1"/>
    <cellStyle name="Followed Hyperlink" xfId="972" builtinId="9" hidden="1"/>
    <cellStyle name="Followed Hyperlink" xfId="974" builtinId="9" hidden="1"/>
    <cellStyle name="Followed Hyperlink" xfId="976" builtinId="9" hidden="1"/>
    <cellStyle name="Followed Hyperlink" xfId="978" builtinId="9" hidden="1"/>
    <cellStyle name="Followed Hyperlink" xfId="980" builtinId="9" hidden="1"/>
    <cellStyle name="Followed Hyperlink" xfId="982" builtinId="9" hidden="1"/>
    <cellStyle name="Followed Hyperlink" xfId="984" builtinId="9" hidden="1"/>
    <cellStyle name="Followed Hyperlink" xfId="986" builtinId="9" hidden="1"/>
    <cellStyle name="Followed Hyperlink" xfId="988" builtinId="9" hidden="1"/>
    <cellStyle name="Followed Hyperlink" xfId="990" builtinId="9" hidden="1"/>
    <cellStyle name="Followed Hyperlink" xfId="992" builtinId="9" hidden="1"/>
    <cellStyle name="Followed Hyperlink" xfId="994" builtinId="9" hidden="1"/>
    <cellStyle name="Followed Hyperlink" xfId="996" builtinId="9" hidden="1"/>
    <cellStyle name="Followed Hyperlink" xfId="998" builtinId="9" hidden="1"/>
    <cellStyle name="Followed Hyperlink" xfId="1000" builtinId="9" hidden="1"/>
    <cellStyle name="Followed Hyperlink" xfId="1002" builtinId="9" hidden="1"/>
    <cellStyle name="Followed Hyperlink" xfId="1004" builtinId="9" hidden="1"/>
    <cellStyle name="Followed Hyperlink" xfId="1006" builtinId="9" hidden="1"/>
    <cellStyle name="Followed Hyperlink" xfId="1008" builtinId="9" hidden="1"/>
    <cellStyle name="Followed Hyperlink" xfId="1010" builtinId="9" hidden="1"/>
    <cellStyle name="Followed Hyperlink" xfId="1012" builtinId="9" hidden="1"/>
    <cellStyle name="Followed Hyperlink" xfId="1014" builtinId="9" hidden="1"/>
    <cellStyle name="Followed Hyperlink" xfId="1016" builtinId="9" hidden="1"/>
    <cellStyle name="Followed Hyperlink" xfId="1018" builtinId="9" hidden="1"/>
    <cellStyle name="Followed Hyperlink" xfId="1020" builtinId="9" hidden="1"/>
    <cellStyle name="Followed Hyperlink" xfId="1022" builtinId="9" hidden="1"/>
    <cellStyle name="Followed Hyperlink" xfId="1024" builtinId="9" hidden="1"/>
    <cellStyle name="Followed Hyperlink" xfId="1026" builtinId="9" hidden="1"/>
    <cellStyle name="Followed Hyperlink" xfId="1028" builtinId="9" hidden="1"/>
    <cellStyle name="Followed Hyperlink" xfId="1030" builtinId="9" hidden="1"/>
    <cellStyle name="Followed Hyperlink" xfId="1032" builtinId="9" hidden="1"/>
    <cellStyle name="Followed Hyperlink" xfId="1034" builtinId="9" hidden="1"/>
    <cellStyle name="Followed Hyperlink" xfId="1036" builtinId="9" hidden="1"/>
    <cellStyle name="Followed Hyperlink" xfId="1038" builtinId="9" hidden="1"/>
    <cellStyle name="Followed Hyperlink" xfId="1040" builtinId="9" hidden="1"/>
    <cellStyle name="Followed Hyperlink" xfId="1042" builtinId="9" hidden="1"/>
    <cellStyle name="Followed Hyperlink" xfId="1044" builtinId="9" hidden="1"/>
    <cellStyle name="Followed Hyperlink" xfId="1046" builtinId="9" hidden="1"/>
    <cellStyle name="Followed Hyperlink" xfId="1048" builtinId="9" hidden="1"/>
    <cellStyle name="Followed Hyperlink" xfId="1050" builtinId="9" hidden="1"/>
    <cellStyle name="Followed Hyperlink" xfId="1052" builtinId="9" hidden="1"/>
    <cellStyle name="Followed Hyperlink" xfId="1054" builtinId="9" hidden="1"/>
    <cellStyle name="Followed Hyperlink" xfId="1056" builtinId="9" hidden="1"/>
    <cellStyle name="Followed Hyperlink" xfId="1058" builtinId="9" hidden="1"/>
    <cellStyle name="Followed Hyperlink" xfId="1060" builtinId="9" hidden="1"/>
    <cellStyle name="Followed Hyperlink" xfId="1062" builtinId="9" hidden="1"/>
    <cellStyle name="Followed Hyperlink" xfId="1064" builtinId="9" hidden="1"/>
    <cellStyle name="Followed Hyperlink" xfId="1066" builtinId="9" hidden="1"/>
    <cellStyle name="Followed Hyperlink" xfId="1068" builtinId="9" hidden="1"/>
    <cellStyle name="Followed Hyperlink" xfId="1070" builtinId="9" hidden="1"/>
    <cellStyle name="Followed Hyperlink" xfId="1072" builtinId="9" hidden="1"/>
    <cellStyle name="Followed Hyperlink" xfId="1074" builtinId="9" hidden="1"/>
    <cellStyle name="Followed Hyperlink" xfId="1076" builtinId="9" hidden="1"/>
    <cellStyle name="Followed Hyperlink" xfId="1078" builtinId="9" hidden="1"/>
    <cellStyle name="Followed Hyperlink" xfId="1080" builtinId="9" hidden="1"/>
    <cellStyle name="Followed Hyperlink" xfId="1082" builtinId="9" hidden="1"/>
    <cellStyle name="Followed Hyperlink" xfId="1084" builtinId="9" hidden="1"/>
    <cellStyle name="Followed Hyperlink" xfId="1086" builtinId="9" hidden="1"/>
    <cellStyle name="Followed Hyperlink" xfId="1088" builtinId="9" hidden="1"/>
    <cellStyle name="Followed Hyperlink" xfId="1090" builtinId="9" hidden="1"/>
    <cellStyle name="Followed Hyperlink" xfId="1092" builtinId="9" hidden="1"/>
    <cellStyle name="Followed Hyperlink" xfId="1094" builtinId="9" hidden="1"/>
    <cellStyle name="Followed Hyperlink" xfId="1096" builtinId="9" hidden="1"/>
    <cellStyle name="Followed Hyperlink" xfId="1098" builtinId="9" hidden="1"/>
    <cellStyle name="Followed Hyperlink" xfId="1100" builtinId="9" hidden="1"/>
    <cellStyle name="Followed Hyperlink" xfId="1102" builtinId="9" hidden="1"/>
    <cellStyle name="Followed Hyperlink" xfId="1104" builtinId="9" hidden="1"/>
    <cellStyle name="Followed Hyperlink" xfId="1106" builtinId="9" hidden="1"/>
    <cellStyle name="Followed Hyperlink" xfId="1108" builtinId="9" hidden="1"/>
    <cellStyle name="Followed Hyperlink" xfId="1110" builtinId="9" hidden="1"/>
    <cellStyle name="Followed Hyperlink" xfId="1112" builtinId="9" hidden="1"/>
    <cellStyle name="Followed Hyperlink" xfId="1114" builtinId="9" hidden="1"/>
    <cellStyle name="Followed Hyperlink" xfId="1116" builtinId="9" hidden="1"/>
    <cellStyle name="Followed Hyperlink" xfId="1118" builtinId="9" hidden="1"/>
    <cellStyle name="Followed Hyperlink" xfId="1120" builtinId="9" hidden="1"/>
    <cellStyle name="Followed Hyperlink" xfId="1122" builtinId="9" hidden="1"/>
    <cellStyle name="Followed Hyperlink" xfId="1124" builtinId="9" hidden="1"/>
    <cellStyle name="Followed Hyperlink" xfId="1126" builtinId="9" hidden="1"/>
    <cellStyle name="Followed Hyperlink" xfId="1128" builtinId="9" hidden="1"/>
    <cellStyle name="Followed Hyperlink" xfId="1130" builtinId="9" hidden="1"/>
    <cellStyle name="Followed Hyperlink" xfId="1132" builtinId="9" hidden="1"/>
    <cellStyle name="Followed Hyperlink" xfId="1134" builtinId="9" hidden="1"/>
    <cellStyle name="Followed Hyperlink" xfId="1136" builtinId="9" hidden="1"/>
    <cellStyle name="Followed Hyperlink" xfId="1138" builtinId="9" hidden="1"/>
    <cellStyle name="Followed Hyperlink" xfId="1140" builtinId="9" hidden="1"/>
    <cellStyle name="Followed Hyperlink" xfId="1142" builtinId="9" hidden="1"/>
    <cellStyle name="Followed Hyperlink" xfId="1144" builtinId="9" hidden="1"/>
    <cellStyle name="Followed Hyperlink" xfId="1146" builtinId="9" hidden="1"/>
    <cellStyle name="Followed Hyperlink" xfId="1148" builtinId="9" hidden="1"/>
    <cellStyle name="Followed Hyperlink" xfId="1150" builtinId="9" hidden="1"/>
    <cellStyle name="Followed Hyperlink" xfId="1152" builtinId="9" hidden="1"/>
    <cellStyle name="Followed Hyperlink" xfId="1154" builtinId="9" hidden="1"/>
    <cellStyle name="Followed Hyperlink" xfId="1156" builtinId="9" hidden="1"/>
    <cellStyle name="Followed Hyperlink" xfId="1158" builtinId="9" hidden="1"/>
    <cellStyle name="Followed Hyperlink" xfId="1160" builtinId="9" hidden="1"/>
    <cellStyle name="Followed Hyperlink" xfId="1162" builtinId="9" hidden="1"/>
    <cellStyle name="Followed Hyperlink" xfId="1164" builtinId="9" hidden="1"/>
    <cellStyle name="Followed Hyperlink" xfId="1166" builtinId="9" hidden="1"/>
    <cellStyle name="Followed Hyperlink" xfId="1168" builtinId="9" hidden="1"/>
    <cellStyle name="Followed Hyperlink" xfId="1170" builtinId="9" hidden="1"/>
    <cellStyle name="Followed Hyperlink" xfId="1172" builtinId="9" hidden="1"/>
    <cellStyle name="Followed Hyperlink" xfId="1174" builtinId="9" hidden="1"/>
    <cellStyle name="Followed Hyperlink" xfId="1176" builtinId="9" hidden="1"/>
    <cellStyle name="Followed Hyperlink" xfId="1178" builtinId="9" hidden="1"/>
    <cellStyle name="Followed Hyperlink" xfId="1180" builtinId="9" hidden="1"/>
    <cellStyle name="Followed Hyperlink" xfId="1182" builtinId="9" hidden="1"/>
    <cellStyle name="Followed Hyperlink" xfId="1184" builtinId="9" hidden="1"/>
    <cellStyle name="Followed Hyperlink" xfId="1186" builtinId="9" hidden="1"/>
    <cellStyle name="Followed Hyperlink" xfId="1188" builtinId="9" hidden="1"/>
    <cellStyle name="Followed Hyperlink" xfId="1190" builtinId="9" hidden="1"/>
    <cellStyle name="Followed Hyperlink" xfId="1192" builtinId="9" hidden="1"/>
    <cellStyle name="Followed Hyperlink" xfId="1194" builtinId="9" hidden="1"/>
    <cellStyle name="Followed Hyperlink" xfId="1196" builtinId="9" hidden="1"/>
    <cellStyle name="Followed Hyperlink" xfId="1198" builtinId="9" hidden="1"/>
    <cellStyle name="Followed Hyperlink" xfId="1200" builtinId="9" hidden="1"/>
    <cellStyle name="Followed Hyperlink" xfId="1202" builtinId="9" hidden="1"/>
    <cellStyle name="Followed Hyperlink" xfId="1204" builtinId="9" hidden="1"/>
    <cellStyle name="Followed Hyperlink" xfId="1206" builtinId="9" hidden="1"/>
    <cellStyle name="Followed Hyperlink" xfId="1208" builtinId="9" hidden="1"/>
    <cellStyle name="Followed Hyperlink" xfId="1210" builtinId="9" hidden="1"/>
    <cellStyle name="Followed Hyperlink" xfId="1212" builtinId="9" hidden="1"/>
    <cellStyle name="Followed Hyperlink" xfId="1214" builtinId="9" hidden="1"/>
    <cellStyle name="Followed Hyperlink" xfId="1216" builtinId="9" hidden="1"/>
    <cellStyle name="Followed Hyperlink" xfId="1218" builtinId="9" hidden="1"/>
    <cellStyle name="Followed Hyperlink" xfId="1220" builtinId="9" hidden="1"/>
    <cellStyle name="Followed Hyperlink" xfId="1222" builtinId="9" hidden="1"/>
    <cellStyle name="Followed Hyperlink" xfId="1224" builtinId="9" hidden="1"/>
    <cellStyle name="Followed Hyperlink" xfId="1226" builtinId="9" hidden="1"/>
    <cellStyle name="Followed Hyperlink" xfId="1228" builtinId="9" hidden="1"/>
    <cellStyle name="Followed Hyperlink" xfId="1230" builtinId="9" hidden="1"/>
    <cellStyle name="Followed Hyperlink" xfId="1232" builtinId="9" hidden="1"/>
    <cellStyle name="Followed Hyperlink" xfId="1234" builtinId="9" hidden="1"/>
    <cellStyle name="Followed Hyperlink" xfId="1236" builtinId="9" hidden="1"/>
    <cellStyle name="Followed Hyperlink" xfId="1238" builtinId="9" hidden="1"/>
    <cellStyle name="Followed Hyperlink" xfId="1240" builtinId="9" hidden="1"/>
    <cellStyle name="Followed Hyperlink" xfId="1242" builtinId="9" hidden="1"/>
    <cellStyle name="Followed Hyperlink" xfId="1244" builtinId="9" hidden="1"/>
    <cellStyle name="Followed Hyperlink" xfId="1246" builtinId="9" hidden="1"/>
    <cellStyle name="Followed Hyperlink" xfId="1248" builtinId="9" hidden="1"/>
    <cellStyle name="Followed Hyperlink" xfId="1250" builtinId="9" hidden="1"/>
    <cellStyle name="Followed Hyperlink" xfId="1252" builtinId="9" hidden="1"/>
    <cellStyle name="Followed Hyperlink" xfId="1254" builtinId="9" hidden="1"/>
    <cellStyle name="Followed Hyperlink" xfId="1256" builtinId="9" hidden="1"/>
    <cellStyle name="Followed Hyperlink" xfId="1258" builtinId="9" hidden="1"/>
    <cellStyle name="Followed Hyperlink" xfId="1260" builtinId="9" hidden="1"/>
    <cellStyle name="Followed Hyperlink" xfId="1262" builtinId="9" hidden="1"/>
    <cellStyle name="Followed Hyperlink" xfId="1264" builtinId="9" hidden="1"/>
    <cellStyle name="Followed Hyperlink" xfId="1266" builtinId="9" hidden="1"/>
    <cellStyle name="Followed Hyperlink" xfId="1268" builtinId="9" hidden="1"/>
    <cellStyle name="Followed Hyperlink" xfId="1270" builtinId="9" hidden="1"/>
    <cellStyle name="Followed Hyperlink" xfId="1272" builtinId="9" hidden="1"/>
    <cellStyle name="Followed Hyperlink" xfId="1274" builtinId="9" hidden="1"/>
    <cellStyle name="Followed Hyperlink" xfId="1276" builtinId="9" hidden="1"/>
    <cellStyle name="Followed Hyperlink" xfId="1278" builtinId="9" hidden="1"/>
    <cellStyle name="Followed Hyperlink" xfId="1280" builtinId="9" hidden="1"/>
    <cellStyle name="Followed Hyperlink" xfId="1282" builtinId="9" hidden="1"/>
    <cellStyle name="Followed Hyperlink" xfId="1284" builtinId="9" hidden="1"/>
    <cellStyle name="Followed Hyperlink" xfId="1286" builtinId="9" hidden="1"/>
    <cellStyle name="Followed Hyperlink" xfId="1288" builtinId="9" hidden="1"/>
    <cellStyle name="Followed Hyperlink" xfId="1290" builtinId="9" hidden="1"/>
    <cellStyle name="Followed Hyperlink" xfId="1292" builtinId="9" hidden="1"/>
    <cellStyle name="Followed Hyperlink" xfId="1294" builtinId="9" hidden="1"/>
    <cellStyle name="Followed Hyperlink" xfId="1296" builtinId="9" hidden="1"/>
    <cellStyle name="Followed Hyperlink" xfId="1298" builtinId="9" hidden="1"/>
    <cellStyle name="Followed Hyperlink" xfId="1300" builtinId="9" hidden="1"/>
    <cellStyle name="Followed Hyperlink" xfId="1302" builtinId="9" hidden="1"/>
    <cellStyle name="Followed Hyperlink" xfId="1304" builtinId="9" hidden="1"/>
    <cellStyle name="Followed Hyperlink" xfId="1306" builtinId="9" hidden="1"/>
    <cellStyle name="Followed Hyperlink" xfId="1308" builtinId="9" hidden="1"/>
    <cellStyle name="Followed Hyperlink" xfId="1310" builtinId="9" hidden="1"/>
    <cellStyle name="Followed Hyperlink" xfId="1312" builtinId="9" hidden="1"/>
    <cellStyle name="Followed Hyperlink" xfId="1314" builtinId="9" hidden="1"/>
    <cellStyle name="Followed Hyperlink" xfId="1316" builtinId="9" hidden="1"/>
    <cellStyle name="Followed Hyperlink" xfId="1318" builtinId="9" hidden="1"/>
    <cellStyle name="Followed Hyperlink" xfId="1320" builtinId="9" hidden="1"/>
    <cellStyle name="Followed Hyperlink" xfId="1322" builtinId="9" hidden="1"/>
    <cellStyle name="Followed Hyperlink" xfId="1324" builtinId="9" hidden="1"/>
    <cellStyle name="Followed Hyperlink" xfId="1326" builtinId="9" hidden="1"/>
    <cellStyle name="Followed Hyperlink" xfId="1328" builtinId="9" hidden="1"/>
    <cellStyle name="Followed Hyperlink" xfId="1330" builtinId="9" hidden="1"/>
    <cellStyle name="Followed Hyperlink" xfId="1332" builtinId="9" hidden="1"/>
    <cellStyle name="Followed Hyperlink" xfId="1334" builtinId="9" hidden="1"/>
    <cellStyle name="Followed Hyperlink" xfId="1336" builtinId="9" hidden="1"/>
    <cellStyle name="Followed Hyperlink" xfId="1338" builtinId="9" hidden="1"/>
    <cellStyle name="Followed Hyperlink" xfId="1340" builtinId="9" hidden="1"/>
    <cellStyle name="Followed Hyperlink" xfId="1342" builtinId="9" hidden="1"/>
    <cellStyle name="Followed Hyperlink" xfId="1344" builtinId="9" hidden="1"/>
    <cellStyle name="Followed Hyperlink" xfId="1346" builtinId="9" hidden="1"/>
    <cellStyle name="Followed Hyperlink" xfId="1348" builtinId="9" hidden="1"/>
    <cellStyle name="Followed Hyperlink" xfId="1350" builtinId="9" hidden="1"/>
    <cellStyle name="Followed Hyperlink" xfId="1352" builtinId="9" hidden="1"/>
    <cellStyle name="Followed Hyperlink" xfId="1354" builtinId="9" hidden="1"/>
    <cellStyle name="Followed Hyperlink" xfId="1356" builtinId="9" hidden="1"/>
    <cellStyle name="Followed Hyperlink" xfId="1358" builtinId="9" hidden="1"/>
    <cellStyle name="Followed Hyperlink" xfId="1360" builtinId="9" hidden="1"/>
    <cellStyle name="Followed Hyperlink" xfId="1362" builtinId="9" hidden="1"/>
    <cellStyle name="Followed Hyperlink" xfId="1364" builtinId="9" hidden="1"/>
    <cellStyle name="Followed Hyperlink" xfId="1366" builtinId="9" hidden="1"/>
    <cellStyle name="Followed Hyperlink" xfId="1368" builtinId="9" hidden="1"/>
    <cellStyle name="Followed Hyperlink" xfId="1370" builtinId="9" hidden="1"/>
    <cellStyle name="Followed Hyperlink" xfId="1372" builtinId="9" hidden="1"/>
    <cellStyle name="Followed Hyperlink" xfId="1374" builtinId="9" hidden="1"/>
    <cellStyle name="Followed Hyperlink" xfId="1376" builtinId="9" hidden="1"/>
    <cellStyle name="Followed Hyperlink" xfId="1378" builtinId="9" hidden="1"/>
    <cellStyle name="Followed Hyperlink" xfId="1380" builtinId="9" hidden="1"/>
    <cellStyle name="Followed Hyperlink" xfId="1382" builtinId="9" hidden="1"/>
    <cellStyle name="Followed Hyperlink" xfId="1384" builtinId="9" hidden="1"/>
    <cellStyle name="Followed Hyperlink" xfId="1386" builtinId="9" hidden="1"/>
    <cellStyle name="Followed Hyperlink" xfId="1388" builtinId="9" hidden="1"/>
    <cellStyle name="Followed Hyperlink" xfId="1390" builtinId="9" hidden="1"/>
    <cellStyle name="Followed Hyperlink" xfId="1392" builtinId="9" hidden="1"/>
    <cellStyle name="Followed Hyperlink" xfId="1394" builtinId="9" hidden="1"/>
    <cellStyle name="Followed Hyperlink" xfId="1396" builtinId="9" hidden="1"/>
    <cellStyle name="Followed Hyperlink" xfId="1398" builtinId="9" hidden="1"/>
    <cellStyle name="Followed Hyperlink" xfId="1400" builtinId="9" hidden="1"/>
    <cellStyle name="Followed Hyperlink" xfId="1402" builtinId="9" hidden="1"/>
    <cellStyle name="Followed Hyperlink" xfId="1404" builtinId="9" hidden="1"/>
    <cellStyle name="Followed Hyperlink" xfId="1406" builtinId="9" hidden="1"/>
    <cellStyle name="Followed Hyperlink" xfId="1408" builtinId="9" hidden="1"/>
    <cellStyle name="Followed Hyperlink" xfId="1410" builtinId="9" hidden="1"/>
    <cellStyle name="Followed Hyperlink" xfId="1412" builtinId="9" hidden="1"/>
    <cellStyle name="Followed Hyperlink" xfId="1414" builtinId="9" hidden="1"/>
    <cellStyle name="Followed Hyperlink" xfId="1416" builtinId="9" hidden="1"/>
    <cellStyle name="Followed Hyperlink" xfId="1418" builtinId="9" hidden="1"/>
    <cellStyle name="Followed Hyperlink" xfId="1420" builtinId="9" hidden="1"/>
    <cellStyle name="Followed Hyperlink" xfId="1422" builtinId="9" hidden="1"/>
    <cellStyle name="Followed Hyperlink" xfId="1424" builtinId="9" hidden="1"/>
    <cellStyle name="Followed Hyperlink" xfId="1426" builtinId="9" hidden="1"/>
    <cellStyle name="Followed Hyperlink" xfId="1428" builtinId="9" hidden="1"/>
    <cellStyle name="Followed Hyperlink" xfId="1430" builtinId="9" hidden="1"/>
    <cellStyle name="Followed Hyperlink" xfId="1432" builtinId="9" hidden="1"/>
    <cellStyle name="Followed Hyperlink" xfId="1434" builtinId="9" hidden="1"/>
    <cellStyle name="Followed Hyperlink" xfId="1436" builtinId="9" hidden="1"/>
    <cellStyle name="Followed Hyperlink" xfId="1438" builtinId="9" hidden="1"/>
    <cellStyle name="Followed Hyperlink" xfId="1440" builtinId="9" hidden="1"/>
    <cellStyle name="Followed Hyperlink" xfId="1442" builtinId="9" hidden="1"/>
    <cellStyle name="Followed Hyperlink" xfId="1444" builtinId="9" hidden="1"/>
    <cellStyle name="Followed Hyperlink" xfId="1446" builtinId="9" hidden="1"/>
    <cellStyle name="Followed Hyperlink" xfId="1448" builtinId="9" hidden="1"/>
    <cellStyle name="Followed Hyperlink" xfId="1450" builtinId="9" hidden="1"/>
    <cellStyle name="Followed Hyperlink" xfId="1452" builtinId="9" hidden="1"/>
    <cellStyle name="Followed Hyperlink" xfId="1454" builtinId="9" hidden="1"/>
    <cellStyle name="Followed Hyperlink" xfId="1456" builtinId="9" hidden="1"/>
    <cellStyle name="Followed Hyperlink" xfId="1458" builtinId="9" hidden="1"/>
    <cellStyle name="Followed Hyperlink" xfId="1460" builtinId="9" hidden="1"/>
    <cellStyle name="Followed Hyperlink" xfId="1462" builtinId="9" hidden="1"/>
    <cellStyle name="Followed Hyperlink" xfId="1464" builtinId="9" hidden="1"/>
    <cellStyle name="Followed Hyperlink" xfId="1466" builtinId="9" hidden="1"/>
    <cellStyle name="Followed Hyperlink" xfId="1468" builtinId="9" hidden="1"/>
    <cellStyle name="Followed Hyperlink" xfId="1470" builtinId="9" hidden="1"/>
    <cellStyle name="Followed Hyperlink" xfId="1472" builtinId="9" hidden="1"/>
    <cellStyle name="Followed Hyperlink" xfId="1474" builtinId="9" hidden="1"/>
    <cellStyle name="Followed Hyperlink" xfId="1476" builtinId="9" hidden="1"/>
    <cellStyle name="Followed Hyperlink" xfId="1478" builtinId="9" hidden="1"/>
    <cellStyle name="Followed Hyperlink" xfId="1480" builtinId="9" hidden="1"/>
    <cellStyle name="Followed Hyperlink" xfId="1482" builtinId="9" hidden="1"/>
    <cellStyle name="Followed Hyperlink" xfId="1484" builtinId="9" hidden="1"/>
    <cellStyle name="Followed Hyperlink" xfId="1486" builtinId="9" hidden="1"/>
    <cellStyle name="Followed Hyperlink" xfId="1488" builtinId="9" hidden="1"/>
    <cellStyle name="Followed Hyperlink" xfId="1490" builtinId="9" hidden="1"/>
    <cellStyle name="Followed Hyperlink" xfId="1492" builtinId="9" hidden="1"/>
    <cellStyle name="Followed Hyperlink" xfId="1494" builtinId="9" hidden="1"/>
    <cellStyle name="Followed Hyperlink" xfId="1496" builtinId="9" hidden="1"/>
    <cellStyle name="Followed Hyperlink" xfId="1498" builtinId="9" hidden="1"/>
    <cellStyle name="Followed Hyperlink" xfId="1500" builtinId="9" hidden="1"/>
    <cellStyle name="Followed Hyperlink" xfId="1502" builtinId="9" hidden="1"/>
    <cellStyle name="Followed Hyperlink" xfId="1504" builtinId="9" hidden="1"/>
    <cellStyle name="Followed Hyperlink" xfId="1506" builtinId="9" hidden="1"/>
    <cellStyle name="Followed Hyperlink" xfId="1508" builtinId="9" hidden="1"/>
    <cellStyle name="Followed Hyperlink" xfId="1510" builtinId="9" hidden="1"/>
    <cellStyle name="Followed Hyperlink" xfId="1512" builtinId="9" hidden="1"/>
    <cellStyle name="Followed Hyperlink" xfId="1514" builtinId="9" hidden="1"/>
    <cellStyle name="Followed Hyperlink" xfId="1516" builtinId="9" hidden="1"/>
    <cellStyle name="Followed Hyperlink" xfId="1518" builtinId="9" hidden="1"/>
    <cellStyle name="Followed Hyperlink" xfId="1520" builtinId="9" hidden="1"/>
    <cellStyle name="Followed Hyperlink" xfId="1522" builtinId="9" hidden="1"/>
    <cellStyle name="Followed Hyperlink" xfId="1524" builtinId="9" hidden="1"/>
    <cellStyle name="Followed Hyperlink" xfId="1526" builtinId="9" hidden="1"/>
    <cellStyle name="Followed Hyperlink" xfId="1528" builtinId="9" hidden="1"/>
    <cellStyle name="Followed Hyperlink" xfId="1530" builtinId="9" hidden="1"/>
    <cellStyle name="Followed Hyperlink" xfId="1532" builtinId="9" hidden="1"/>
    <cellStyle name="Followed Hyperlink" xfId="1534" builtinId="9" hidden="1"/>
    <cellStyle name="Followed Hyperlink" xfId="1536" builtinId="9" hidden="1"/>
    <cellStyle name="Followed Hyperlink" xfId="1538" builtinId="9" hidden="1"/>
    <cellStyle name="Followed Hyperlink" xfId="1540" builtinId="9" hidden="1"/>
    <cellStyle name="Followed Hyperlink" xfId="1542" builtinId="9" hidden="1"/>
    <cellStyle name="Followed Hyperlink" xfId="1544" builtinId="9" hidden="1"/>
    <cellStyle name="Followed Hyperlink" xfId="1546" builtinId="9" hidden="1"/>
    <cellStyle name="Followed Hyperlink" xfId="1548" builtinId="9" hidden="1"/>
    <cellStyle name="Followed Hyperlink" xfId="1550" builtinId="9" hidden="1"/>
    <cellStyle name="Followed Hyperlink" xfId="1552" builtinId="9" hidden="1"/>
    <cellStyle name="Followed Hyperlink" xfId="1554" builtinId="9" hidden="1"/>
    <cellStyle name="Followed Hyperlink" xfId="1556" builtinId="9" hidden="1"/>
    <cellStyle name="Followed Hyperlink" xfId="1558" builtinId="9" hidden="1"/>
    <cellStyle name="Followed Hyperlink" xfId="1560" builtinId="9" hidden="1"/>
    <cellStyle name="Followed Hyperlink" xfId="1562" builtinId="9" hidden="1"/>
    <cellStyle name="Followed Hyperlink" xfId="1564" builtinId="9" hidden="1"/>
    <cellStyle name="Followed Hyperlink" xfId="1566" builtinId="9" hidden="1"/>
    <cellStyle name="Followed Hyperlink" xfId="1568" builtinId="9" hidden="1"/>
    <cellStyle name="Followed Hyperlink" xfId="1570" builtinId="9" hidden="1"/>
    <cellStyle name="Followed Hyperlink" xfId="1572" builtinId="9" hidden="1"/>
    <cellStyle name="Followed Hyperlink" xfId="1574" builtinId="9" hidden="1"/>
    <cellStyle name="Followed Hyperlink" xfId="1576" builtinId="9" hidden="1"/>
    <cellStyle name="Followed Hyperlink" xfId="1578" builtinId="9" hidden="1"/>
    <cellStyle name="Followed Hyperlink" xfId="1580" builtinId="9" hidden="1"/>
    <cellStyle name="Followed Hyperlink" xfId="1582" builtinId="9" hidden="1"/>
    <cellStyle name="Followed Hyperlink" xfId="1584" builtinId="9" hidden="1"/>
    <cellStyle name="Followed Hyperlink" xfId="1586" builtinId="9" hidden="1"/>
    <cellStyle name="Followed Hyperlink" xfId="1588" builtinId="9" hidden="1"/>
    <cellStyle name="Followed Hyperlink" xfId="1590" builtinId="9" hidden="1"/>
    <cellStyle name="Followed Hyperlink" xfId="1592" builtinId="9" hidden="1"/>
    <cellStyle name="Followed Hyperlink" xfId="1594" builtinId="9" hidden="1"/>
    <cellStyle name="Followed Hyperlink" xfId="1596" builtinId="9" hidden="1"/>
    <cellStyle name="Followed Hyperlink" xfId="1598" builtinId="9" hidden="1"/>
    <cellStyle name="Followed Hyperlink" xfId="1600" builtinId="9" hidden="1"/>
    <cellStyle name="Followed Hyperlink" xfId="1602" builtinId="9" hidden="1"/>
    <cellStyle name="Followed Hyperlink" xfId="1604" builtinId="9" hidden="1"/>
    <cellStyle name="Followed Hyperlink" xfId="1606" builtinId="9" hidden="1"/>
    <cellStyle name="Followed Hyperlink" xfId="1608" builtinId="9" hidden="1"/>
    <cellStyle name="Followed Hyperlink" xfId="1610" builtinId="9" hidden="1"/>
    <cellStyle name="Followed Hyperlink" xfId="1612" builtinId="9" hidden="1"/>
    <cellStyle name="Followed Hyperlink" xfId="1614" builtinId="9" hidden="1"/>
    <cellStyle name="Followed Hyperlink" xfId="1616" builtinId="9" hidden="1"/>
    <cellStyle name="Followed Hyperlink" xfId="1618" builtinId="9" hidden="1"/>
    <cellStyle name="Followed Hyperlink" xfId="1620" builtinId="9" hidden="1"/>
    <cellStyle name="Followed Hyperlink" xfId="1622" builtinId="9" hidden="1"/>
    <cellStyle name="Followed Hyperlink" xfId="1624" builtinId="9" hidden="1"/>
    <cellStyle name="Followed Hyperlink" xfId="1626" builtinId="9" hidden="1"/>
    <cellStyle name="Followed Hyperlink" xfId="1628" builtinId="9" hidden="1"/>
    <cellStyle name="Followed Hyperlink" xfId="1630" builtinId="9" hidden="1"/>
    <cellStyle name="Followed Hyperlink" xfId="1632" builtinId="9" hidden="1"/>
    <cellStyle name="Followed Hyperlink" xfId="1634" builtinId="9" hidden="1"/>
    <cellStyle name="Followed Hyperlink" xfId="1636" builtinId="9" hidden="1"/>
    <cellStyle name="Followed Hyperlink" xfId="1638" builtinId="9" hidden="1"/>
    <cellStyle name="Followed Hyperlink" xfId="1640" builtinId="9" hidden="1"/>
    <cellStyle name="Followed Hyperlink" xfId="1642" builtinId="9" hidden="1"/>
    <cellStyle name="Followed Hyperlink" xfId="1644" builtinId="9" hidden="1"/>
    <cellStyle name="Followed Hyperlink" xfId="1646" builtinId="9" hidden="1"/>
    <cellStyle name="Followed Hyperlink" xfId="1648" builtinId="9" hidden="1"/>
    <cellStyle name="Followed Hyperlink" xfId="1650" builtinId="9" hidden="1"/>
    <cellStyle name="Followed Hyperlink" xfId="1652" builtinId="9" hidden="1"/>
    <cellStyle name="Followed Hyperlink" xfId="1654" builtinId="9" hidden="1"/>
    <cellStyle name="Followed Hyperlink" xfId="1656" builtinId="9" hidden="1"/>
    <cellStyle name="Followed Hyperlink" xfId="1658" builtinId="9" hidden="1"/>
    <cellStyle name="Followed Hyperlink" xfId="1660" builtinId="9" hidden="1"/>
    <cellStyle name="Followed Hyperlink" xfId="1662" builtinId="9" hidden="1"/>
    <cellStyle name="Followed Hyperlink" xfId="1664" builtinId="9" hidden="1"/>
    <cellStyle name="Followed Hyperlink" xfId="1666" builtinId="9" hidden="1"/>
    <cellStyle name="Followed Hyperlink" xfId="1668" builtinId="9" hidden="1"/>
    <cellStyle name="Followed Hyperlink" xfId="1670" builtinId="9" hidden="1"/>
    <cellStyle name="Followed Hyperlink" xfId="1672" builtinId="9" hidden="1"/>
    <cellStyle name="Followed Hyperlink" xfId="1674" builtinId="9" hidden="1"/>
    <cellStyle name="Followed Hyperlink" xfId="1676" builtinId="9" hidden="1"/>
    <cellStyle name="Followed Hyperlink" xfId="1678" builtinId="9" hidden="1"/>
    <cellStyle name="Followed Hyperlink" xfId="1680" builtinId="9" hidden="1"/>
    <cellStyle name="Followed Hyperlink" xfId="1682" builtinId="9" hidden="1"/>
    <cellStyle name="Followed Hyperlink" xfId="1684" builtinId="9" hidden="1"/>
    <cellStyle name="Followed Hyperlink" xfId="1686" builtinId="9" hidden="1"/>
    <cellStyle name="Followed Hyperlink" xfId="1688" builtinId="9" hidden="1"/>
    <cellStyle name="Followed Hyperlink" xfId="1690" builtinId="9" hidden="1"/>
    <cellStyle name="Followed Hyperlink" xfId="1692" builtinId="9" hidden="1"/>
    <cellStyle name="Followed Hyperlink" xfId="1694" builtinId="9" hidden="1"/>
    <cellStyle name="Followed Hyperlink" xfId="1696" builtinId="9" hidden="1"/>
    <cellStyle name="Followed Hyperlink" xfId="1698" builtinId="9" hidden="1"/>
    <cellStyle name="Followed Hyperlink" xfId="1700" builtinId="9" hidden="1"/>
    <cellStyle name="Followed Hyperlink" xfId="1702" builtinId="9" hidden="1"/>
    <cellStyle name="Followed Hyperlink" xfId="1704" builtinId="9" hidden="1"/>
    <cellStyle name="Followed Hyperlink" xfId="1706" builtinId="9" hidden="1"/>
    <cellStyle name="Followed Hyperlink" xfId="1708" builtinId="9" hidden="1"/>
    <cellStyle name="Followed Hyperlink" xfId="1710" builtinId="9" hidden="1"/>
    <cellStyle name="Followed Hyperlink" xfId="1712" builtinId="9" hidden="1"/>
    <cellStyle name="Followed Hyperlink" xfId="1714" builtinId="9" hidden="1"/>
    <cellStyle name="Followed Hyperlink" xfId="1716" builtinId="9" hidden="1"/>
    <cellStyle name="Followed Hyperlink" xfId="1718" builtinId="9" hidden="1"/>
    <cellStyle name="Followed Hyperlink" xfId="1720" builtinId="9" hidden="1"/>
    <cellStyle name="Followed Hyperlink" xfId="1722" builtinId="9" hidden="1"/>
    <cellStyle name="Followed Hyperlink" xfId="1724" builtinId="9" hidden="1"/>
    <cellStyle name="Followed Hyperlink" xfId="1726" builtinId="9" hidden="1"/>
    <cellStyle name="Followed Hyperlink" xfId="1728" builtinId="9" hidden="1"/>
    <cellStyle name="Followed Hyperlink" xfId="1730" builtinId="9" hidden="1"/>
    <cellStyle name="Followed Hyperlink" xfId="1732" builtinId="9" hidden="1"/>
    <cellStyle name="Followed Hyperlink" xfId="1734" builtinId="9" hidden="1"/>
    <cellStyle name="Followed Hyperlink" xfId="1736" builtinId="9" hidden="1"/>
    <cellStyle name="Followed Hyperlink" xfId="1738" builtinId="9" hidden="1"/>
    <cellStyle name="Followed Hyperlink" xfId="1740" builtinId="9" hidden="1"/>
    <cellStyle name="Followed Hyperlink" xfId="1742" builtinId="9" hidden="1"/>
    <cellStyle name="Followed Hyperlink" xfId="1744" builtinId="9" hidden="1"/>
    <cellStyle name="Followed Hyperlink" xfId="1746" builtinId="9" hidden="1"/>
    <cellStyle name="Followed Hyperlink" xfId="1748" builtinId="9" hidden="1"/>
    <cellStyle name="Followed Hyperlink" xfId="1750" builtinId="9" hidden="1"/>
    <cellStyle name="Followed Hyperlink" xfId="1752" builtinId="9" hidden="1"/>
    <cellStyle name="Followed Hyperlink" xfId="1754" builtinId="9" hidden="1"/>
    <cellStyle name="Followed Hyperlink" xfId="1756" builtinId="9" hidden="1"/>
    <cellStyle name="Followed Hyperlink" xfId="1758" builtinId="9" hidden="1"/>
    <cellStyle name="Followed Hyperlink" xfId="1760" builtinId="9" hidden="1"/>
    <cellStyle name="Followed Hyperlink" xfId="1762" builtinId="9" hidden="1"/>
    <cellStyle name="Followed Hyperlink" xfId="1764" builtinId="9" hidden="1"/>
    <cellStyle name="Followed Hyperlink" xfId="1766" builtinId="9" hidden="1"/>
    <cellStyle name="Followed Hyperlink" xfId="1768" builtinId="9" hidden="1"/>
    <cellStyle name="Followed Hyperlink" xfId="1770" builtinId="9" hidden="1"/>
    <cellStyle name="Followed Hyperlink" xfId="1772" builtinId="9" hidden="1"/>
    <cellStyle name="Followed Hyperlink" xfId="1774" builtinId="9" hidden="1"/>
    <cellStyle name="Followed Hyperlink" xfId="1776" builtinId="9" hidden="1"/>
    <cellStyle name="Followed Hyperlink" xfId="1778" builtinId="9" hidden="1"/>
    <cellStyle name="Followed Hyperlink" xfId="1780" builtinId="9" hidden="1"/>
    <cellStyle name="Followed Hyperlink" xfId="1782" builtinId="9" hidden="1"/>
    <cellStyle name="Followed Hyperlink" xfId="1784" builtinId="9" hidden="1"/>
    <cellStyle name="Followed Hyperlink" xfId="1786" builtinId="9" hidden="1"/>
    <cellStyle name="Followed Hyperlink" xfId="1788" builtinId="9" hidden="1"/>
    <cellStyle name="Followed Hyperlink" xfId="1790" builtinId="9" hidden="1"/>
    <cellStyle name="Followed Hyperlink" xfId="1792" builtinId="9" hidden="1"/>
    <cellStyle name="Followed Hyperlink" xfId="1794" builtinId="9" hidden="1"/>
    <cellStyle name="Followed Hyperlink" xfId="1796" builtinId="9" hidden="1"/>
    <cellStyle name="Followed Hyperlink" xfId="1798" builtinId="9" hidden="1"/>
    <cellStyle name="Followed Hyperlink" xfId="1800" builtinId="9" hidden="1"/>
    <cellStyle name="Followed Hyperlink" xfId="1802" builtinId="9" hidden="1"/>
    <cellStyle name="Followed Hyperlink" xfId="1804" builtinId="9" hidden="1"/>
    <cellStyle name="Followed Hyperlink" xfId="1806" builtinId="9" hidden="1"/>
    <cellStyle name="Followed Hyperlink" xfId="1808" builtinId="9" hidden="1"/>
    <cellStyle name="Followed Hyperlink" xfId="1810" builtinId="9" hidden="1"/>
    <cellStyle name="Followed Hyperlink" xfId="1812" builtinId="9" hidden="1"/>
    <cellStyle name="Followed Hyperlink" xfId="1814" builtinId="9" hidden="1"/>
    <cellStyle name="Followed Hyperlink" xfId="1816" builtinId="9" hidden="1"/>
    <cellStyle name="Followed Hyperlink" xfId="1818" builtinId="9" hidden="1"/>
    <cellStyle name="Followed Hyperlink" xfId="1820" builtinId="9" hidden="1"/>
    <cellStyle name="Followed Hyperlink" xfId="1822" builtinId="9" hidden="1"/>
    <cellStyle name="Followed Hyperlink" xfId="1824" builtinId="9" hidden="1"/>
    <cellStyle name="Followed Hyperlink" xfId="1826" builtinId="9" hidden="1"/>
    <cellStyle name="Followed Hyperlink" xfId="1828" builtinId="9" hidden="1"/>
    <cellStyle name="Followed Hyperlink" xfId="1830" builtinId="9" hidden="1"/>
    <cellStyle name="Followed Hyperlink" xfId="1832" builtinId="9" hidden="1"/>
    <cellStyle name="Followed Hyperlink" xfId="1834" builtinId="9" hidden="1"/>
    <cellStyle name="Followed Hyperlink" xfId="1836" builtinId="9" hidden="1"/>
    <cellStyle name="Followed Hyperlink" xfId="1838" builtinId="9" hidden="1"/>
    <cellStyle name="Followed Hyperlink" xfId="1840" builtinId="9" hidden="1"/>
    <cellStyle name="Followed Hyperlink" xfId="1842" builtinId="9" hidden="1"/>
    <cellStyle name="Followed Hyperlink" xfId="1844" builtinId="9" hidden="1"/>
    <cellStyle name="Followed Hyperlink" xfId="1846" builtinId="9" hidden="1"/>
    <cellStyle name="Followed Hyperlink" xfId="1848" builtinId="9" hidden="1"/>
    <cellStyle name="Followed Hyperlink" xfId="1850" builtinId="9" hidden="1"/>
    <cellStyle name="Followed Hyperlink" xfId="1852" builtinId="9" hidden="1"/>
    <cellStyle name="Followed Hyperlink" xfId="1854" builtinId="9" hidden="1"/>
    <cellStyle name="Followed Hyperlink" xfId="1856" builtinId="9" hidden="1"/>
    <cellStyle name="Followed Hyperlink" xfId="1858" builtinId="9" hidden="1"/>
    <cellStyle name="Followed Hyperlink" xfId="1860" builtinId="9" hidden="1"/>
    <cellStyle name="Followed Hyperlink" xfId="1862" builtinId="9" hidden="1"/>
    <cellStyle name="Followed Hyperlink" xfId="1864" builtinId="9" hidden="1"/>
    <cellStyle name="Followed Hyperlink" xfId="1866" builtinId="9" hidden="1"/>
    <cellStyle name="Followed Hyperlink" xfId="1868" builtinId="9" hidden="1"/>
    <cellStyle name="Followed Hyperlink" xfId="1870" builtinId="9" hidden="1"/>
    <cellStyle name="Followed Hyperlink" xfId="1872" builtinId="9" hidden="1"/>
    <cellStyle name="Followed Hyperlink" xfId="1874" builtinId="9" hidden="1"/>
    <cellStyle name="Followed Hyperlink" xfId="1876" builtinId="9" hidden="1"/>
    <cellStyle name="Followed Hyperlink" xfId="1878" builtinId="9" hidden="1"/>
    <cellStyle name="Followed Hyperlink" xfId="1880" builtinId="9" hidden="1"/>
    <cellStyle name="Followed Hyperlink" xfId="1882" builtinId="9" hidden="1"/>
    <cellStyle name="Followed Hyperlink" xfId="1884" builtinId="9" hidden="1"/>
    <cellStyle name="Followed Hyperlink" xfId="1886" builtinId="9" hidden="1"/>
    <cellStyle name="Followed Hyperlink" xfId="1888" builtinId="9" hidden="1"/>
    <cellStyle name="Followed Hyperlink" xfId="1890" builtinId="9" hidden="1"/>
    <cellStyle name="Followed Hyperlink" xfId="1892" builtinId="9" hidden="1"/>
    <cellStyle name="Followed Hyperlink" xfId="1894" builtinId="9" hidden="1"/>
    <cellStyle name="Followed Hyperlink" xfId="1896" builtinId="9" hidden="1"/>
    <cellStyle name="Followed Hyperlink" xfId="1898" builtinId="9" hidden="1"/>
    <cellStyle name="Followed Hyperlink" xfId="1900" builtinId="9" hidden="1"/>
    <cellStyle name="Followed Hyperlink" xfId="1902" builtinId="9" hidden="1"/>
    <cellStyle name="Followed Hyperlink" xfId="1904" builtinId="9" hidden="1"/>
    <cellStyle name="Followed Hyperlink" xfId="1906" builtinId="9" hidden="1"/>
    <cellStyle name="Followed Hyperlink" xfId="1908" builtinId="9" hidden="1"/>
    <cellStyle name="Followed Hyperlink" xfId="1910" builtinId="9" hidden="1"/>
    <cellStyle name="Followed Hyperlink" xfId="1912" builtinId="9" hidden="1"/>
    <cellStyle name="Followed Hyperlink" xfId="1914" builtinId="9" hidden="1"/>
    <cellStyle name="Followed Hyperlink" xfId="1916" builtinId="9" hidden="1"/>
    <cellStyle name="Followed Hyperlink" xfId="19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Hyperlink" xfId="719" builtinId="8" hidden="1"/>
    <cellStyle name="Hyperlink" xfId="721" builtinId="8" hidden="1"/>
    <cellStyle name="Hyperlink" xfId="723" builtinId="8" hidden="1"/>
    <cellStyle name="Hyperlink" xfId="725" builtinId="8" hidden="1"/>
    <cellStyle name="Hyperlink" xfId="727" builtinId="8" hidden="1"/>
    <cellStyle name="Hyperlink" xfId="729" builtinId="8" hidden="1"/>
    <cellStyle name="Hyperlink" xfId="731" builtinId="8" hidden="1"/>
    <cellStyle name="Hyperlink" xfId="733" builtinId="8" hidden="1"/>
    <cellStyle name="Hyperlink" xfId="735" builtinId="8" hidden="1"/>
    <cellStyle name="Hyperlink" xfId="737" builtinId="8" hidden="1"/>
    <cellStyle name="Hyperlink" xfId="739" builtinId="8" hidden="1"/>
    <cellStyle name="Hyperlink" xfId="741" builtinId="8" hidden="1"/>
    <cellStyle name="Hyperlink" xfId="743" builtinId="8" hidden="1"/>
    <cellStyle name="Hyperlink" xfId="745" builtinId="8" hidden="1"/>
    <cellStyle name="Hyperlink" xfId="747" builtinId="8" hidden="1"/>
    <cellStyle name="Hyperlink" xfId="749" builtinId="8" hidden="1"/>
    <cellStyle name="Hyperlink" xfId="751" builtinId="8" hidden="1"/>
    <cellStyle name="Hyperlink" xfId="753" builtinId="8" hidden="1"/>
    <cellStyle name="Hyperlink" xfId="755" builtinId="8" hidden="1"/>
    <cellStyle name="Hyperlink" xfId="757" builtinId="8" hidden="1"/>
    <cellStyle name="Hyperlink" xfId="759" builtinId="8" hidden="1"/>
    <cellStyle name="Hyperlink" xfId="761" builtinId="8" hidden="1"/>
    <cellStyle name="Hyperlink" xfId="763" builtinId="8" hidden="1"/>
    <cellStyle name="Hyperlink" xfId="765" builtinId="8" hidden="1"/>
    <cellStyle name="Hyperlink" xfId="767" builtinId="8" hidden="1"/>
    <cellStyle name="Hyperlink" xfId="769" builtinId="8" hidden="1"/>
    <cellStyle name="Hyperlink" xfId="771" builtinId="8" hidden="1"/>
    <cellStyle name="Hyperlink" xfId="773" builtinId="8" hidden="1"/>
    <cellStyle name="Hyperlink" xfId="775" builtinId="8" hidden="1"/>
    <cellStyle name="Hyperlink" xfId="777" builtinId="8" hidden="1"/>
    <cellStyle name="Hyperlink" xfId="779" builtinId="8" hidden="1"/>
    <cellStyle name="Hyperlink" xfId="781" builtinId="8" hidden="1"/>
    <cellStyle name="Hyperlink" xfId="783" builtinId="8" hidden="1"/>
    <cellStyle name="Hyperlink" xfId="785" builtinId="8" hidden="1"/>
    <cellStyle name="Hyperlink" xfId="787" builtinId="8" hidden="1"/>
    <cellStyle name="Hyperlink" xfId="789" builtinId="8" hidden="1"/>
    <cellStyle name="Hyperlink" xfId="791" builtinId="8" hidden="1"/>
    <cellStyle name="Hyperlink" xfId="793" builtinId="8" hidden="1"/>
    <cellStyle name="Hyperlink" xfId="795" builtinId="8" hidden="1"/>
    <cellStyle name="Hyperlink" xfId="797" builtinId="8" hidden="1"/>
    <cellStyle name="Hyperlink" xfId="799" builtinId="8" hidden="1"/>
    <cellStyle name="Hyperlink" xfId="801" builtinId="8" hidden="1"/>
    <cellStyle name="Hyperlink" xfId="803" builtinId="8" hidden="1"/>
    <cellStyle name="Hyperlink" xfId="805" builtinId="8" hidden="1"/>
    <cellStyle name="Hyperlink" xfId="807" builtinId="8" hidden="1"/>
    <cellStyle name="Hyperlink" xfId="809" builtinId="8" hidden="1"/>
    <cellStyle name="Hyperlink" xfId="811" builtinId="8" hidden="1"/>
    <cellStyle name="Hyperlink" xfId="813" builtinId="8" hidden="1"/>
    <cellStyle name="Hyperlink" xfId="815" builtinId="8" hidden="1"/>
    <cellStyle name="Hyperlink" xfId="817" builtinId="8" hidden="1"/>
    <cellStyle name="Hyperlink" xfId="819" builtinId="8" hidden="1"/>
    <cellStyle name="Hyperlink" xfId="821" builtinId="8" hidden="1"/>
    <cellStyle name="Hyperlink" xfId="823" builtinId="8" hidden="1"/>
    <cellStyle name="Hyperlink" xfId="825" builtinId="8" hidden="1"/>
    <cellStyle name="Hyperlink" xfId="827" builtinId="8" hidden="1"/>
    <cellStyle name="Hyperlink" xfId="829" builtinId="8" hidden="1"/>
    <cellStyle name="Hyperlink" xfId="831" builtinId="8" hidden="1"/>
    <cellStyle name="Hyperlink" xfId="833" builtinId="8" hidden="1"/>
    <cellStyle name="Hyperlink" xfId="835" builtinId="8" hidden="1"/>
    <cellStyle name="Hyperlink" xfId="837" builtinId="8" hidden="1"/>
    <cellStyle name="Hyperlink" xfId="839" builtinId="8" hidden="1"/>
    <cellStyle name="Hyperlink" xfId="841" builtinId="8" hidden="1"/>
    <cellStyle name="Hyperlink" xfId="843" builtinId="8" hidden="1"/>
    <cellStyle name="Hyperlink" xfId="845" builtinId="8" hidden="1"/>
    <cellStyle name="Hyperlink" xfId="847" builtinId="8" hidden="1"/>
    <cellStyle name="Hyperlink" xfId="849" builtinId="8" hidden="1"/>
    <cellStyle name="Hyperlink" xfId="851" builtinId="8" hidden="1"/>
    <cellStyle name="Hyperlink" xfId="853" builtinId="8" hidden="1"/>
    <cellStyle name="Hyperlink" xfId="855" builtinId="8" hidden="1"/>
    <cellStyle name="Hyperlink" xfId="857" builtinId="8" hidden="1"/>
    <cellStyle name="Hyperlink" xfId="859" builtinId="8" hidden="1"/>
    <cellStyle name="Hyperlink" xfId="861" builtinId="8" hidden="1"/>
    <cellStyle name="Hyperlink" xfId="863" builtinId="8" hidden="1"/>
    <cellStyle name="Hyperlink" xfId="865" builtinId="8" hidden="1"/>
    <cellStyle name="Hyperlink" xfId="867" builtinId="8" hidden="1"/>
    <cellStyle name="Hyperlink" xfId="869" builtinId="8" hidden="1"/>
    <cellStyle name="Hyperlink" xfId="871" builtinId="8" hidden="1"/>
    <cellStyle name="Hyperlink" xfId="873" builtinId="8" hidden="1"/>
    <cellStyle name="Hyperlink" xfId="875" builtinId="8" hidden="1"/>
    <cellStyle name="Hyperlink" xfId="877" builtinId="8" hidden="1"/>
    <cellStyle name="Hyperlink" xfId="879" builtinId="8" hidden="1"/>
    <cellStyle name="Hyperlink" xfId="881" builtinId="8" hidden="1"/>
    <cellStyle name="Hyperlink" xfId="883" builtinId="8" hidden="1"/>
    <cellStyle name="Hyperlink" xfId="885" builtinId="8" hidden="1"/>
    <cellStyle name="Hyperlink" xfId="887" builtinId="8" hidden="1"/>
    <cellStyle name="Hyperlink" xfId="889" builtinId="8" hidden="1"/>
    <cellStyle name="Hyperlink" xfId="891" builtinId="8" hidden="1"/>
    <cellStyle name="Hyperlink" xfId="893" builtinId="8" hidden="1"/>
    <cellStyle name="Hyperlink" xfId="895" builtinId="8" hidden="1"/>
    <cellStyle name="Hyperlink" xfId="897" builtinId="8" hidden="1"/>
    <cellStyle name="Hyperlink" xfId="899" builtinId="8" hidden="1"/>
    <cellStyle name="Hyperlink" xfId="901" builtinId="8" hidden="1"/>
    <cellStyle name="Hyperlink" xfId="903" builtinId="8" hidden="1"/>
    <cellStyle name="Hyperlink" xfId="905" builtinId="8" hidden="1"/>
    <cellStyle name="Hyperlink" xfId="907" builtinId="8" hidden="1"/>
    <cellStyle name="Hyperlink" xfId="909" builtinId="8" hidden="1"/>
    <cellStyle name="Hyperlink" xfId="911" builtinId="8" hidden="1"/>
    <cellStyle name="Hyperlink" xfId="913" builtinId="8" hidden="1"/>
    <cellStyle name="Hyperlink" xfId="915" builtinId="8" hidden="1"/>
    <cellStyle name="Hyperlink" xfId="917" builtinId="8" hidden="1"/>
    <cellStyle name="Hyperlink" xfId="919" builtinId="8" hidden="1"/>
    <cellStyle name="Hyperlink" xfId="921" builtinId="8" hidden="1"/>
    <cellStyle name="Hyperlink" xfId="923" builtinId="8" hidden="1"/>
    <cellStyle name="Hyperlink" xfId="925" builtinId="8" hidden="1"/>
    <cellStyle name="Hyperlink" xfId="927" builtinId="8" hidden="1"/>
    <cellStyle name="Hyperlink" xfId="929" builtinId="8" hidden="1"/>
    <cellStyle name="Hyperlink" xfId="931" builtinId="8" hidden="1"/>
    <cellStyle name="Hyperlink" xfId="933" builtinId="8" hidden="1"/>
    <cellStyle name="Hyperlink" xfId="935" builtinId="8" hidden="1"/>
    <cellStyle name="Hyperlink" xfId="937" builtinId="8" hidden="1"/>
    <cellStyle name="Hyperlink" xfId="939" builtinId="8" hidden="1"/>
    <cellStyle name="Hyperlink" xfId="941" builtinId="8" hidden="1"/>
    <cellStyle name="Hyperlink" xfId="943" builtinId="8" hidden="1"/>
    <cellStyle name="Hyperlink" xfId="945" builtinId="8" hidden="1"/>
    <cellStyle name="Hyperlink" xfId="947" builtinId="8" hidden="1"/>
    <cellStyle name="Hyperlink" xfId="949" builtinId="8" hidden="1"/>
    <cellStyle name="Hyperlink" xfId="951" builtinId="8" hidden="1"/>
    <cellStyle name="Hyperlink" xfId="953" builtinId="8" hidden="1"/>
    <cellStyle name="Hyperlink" xfId="955" builtinId="8" hidden="1"/>
    <cellStyle name="Hyperlink" xfId="957" builtinId="8" hidden="1"/>
    <cellStyle name="Hyperlink" xfId="959" builtinId="8" hidden="1"/>
    <cellStyle name="Hyperlink" xfId="961" builtinId="8" hidden="1"/>
    <cellStyle name="Hyperlink" xfId="963" builtinId="8" hidden="1"/>
    <cellStyle name="Hyperlink" xfId="965" builtinId="8" hidden="1"/>
    <cellStyle name="Hyperlink" xfId="967" builtinId="8" hidden="1"/>
    <cellStyle name="Hyperlink" xfId="969" builtinId="8" hidden="1"/>
    <cellStyle name="Hyperlink" xfId="971" builtinId="8" hidden="1"/>
    <cellStyle name="Hyperlink" xfId="973" builtinId="8" hidden="1"/>
    <cellStyle name="Hyperlink" xfId="975" builtinId="8" hidden="1"/>
    <cellStyle name="Hyperlink" xfId="977" builtinId="8" hidden="1"/>
    <cellStyle name="Hyperlink" xfId="979" builtinId="8" hidden="1"/>
    <cellStyle name="Hyperlink" xfId="981" builtinId="8" hidden="1"/>
    <cellStyle name="Hyperlink" xfId="983" builtinId="8" hidden="1"/>
    <cellStyle name="Hyperlink" xfId="985" builtinId="8" hidden="1"/>
    <cellStyle name="Hyperlink" xfId="987" builtinId="8" hidden="1"/>
    <cellStyle name="Hyperlink" xfId="989" builtinId="8" hidden="1"/>
    <cellStyle name="Hyperlink" xfId="991" builtinId="8" hidden="1"/>
    <cellStyle name="Hyperlink" xfId="993" builtinId="8" hidden="1"/>
    <cellStyle name="Hyperlink" xfId="995" builtinId="8" hidden="1"/>
    <cellStyle name="Hyperlink" xfId="997" builtinId="8" hidden="1"/>
    <cellStyle name="Hyperlink" xfId="999" builtinId="8" hidden="1"/>
    <cellStyle name="Hyperlink" xfId="1001" builtinId="8" hidden="1"/>
    <cellStyle name="Hyperlink" xfId="1003" builtinId="8" hidden="1"/>
    <cellStyle name="Hyperlink" xfId="1005" builtinId="8" hidden="1"/>
    <cellStyle name="Hyperlink" xfId="1007" builtinId="8" hidden="1"/>
    <cellStyle name="Hyperlink" xfId="1009" builtinId="8" hidden="1"/>
    <cellStyle name="Hyperlink" xfId="1011" builtinId="8" hidden="1"/>
    <cellStyle name="Hyperlink" xfId="1013" builtinId="8" hidden="1"/>
    <cellStyle name="Hyperlink" xfId="1015" builtinId="8" hidden="1"/>
    <cellStyle name="Hyperlink" xfId="1017" builtinId="8" hidden="1"/>
    <cellStyle name="Hyperlink" xfId="1019" builtinId="8" hidden="1"/>
    <cellStyle name="Hyperlink" xfId="1021" builtinId="8" hidden="1"/>
    <cellStyle name="Hyperlink" xfId="1023" builtinId="8" hidden="1"/>
    <cellStyle name="Hyperlink" xfId="1025" builtinId="8" hidden="1"/>
    <cellStyle name="Hyperlink" xfId="1027" builtinId="8" hidden="1"/>
    <cellStyle name="Hyperlink" xfId="1029" builtinId="8" hidden="1"/>
    <cellStyle name="Hyperlink" xfId="1031" builtinId="8" hidden="1"/>
    <cellStyle name="Hyperlink" xfId="1033" builtinId="8" hidden="1"/>
    <cellStyle name="Hyperlink" xfId="1035" builtinId="8" hidden="1"/>
    <cellStyle name="Hyperlink" xfId="1037" builtinId="8" hidden="1"/>
    <cellStyle name="Hyperlink" xfId="1039" builtinId="8" hidden="1"/>
    <cellStyle name="Hyperlink" xfId="1041" builtinId="8" hidden="1"/>
    <cellStyle name="Hyperlink" xfId="1043" builtinId="8" hidden="1"/>
    <cellStyle name="Hyperlink" xfId="1045" builtinId="8" hidden="1"/>
    <cellStyle name="Hyperlink" xfId="1047" builtinId="8" hidden="1"/>
    <cellStyle name="Hyperlink" xfId="1049" builtinId="8" hidden="1"/>
    <cellStyle name="Hyperlink" xfId="1051" builtinId="8" hidden="1"/>
    <cellStyle name="Hyperlink" xfId="1053" builtinId="8" hidden="1"/>
    <cellStyle name="Hyperlink" xfId="1055" builtinId="8" hidden="1"/>
    <cellStyle name="Hyperlink" xfId="1057" builtinId="8" hidden="1"/>
    <cellStyle name="Hyperlink" xfId="1059" builtinId="8" hidden="1"/>
    <cellStyle name="Hyperlink" xfId="1061" builtinId="8" hidden="1"/>
    <cellStyle name="Hyperlink" xfId="1063" builtinId="8" hidden="1"/>
    <cellStyle name="Hyperlink" xfId="1065" builtinId="8" hidden="1"/>
    <cellStyle name="Hyperlink" xfId="1067" builtinId="8" hidden="1"/>
    <cellStyle name="Hyperlink" xfId="1069" builtinId="8" hidden="1"/>
    <cellStyle name="Hyperlink" xfId="1071" builtinId="8" hidden="1"/>
    <cellStyle name="Hyperlink" xfId="1073" builtinId="8" hidden="1"/>
    <cellStyle name="Hyperlink" xfId="1075" builtinId="8" hidden="1"/>
    <cellStyle name="Hyperlink" xfId="1077" builtinId="8" hidden="1"/>
    <cellStyle name="Hyperlink" xfId="1079" builtinId="8" hidden="1"/>
    <cellStyle name="Hyperlink" xfId="1081" builtinId="8" hidden="1"/>
    <cellStyle name="Hyperlink" xfId="1083" builtinId="8" hidden="1"/>
    <cellStyle name="Hyperlink" xfId="1085" builtinId="8" hidden="1"/>
    <cellStyle name="Hyperlink" xfId="1087" builtinId="8" hidden="1"/>
    <cellStyle name="Hyperlink" xfId="1089" builtinId="8" hidden="1"/>
    <cellStyle name="Hyperlink" xfId="1091" builtinId="8" hidden="1"/>
    <cellStyle name="Hyperlink" xfId="1093" builtinId="8" hidden="1"/>
    <cellStyle name="Hyperlink" xfId="1095" builtinId="8" hidden="1"/>
    <cellStyle name="Hyperlink" xfId="1097" builtinId="8" hidden="1"/>
    <cellStyle name="Hyperlink" xfId="1099" builtinId="8" hidden="1"/>
    <cellStyle name="Hyperlink" xfId="1101" builtinId="8" hidden="1"/>
    <cellStyle name="Hyperlink" xfId="1103" builtinId="8" hidden="1"/>
    <cellStyle name="Hyperlink" xfId="1105" builtinId="8" hidden="1"/>
    <cellStyle name="Hyperlink" xfId="1107" builtinId="8" hidden="1"/>
    <cellStyle name="Hyperlink" xfId="1109" builtinId="8" hidden="1"/>
    <cellStyle name="Hyperlink" xfId="1111" builtinId="8" hidden="1"/>
    <cellStyle name="Hyperlink" xfId="1113" builtinId="8" hidden="1"/>
    <cellStyle name="Hyperlink" xfId="1115" builtinId="8" hidden="1"/>
    <cellStyle name="Hyperlink" xfId="1117" builtinId="8" hidden="1"/>
    <cellStyle name="Hyperlink" xfId="1119" builtinId="8" hidden="1"/>
    <cellStyle name="Hyperlink" xfId="1121" builtinId="8" hidden="1"/>
    <cellStyle name="Hyperlink" xfId="1123" builtinId="8" hidden="1"/>
    <cellStyle name="Hyperlink" xfId="1125" builtinId="8" hidden="1"/>
    <cellStyle name="Hyperlink" xfId="1127" builtinId="8" hidden="1"/>
    <cellStyle name="Hyperlink" xfId="1129" builtinId="8" hidden="1"/>
    <cellStyle name="Hyperlink" xfId="1131" builtinId="8" hidden="1"/>
    <cellStyle name="Hyperlink" xfId="1133" builtinId="8" hidden="1"/>
    <cellStyle name="Hyperlink" xfId="1135" builtinId="8" hidden="1"/>
    <cellStyle name="Hyperlink" xfId="1137" builtinId="8" hidden="1"/>
    <cellStyle name="Hyperlink" xfId="1139" builtinId="8" hidden="1"/>
    <cellStyle name="Hyperlink" xfId="1141" builtinId="8" hidden="1"/>
    <cellStyle name="Hyperlink" xfId="1143" builtinId="8" hidden="1"/>
    <cellStyle name="Hyperlink" xfId="1145" builtinId="8" hidden="1"/>
    <cellStyle name="Hyperlink" xfId="1147" builtinId="8" hidden="1"/>
    <cellStyle name="Hyperlink" xfId="1149" builtinId="8" hidden="1"/>
    <cellStyle name="Hyperlink" xfId="1151" builtinId="8" hidden="1"/>
    <cellStyle name="Hyperlink" xfId="1153" builtinId="8" hidden="1"/>
    <cellStyle name="Hyperlink" xfId="1155" builtinId="8" hidden="1"/>
    <cellStyle name="Hyperlink" xfId="1157" builtinId="8" hidden="1"/>
    <cellStyle name="Hyperlink" xfId="1159" builtinId="8" hidden="1"/>
    <cellStyle name="Hyperlink" xfId="1161" builtinId="8" hidden="1"/>
    <cellStyle name="Hyperlink" xfId="1163" builtinId="8" hidden="1"/>
    <cellStyle name="Hyperlink" xfId="1165" builtinId="8" hidden="1"/>
    <cellStyle name="Hyperlink" xfId="1167" builtinId="8" hidden="1"/>
    <cellStyle name="Hyperlink" xfId="1169" builtinId="8" hidden="1"/>
    <cellStyle name="Hyperlink" xfId="1171" builtinId="8" hidden="1"/>
    <cellStyle name="Hyperlink" xfId="1173" builtinId="8" hidden="1"/>
    <cellStyle name="Hyperlink" xfId="1175" builtinId="8" hidden="1"/>
    <cellStyle name="Hyperlink" xfId="1177" builtinId="8" hidden="1"/>
    <cellStyle name="Hyperlink" xfId="1179" builtinId="8" hidden="1"/>
    <cellStyle name="Hyperlink" xfId="1181" builtinId="8" hidden="1"/>
    <cellStyle name="Hyperlink" xfId="1183" builtinId="8" hidden="1"/>
    <cellStyle name="Hyperlink" xfId="1185" builtinId="8" hidden="1"/>
    <cellStyle name="Hyperlink" xfId="1187" builtinId="8" hidden="1"/>
    <cellStyle name="Hyperlink" xfId="1189" builtinId="8" hidden="1"/>
    <cellStyle name="Hyperlink" xfId="1191" builtinId="8" hidden="1"/>
    <cellStyle name="Hyperlink" xfId="1193" builtinId="8" hidden="1"/>
    <cellStyle name="Hyperlink" xfId="1195" builtinId="8" hidden="1"/>
    <cellStyle name="Hyperlink" xfId="1197" builtinId="8" hidden="1"/>
    <cellStyle name="Hyperlink" xfId="1199" builtinId="8" hidden="1"/>
    <cellStyle name="Hyperlink" xfId="1201" builtinId="8" hidden="1"/>
    <cellStyle name="Hyperlink" xfId="1203" builtinId="8" hidden="1"/>
    <cellStyle name="Hyperlink" xfId="1205" builtinId="8" hidden="1"/>
    <cellStyle name="Hyperlink" xfId="1207" builtinId="8" hidden="1"/>
    <cellStyle name="Hyperlink" xfId="1209" builtinId="8" hidden="1"/>
    <cellStyle name="Hyperlink" xfId="1211" builtinId="8" hidden="1"/>
    <cellStyle name="Hyperlink" xfId="1213" builtinId="8" hidden="1"/>
    <cellStyle name="Hyperlink" xfId="1215" builtinId="8" hidden="1"/>
    <cellStyle name="Hyperlink" xfId="1217" builtinId="8" hidden="1"/>
    <cellStyle name="Hyperlink" xfId="1219" builtinId="8" hidden="1"/>
    <cellStyle name="Hyperlink" xfId="1221" builtinId="8" hidden="1"/>
    <cellStyle name="Hyperlink" xfId="1223" builtinId="8" hidden="1"/>
    <cellStyle name="Hyperlink" xfId="1225" builtinId="8" hidden="1"/>
    <cellStyle name="Hyperlink" xfId="1227" builtinId="8" hidden="1"/>
    <cellStyle name="Hyperlink" xfId="1229" builtinId="8" hidden="1"/>
    <cellStyle name="Hyperlink" xfId="1231" builtinId="8" hidden="1"/>
    <cellStyle name="Hyperlink" xfId="1233" builtinId="8" hidden="1"/>
    <cellStyle name="Hyperlink" xfId="1235" builtinId="8" hidden="1"/>
    <cellStyle name="Hyperlink" xfId="1237" builtinId="8" hidden="1"/>
    <cellStyle name="Hyperlink" xfId="1239" builtinId="8" hidden="1"/>
    <cellStyle name="Hyperlink" xfId="1241" builtinId="8" hidden="1"/>
    <cellStyle name="Hyperlink" xfId="1243" builtinId="8" hidden="1"/>
    <cellStyle name="Hyperlink" xfId="1245" builtinId="8" hidden="1"/>
    <cellStyle name="Hyperlink" xfId="1247" builtinId="8" hidden="1"/>
    <cellStyle name="Hyperlink" xfId="1249" builtinId="8" hidden="1"/>
    <cellStyle name="Hyperlink" xfId="1251" builtinId="8" hidden="1"/>
    <cellStyle name="Hyperlink" xfId="1253" builtinId="8" hidden="1"/>
    <cellStyle name="Hyperlink" xfId="1255" builtinId="8" hidden="1"/>
    <cellStyle name="Hyperlink" xfId="1257" builtinId="8" hidden="1"/>
    <cellStyle name="Hyperlink" xfId="1259" builtinId="8" hidden="1"/>
    <cellStyle name="Hyperlink" xfId="1261" builtinId="8" hidden="1"/>
    <cellStyle name="Hyperlink" xfId="1263" builtinId="8" hidden="1"/>
    <cellStyle name="Hyperlink" xfId="1265" builtinId="8" hidden="1"/>
    <cellStyle name="Hyperlink" xfId="1267" builtinId="8" hidden="1"/>
    <cellStyle name="Hyperlink" xfId="1269" builtinId="8" hidden="1"/>
    <cellStyle name="Hyperlink" xfId="1271" builtinId="8" hidden="1"/>
    <cellStyle name="Hyperlink" xfId="1273" builtinId="8" hidden="1"/>
    <cellStyle name="Hyperlink" xfId="1275" builtinId="8" hidden="1"/>
    <cellStyle name="Hyperlink" xfId="1277" builtinId="8" hidden="1"/>
    <cellStyle name="Hyperlink" xfId="1279" builtinId="8" hidden="1"/>
    <cellStyle name="Hyperlink" xfId="1281" builtinId="8" hidden="1"/>
    <cellStyle name="Hyperlink" xfId="1283" builtinId="8" hidden="1"/>
    <cellStyle name="Hyperlink" xfId="1285" builtinId="8" hidden="1"/>
    <cellStyle name="Hyperlink" xfId="1287" builtinId="8" hidden="1"/>
    <cellStyle name="Hyperlink" xfId="1289" builtinId="8" hidden="1"/>
    <cellStyle name="Hyperlink" xfId="1291" builtinId="8" hidden="1"/>
    <cellStyle name="Hyperlink" xfId="1293" builtinId="8" hidden="1"/>
    <cellStyle name="Hyperlink" xfId="1295" builtinId="8" hidden="1"/>
    <cellStyle name="Hyperlink" xfId="1297" builtinId="8" hidden="1"/>
    <cellStyle name="Hyperlink" xfId="1299" builtinId="8" hidden="1"/>
    <cellStyle name="Hyperlink" xfId="1301" builtinId="8" hidden="1"/>
    <cellStyle name="Hyperlink" xfId="1303" builtinId="8" hidden="1"/>
    <cellStyle name="Hyperlink" xfId="1305" builtinId="8" hidden="1"/>
    <cellStyle name="Hyperlink" xfId="1307" builtinId="8" hidden="1"/>
    <cellStyle name="Hyperlink" xfId="1309" builtinId="8" hidden="1"/>
    <cellStyle name="Hyperlink" xfId="1311" builtinId="8" hidden="1"/>
    <cellStyle name="Hyperlink" xfId="1313" builtinId="8" hidden="1"/>
    <cellStyle name="Hyperlink" xfId="1315" builtinId="8" hidden="1"/>
    <cellStyle name="Hyperlink" xfId="1317" builtinId="8" hidden="1"/>
    <cellStyle name="Hyperlink" xfId="1319" builtinId="8" hidden="1"/>
    <cellStyle name="Hyperlink" xfId="1321" builtinId="8" hidden="1"/>
    <cellStyle name="Hyperlink" xfId="1323" builtinId="8" hidden="1"/>
    <cellStyle name="Hyperlink" xfId="1325" builtinId="8" hidden="1"/>
    <cellStyle name="Hyperlink" xfId="1327" builtinId="8" hidden="1"/>
    <cellStyle name="Hyperlink" xfId="1329" builtinId="8" hidden="1"/>
    <cellStyle name="Hyperlink" xfId="1331" builtinId="8" hidden="1"/>
    <cellStyle name="Hyperlink" xfId="1333" builtinId="8" hidden="1"/>
    <cellStyle name="Hyperlink" xfId="1335" builtinId="8" hidden="1"/>
    <cellStyle name="Hyperlink" xfId="1337" builtinId="8" hidden="1"/>
    <cellStyle name="Hyperlink" xfId="1339" builtinId="8" hidden="1"/>
    <cellStyle name="Hyperlink" xfId="1341" builtinId="8" hidden="1"/>
    <cellStyle name="Hyperlink" xfId="1343" builtinId="8" hidden="1"/>
    <cellStyle name="Hyperlink" xfId="1345" builtinId="8" hidden="1"/>
    <cellStyle name="Hyperlink" xfId="1347" builtinId="8" hidden="1"/>
    <cellStyle name="Hyperlink" xfId="1349" builtinId="8" hidden="1"/>
    <cellStyle name="Hyperlink" xfId="1351" builtinId="8" hidden="1"/>
    <cellStyle name="Hyperlink" xfId="1353" builtinId="8" hidden="1"/>
    <cellStyle name="Hyperlink" xfId="1355" builtinId="8" hidden="1"/>
    <cellStyle name="Hyperlink" xfId="1357" builtinId="8" hidden="1"/>
    <cellStyle name="Hyperlink" xfId="1359" builtinId="8" hidden="1"/>
    <cellStyle name="Hyperlink" xfId="1361" builtinId="8" hidden="1"/>
    <cellStyle name="Hyperlink" xfId="1363" builtinId="8" hidden="1"/>
    <cellStyle name="Hyperlink" xfId="1365" builtinId="8" hidden="1"/>
    <cellStyle name="Hyperlink" xfId="1367" builtinId="8" hidden="1"/>
    <cellStyle name="Hyperlink" xfId="1369" builtinId="8" hidden="1"/>
    <cellStyle name="Hyperlink" xfId="1371" builtinId="8" hidden="1"/>
    <cellStyle name="Hyperlink" xfId="1373" builtinId="8" hidden="1"/>
    <cellStyle name="Hyperlink" xfId="1375" builtinId="8" hidden="1"/>
    <cellStyle name="Hyperlink" xfId="1377" builtinId="8" hidden="1"/>
    <cellStyle name="Hyperlink" xfId="1379" builtinId="8" hidden="1"/>
    <cellStyle name="Hyperlink" xfId="1381" builtinId="8" hidden="1"/>
    <cellStyle name="Hyperlink" xfId="1383" builtinId="8" hidden="1"/>
    <cellStyle name="Hyperlink" xfId="1385" builtinId="8" hidden="1"/>
    <cellStyle name="Hyperlink" xfId="1387" builtinId="8" hidden="1"/>
    <cellStyle name="Hyperlink" xfId="1389" builtinId="8" hidden="1"/>
    <cellStyle name="Hyperlink" xfId="1391" builtinId="8" hidden="1"/>
    <cellStyle name="Hyperlink" xfId="1393" builtinId="8" hidden="1"/>
    <cellStyle name="Hyperlink" xfId="1395" builtinId="8" hidden="1"/>
    <cellStyle name="Hyperlink" xfId="1397" builtinId="8" hidden="1"/>
    <cellStyle name="Hyperlink" xfId="1399" builtinId="8" hidden="1"/>
    <cellStyle name="Hyperlink" xfId="1401" builtinId="8" hidden="1"/>
    <cellStyle name="Hyperlink" xfId="1403" builtinId="8" hidden="1"/>
    <cellStyle name="Hyperlink" xfId="1405" builtinId="8" hidden="1"/>
    <cellStyle name="Hyperlink" xfId="1407" builtinId="8" hidden="1"/>
    <cellStyle name="Hyperlink" xfId="1409" builtinId="8" hidden="1"/>
    <cellStyle name="Hyperlink" xfId="1411" builtinId="8" hidden="1"/>
    <cellStyle name="Hyperlink" xfId="1413" builtinId="8" hidden="1"/>
    <cellStyle name="Hyperlink" xfId="1415" builtinId="8" hidden="1"/>
    <cellStyle name="Hyperlink" xfId="1417" builtinId="8" hidden="1"/>
    <cellStyle name="Hyperlink" xfId="1419" builtinId="8" hidden="1"/>
    <cellStyle name="Hyperlink" xfId="1421" builtinId="8" hidden="1"/>
    <cellStyle name="Hyperlink" xfId="1423" builtinId="8" hidden="1"/>
    <cellStyle name="Hyperlink" xfId="1425" builtinId="8" hidden="1"/>
    <cellStyle name="Hyperlink" xfId="1427" builtinId="8" hidden="1"/>
    <cellStyle name="Hyperlink" xfId="1429" builtinId="8" hidden="1"/>
    <cellStyle name="Hyperlink" xfId="1431" builtinId="8" hidden="1"/>
    <cellStyle name="Hyperlink" xfId="1433" builtinId="8" hidden="1"/>
    <cellStyle name="Hyperlink" xfId="1435" builtinId="8" hidden="1"/>
    <cellStyle name="Hyperlink" xfId="1437" builtinId="8" hidden="1"/>
    <cellStyle name="Hyperlink" xfId="1439" builtinId="8" hidden="1"/>
    <cellStyle name="Hyperlink" xfId="1441" builtinId="8" hidden="1"/>
    <cellStyle name="Hyperlink" xfId="1443" builtinId="8" hidden="1"/>
    <cellStyle name="Hyperlink" xfId="1445" builtinId="8" hidden="1"/>
    <cellStyle name="Hyperlink" xfId="1447" builtinId="8" hidden="1"/>
    <cellStyle name="Hyperlink" xfId="1449" builtinId="8" hidden="1"/>
    <cellStyle name="Hyperlink" xfId="1451" builtinId="8" hidden="1"/>
    <cellStyle name="Hyperlink" xfId="1453" builtinId="8" hidden="1"/>
    <cellStyle name="Hyperlink" xfId="1455" builtinId="8" hidden="1"/>
    <cellStyle name="Hyperlink" xfId="1457" builtinId="8" hidden="1"/>
    <cellStyle name="Hyperlink" xfId="1459" builtinId="8" hidden="1"/>
    <cellStyle name="Hyperlink" xfId="1461" builtinId="8" hidden="1"/>
    <cellStyle name="Hyperlink" xfId="1463" builtinId="8" hidden="1"/>
    <cellStyle name="Hyperlink" xfId="1465" builtinId="8" hidden="1"/>
    <cellStyle name="Hyperlink" xfId="1467" builtinId="8" hidden="1"/>
    <cellStyle name="Hyperlink" xfId="1469" builtinId="8" hidden="1"/>
    <cellStyle name="Hyperlink" xfId="1471" builtinId="8" hidden="1"/>
    <cellStyle name="Hyperlink" xfId="1473" builtinId="8" hidden="1"/>
    <cellStyle name="Hyperlink" xfId="1475" builtinId="8" hidden="1"/>
    <cellStyle name="Hyperlink" xfId="1477" builtinId="8" hidden="1"/>
    <cellStyle name="Hyperlink" xfId="1479" builtinId="8" hidden="1"/>
    <cellStyle name="Hyperlink" xfId="1481" builtinId="8" hidden="1"/>
    <cellStyle name="Hyperlink" xfId="1483" builtinId="8" hidden="1"/>
    <cellStyle name="Hyperlink" xfId="1485" builtinId="8" hidden="1"/>
    <cellStyle name="Hyperlink" xfId="1487" builtinId="8" hidden="1"/>
    <cellStyle name="Hyperlink" xfId="1489" builtinId="8" hidden="1"/>
    <cellStyle name="Hyperlink" xfId="1491" builtinId="8" hidden="1"/>
    <cellStyle name="Hyperlink" xfId="1493" builtinId="8" hidden="1"/>
    <cellStyle name="Hyperlink" xfId="1495" builtinId="8" hidden="1"/>
    <cellStyle name="Hyperlink" xfId="1497" builtinId="8" hidden="1"/>
    <cellStyle name="Hyperlink" xfId="1499" builtinId="8" hidden="1"/>
    <cellStyle name="Hyperlink" xfId="1501" builtinId="8" hidden="1"/>
    <cellStyle name="Hyperlink" xfId="1503" builtinId="8" hidden="1"/>
    <cellStyle name="Hyperlink" xfId="1505" builtinId="8" hidden="1"/>
    <cellStyle name="Hyperlink" xfId="1507" builtinId="8" hidden="1"/>
    <cellStyle name="Hyperlink" xfId="1509" builtinId="8" hidden="1"/>
    <cellStyle name="Hyperlink" xfId="1511" builtinId="8" hidden="1"/>
    <cellStyle name="Hyperlink" xfId="1513" builtinId="8" hidden="1"/>
    <cellStyle name="Hyperlink" xfId="1515" builtinId="8" hidden="1"/>
    <cellStyle name="Hyperlink" xfId="1517" builtinId="8" hidden="1"/>
    <cellStyle name="Hyperlink" xfId="1519" builtinId="8" hidden="1"/>
    <cellStyle name="Hyperlink" xfId="1521" builtinId="8" hidden="1"/>
    <cellStyle name="Hyperlink" xfId="1523" builtinId="8" hidden="1"/>
    <cellStyle name="Hyperlink" xfId="1525" builtinId="8" hidden="1"/>
    <cellStyle name="Hyperlink" xfId="1527" builtinId="8" hidden="1"/>
    <cellStyle name="Hyperlink" xfId="1529" builtinId="8" hidden="1"/>
    <cellStyle name="Hyperlink" xfId="1531" builtinId="8" hidden="1"/>
    <cellStyle name="Hyperlink" xfId="1533" builtinId="8" hidden="1"/>
    <cellStyle name="Hyperlink" xfId="1535" builtinId="8" hidden="1"/>
    <cellStyle name="Hyperlink" xfId="1537" builtinId="8" hidden="1"/>
    <cellStyle name="Hyperlink" xfId="1539" builtinId="8" hidden="1"/>
    <cellStyle name="Hyperlink" xfId="1541" builtinId="8" hidden="1"/>
    <cellStyle name="Hyperlink" xfId="1543" builtinId="8" hidden="1"/>
    <cellStyle name="Hyperlink" xfId="1545" builtinId="8" hidden="1"/>
    <cellStyle name="Hyperlink" xfId="1547" builtinId="8" hidden="1"/>
    <cellStyle name="Hyperlink" xfId="1549" builtinId="8" hidden="1"/>
    <cellStyle name="Hyperlink" xfId="1551" builtinId="8" hidden="1"/>
    <cellStyle name="Hyperlink" xfId="1553" builtinId="8" hidden="1"/>
    <cellStyle name="Hyperlink" xfId="1555" builtinId="8" hidden="1"/>
    <cellStyle name="Hyperlink" xfId="1557" builtinId="8" hidden="1"/>
    <cellStyle name="Hyperlink" xfId="1559" builtinId="8" hidden="1"/>
    <cellStyle name="Hyperlink" xfId="1561" builtinId="8" hidden="1"/>
    <cellStyle name="Hyperlink" xfId="1563" builtinId="8" hidden="1"/>
    <cellStyle name="Hyperlink" xfId="1565" builtinId="8" hidden="1"/>
    <cellStyle name="Hyperlink" xfId="1567" builtinId="8" hidden="1"/>
    <cellStyle name="Hyperlink" xfId="1569" builtinId="8" hidden="1"/>
    <cellStyle name="Hyperlink" xfId="1571" builtinId="8" hidden="1"/>
    <cellStyle name="Hyperlink" xfId="1573" builtinId="8" hidden="1"/>
    <cellStyle name="Hyperlink" xfId="1575" builtinId="8" hidden="1"/>
    <cellStyle name="Hyperlink" xfId="1577" builtinId="8" hidden="1"/>
    <cellStyle name="Hyperlink" xfId="1579" builtinId="8" hidden="1"/>
    <cellStyle name="Hyperlink" xfId="1581" builtinId="8" hidden="1"/>
    <cellStyle name="Hyperlink" xfId="1583" builtinId="8" hidden="1"/>
    <cellStyle name="Hyperlink" xfId="1585" builtinId="8" hidden="1"/>
    <cellStyle name="Hyperlink" xfId="1587" builtinId="8" hidden="1"/>
    <cellStyle name="Hyperlink" xfId="1589" builtinId="8" hidden="1"/>
    <cellStyle name="Hyperlink" xfId="1591" builtinId="8" hidden="1"/>
    <cellStyle name="Hyperlink" xfId="1593" builtinId="8" hidden="1"/>
    <cellStyle name="Hyperlink" xfId="1595" builtinId="8" hidden="1"/>
    <cellStyle name="Hyperlink" xfId="1597" builtinId="8" hidden="1"/>
    <cellStyle name="Hyperlink" xfId="1599" builtinId="8" hidden="1"/>
    <cellStyle name="Hyperlink" xfId="1601" builtinId="8" hidden="1"/>
    <cellStyle name="Hyperlink" xfId="1603" builtinId="8" hidden="1"/>
    <cellStyle name="Hyperlink" xfId="1605" builtinId="8" hidden="1"/>
    <cellStyle name="Hyperlink" xfId="1607" builtinId="8" hidden="1"/>
    <cellStyle name="Hyperlink" xfId="1609" builtinId="8" hidden="1"/>
    <cellStyle name="Hyperlink" xfId="1611" builtinId="8" hidden="1"/>
    <cellStyle name="Hyperlink" xfId="1613" builtinId="8" hidden="1"/>
    <cellStyle name="Hyperlink" xfId="1615" builtinId="8" hidden="1"/>
    <cellStyle name="Hyperlink" xfId="1617" builtinId="8" hidden="1"/>
    <cellStyle name="Hyperlink" xfId="1619" builtinId="8" hidden="1"/>
    <cellStyle name="Hyperlink" xfId="1621" builtinId="8" hidden="1"/>
    <cellStyle name="Hyperlink" xfId="1623" builtinId="8" hidden="1"/>
    <cellStyle name="Hyperlink" xfId="1625" builtinId="8" hidden="1"/>
    <cellStyle name="Hyperlink" xfId="1627" builtinId="8" hidden="1"/>
    <cellStyle name="Hyperlink" xfId="1629" builtinId="8" hidden="1"/>
    <cellStyle name="Hyperlink" xfId="1631" builtinId="8" hidden="1"/>
    <cellStyle name="Hyperlink" xfId="1633" builtinId="8" hidden="1"/>
    <cellStyle name="Hyperlink" xfId="1635" builtinId="8" hidden="1"/>
    <cellStyle name="Hyperlink" xfId="1637" builtinId="8" hidden="1"/>
    <cellStyle name="Hyperlink" xfId="1639" builtinId="8" hidden="1"/>
    <cellStyle name="Hyperlink" xfId="1641" builtinId="8" hidden="1"/>
    <cellStyle name="Hyperlink" xfId="1643" builtinId="8" hidden="1"/>
    <cellStyle name="Hyperlink" xfId="1645" builtinId="8" hidden="1"/>
    <cellStyle name="Hyperlink" xfId="1647" builtinId="8" hidden="1"/>
    <cellStyle name="Hyperlink" xfId="1649" builtinId="8" hidden="1"/>
    <cellStyle name="Hyperlink" xfId="1651" builtinId="8" hidden="1"/>
    <cellStyle name="Hyperlink" xfId="1653" builtinId="8" hidden="1"/>
    <cellStyle name="Hyperlink" xfId="1655" builtinId="8" hidden="1"/>
    <cellStyle name="Hyperlink" xfId="1657" builtinId="8" hidden="1"/>
    <cellStyle name="Hyperlink" xfId="1659" builtinId="8" hidden="1"/>
    <cellStyle name="Hyperlink" xfId="1661" builtinId="8" hidden="1"/>
    <cellStyle name="Hyperlink" xfId="1663" builtinId="8" hidden="1"/>
    <cellStyle name="Hyperlink" xfId="1665" builtinId="8" hidden="1"/>
    <cellStyle name="Hyperlink" xfId="1667" builtinId="8" hidden="1"/>
    <cellStyle name="Hyperlink" xfId="1669" builtinId="8" hidden="1"/>
    <cellStyle name="Hyperlink" xfId="1671" builtinId="8" hidden="1"/>
    <cellStyle name="Hyperlink" xfId="1673" builtinId="8" hidden="1"/>
    <cellStyle name="Hyperlink" xfId="1675" builtinId="8" hidden="1"/>
    <cellStyle name="Hyperlink" xfId="1677" builtinId="8" hidden="1"/>
    <cellStyle name="Hyperlink" xfId="1679" builtinId="8" hidden="1"/>
    <cellStyle name="Hyperlink" xfId="1681" builtinId="8" hidden="1"/>
    <cellStyle name="Hyperlink" xfId="1683" builtinId="8" hidden="1"/>
    <cellStyle name="Hyperlink" xfId="1685" builtinId="8" hidden="1"/>
    <cellStyle name="Hyperlink" xfId="1687" builtinId="8" hidden="1"/>
    <cellStyle name="Hyperlink" xfId="1689" builtinId="8" hidden="1"/>
    <cellStyle name="Hyperlink" xfId="1691" builtinId="8" hidden="1"/>
    <cellStyle name="Hyperlink" xfId="1693" builtinId="8" hidden="1"/>
    <cellStyle name="Hyperlink" xfId="1695" builtinId="8" hidden="1"/>
    <cellStyle name="Hyperlink" xfId="1697" builtinId="8" hidden="1"/>
    <cellStyle name="Hyperlink" xfId="1699" builtinId="8" hidden="1"/>
    <cellStyle name="Hyperlink" xfId="1701" builtinId="8" hidden="1"/>
    <cellStyle name="Hyperlink" xfId="1703" builtinId="8" hidden="1"/>
    <cellStyle name="Hyperlink" xfId="1705" builtinId="8" hidden="1"/>
    <cellStyle name="Hyperlink" xfId="1707" builtinId="8" hidden="1"/>
    <cellStyle name="Hyperlink" xfId="1709" builtinId="8" hidden="1"/>
    <cellStyle name="Hyperlink" xfId="1711" builtinId="8" hidden="1"/>
    <cellStyle name="Hyperlink" xfId="1713" builtinId="8" hidden="1"/>
    <cellStyle name="Hyperlink" xfId="1715" builtinId="8" hidden="1"/>
    <cellStyle name="Hyperlink" xfId="1717" builtinId="8" hidden="1"/>
    <cellStyle name="Hyperlink" xfId="1719" builtinId="8" hidden="1"/>
    <cellStyle name="Hyperlink" xfId="1721" builtinId="8" hidden="1"/>
    <cellStyle name="Hyperlink" xfId="1723" builtinId="8" hidden="1"/>
    <cellStyle name="Hyperlink" xfId="1725" builtinId="8" hidden="1"/>
    <cellStyle name="Hyperlink" xfId="1727" builtinId="8" hidden="1"/>
    <cellStyle name="Hyperlink" xfId="1729" builtinId="8" hidden="1"/>
    <cellStyle name="Hyperlink" xfId="1731" builtinId="8" hidden="1"/>
    <cellStyle name="Hyperlink" xfId="1733" builtinId="8" hidden="1"/>
    <cellStyle name="Hyperlink" xfId="1735" builtinId="8" hidden="1"/>
    <cellStyle name="Hyperlink" xfId="1737" builtinId="8" hidden="1"/>
    <cellStyle name="Hyperlink" xfId="1739" builtinId="8" hidden="1"/>
    <cellStyle name="Hyperlink" xfId="1741" builtinId="8" hidden="1"/>
    <cellStyle name="Hyperlink" xfId="1743" builtinId="8" hidden="1"/>
    <cellStyle name="Hyperlink" xfId="1745" builtinId="8" hidden="1"/>
    <cellStyle name="Hyperlink" xfId="1747" builtinId="8" hidden="1"/>
    <cellStyle name="Hyperlink" xfId="1749" builtinId="8" hidden="1"/>
    <cellStyle name="Hyperlink" xfId="1751" builtinId="8" hidden="1"/>
    <cellStyle name="Hyperlink" xfId="1753" builtinId="8" hidden="1"/>
    <cellStyle name="Hyperlink" xfId="1755" builtinId="8" hidden="1"/>
    <cellStyle name="Hyperlink" xfId="1757" builtinId="8" hidden="1"/>
    <cellStyle name="Hyperlink" xfId="1759" builtinId="8" hidden="1"/>
    <cellStyle name="Hyperlink" xfId="1761" builtinId="8" hidden="1"/>
    <cellStyle name="Hyperlink" xfId="1763" builtinId="8" hidden="1"/>
    <cellStyle name="Hyperlink" xfId="1765" builtinId="8" hidden="1"/>
    <cellStyle name="Hyperlink" xfId="1767" builtinId="8" hidden="1"/>
    <cellStyle name="Hyperlink" xfId="1769" builtinId="8" hidden="1"/>
    <cellStyle name="Hyperlink" xfId="1771" builtinId="8" hidden="1"/>
    <cellStyle name="Hyperlink" xfId="1773" builtinId="8" hidden="1"/>
    <cellStyle name="Hyperlink" xfId="1775" builtinId="8" hidden="1"/>
    <cellStyle name="Hyperlink" xfId="1777" builtinId="8" hidden="1"/>
    <cellStyle name="Hyperlink" xfId="1779" builtinId="8" hidden="1"/>
    <cellStyle name="Hyperlink" xfId="1781" builtinId="8" hidden="1"/>
    <cellStyle name="Hyperlink" xfId="1783" builtinId="8" hidden="1"/>
    <cellStyle name="Hyperlink" xfId="1785" builtinId="8" hidden="1"/>
    <cellStyle name="Hyperlink" xfId="1787" builtinId="8" hidden="1"/>
    <cellStyle name="Hyperlink" xfId="1789" builtinId="8" hidden="1"/>
    <cellStyle name="Hyperlink" xfId="1791" builtinId="8" hidden="1"/>
    <cellStyle name="Hyperlink" xfId="1793" builtinId="8" hidden="1"/>
    <cellStyle name="Hyperlink" xfId="1795" builtinId="8" hidden="1"/>
    <cellStyle name="Hyperlink" xfId="1797" builtinId="8" hidden="1"/>
    <cellStyle name="Hyperlink" xfId="1799" builtinId="8" hidden="1"/>
    <cellStyle name="Hyperlink" xfId="1801" builtinId="8" hidden="1"/>
    <cellStyle name="Hyperlink" xfId="1803" builtinId="8" hidden="1"/>
    <cellStyle name="Hyperlink" xfId="1805" builtinId="8" hidden="1"/>
    <cellStyle name="Hyperlink" xfId="1807" builtinId="8" hidden="1"/>
    <cellStyle name="Hyperlink" xfId="1809" builtinId="8" hidden="1"/>
    <cellStyle name="Hyperlink" xfId="1811" builtinId="8" hidden="1"/>
    <cellStyle name="Hyperlink" xfId="1813" builtinId="8" hidden="1"/>
    <cellStyle name="Hyperlink" xfId="1815" builtinId="8" hidden="1"/>
    <cellStyle name="Hyperlink" xfId="1817" builtinId="8" hidden="1"/>
    <cellStyle name="Hyperlink" xfId="1819" builtinId="8" hidden="1"/>
    <cellStyle name="Hyperlink" xfId="1821" builtinId="8" hidden="1"/>
    <cellStyle name="Hyperlink" xfId="1823" builtinId="8" hidden="1"/>
    <cellStyle name="Hyperlink" xfId="1825" builtinId="8" hidden="1"/>
    <cellStyle name="Hyperlink" xfId="1827" builtinId="8" hidden="1"/>
    <cellStyle name="Hyperlink" xfId="1829" builtinId="8" hidden="1"/>
    <cellStyle name="Hyperlink" xfId="1831" builtinId="8" hidden="1"/>
    <cellStyle name="Hyperlink" xfId="1833" builtinId="8" hidden="1"/>
    <cellStyle name="Hyperlink" xfId="1835" builtinId="8" hidden="1"/>
    <cellStyle name="Hyperlink" xfId="1837" builtinId="8" hidden="1"/>
    <cellStyle name="Hyperlink" xfId="1839" builtinId="8" hidden="1"/>
    <cellStyle name="Hyperlink" xfId="1841" builtinId="8" hidden="1"/>
    <cellStyle name="Hyperlink" xfId="1843" builtinId="8" hidden="1"/>
    <cellStyle name="Hyperlink" xfId="1845" builtinId="8" hidden="1"/>
    <cellStyle name="Hyperlink" xfId="1847" builtinId="8" hidden="1"/>
    <cellStyle name="Hyperlink" xfId="1849" builtinId="8" hidden="1"/>
    <cellStyle name="Hyperlink" xfId="1851" builtinId="8" hidden="1"/>
    <cellStyle name="Hyperlink" xfId="1853" builtinId="8" hidden="1"/>
    <cellStyle name="Hyperlink" xfId="1855" builtinId="8" hidden="1"/>
    <cellStyle name="Hyperlink" xfId="1857" builtinId="8" hidden="1"/>
    <cellStyle name="Hyperlink" xfId="1859" builtinId="8" hidden="1"/>
    <cellStyle name="Hyperlink" xfId="1861" builtinId="8" hidden="1"/>
    <cellStyle name="Hyperlink" xfId="1863" builtinId="8" hidden="1"/>
    <cellStyle name="Hyperlink" xfId="1865" builtinId="8" hidden="1"/>
    <cellStyle name="Hyperlink" xfId="1867" builtinId="8" hidden="1"/>
    <cellStyle name="Hyperlink" xfId="1869" builtinId="8" hidden="1"/>
    <cellStyle name="Hyperlink" xfId="1871" builtinId="8" hidden="1"/>
    <cellStyle name="Hyperlink" xfId="1873" builtinId="8" hidden="1"/>
    <cellStyle name="Hyperlink" xfId="1875" builtinId="8" hidden="1"/>
    <cellStyle name="Hyperlink" xfId="1877" builtinId="8" hidden="1"/>
    <cellStyle name="Hyperlink" xfId="1879" builtinId="8" hidden="1"/>
    <cellStyle name="Hyperlink" xfId="1881" builtinId="8" hidden="1"/>
    <cellStyle name="Hyperlink" xfId="1883" builtinId="8" hidden="1"/>
    <cellStyle name="Hyperlink" xfId="1885" builtinId="8" hidden="1"/>
    <cellStyle name="Hyperlink" xfId="1887" builtinId="8" hidden="1"/>
    <cellStyle name="Hyperlink" xfId="1889" builtinId="8" hidden="1"/>
    <cellStyle name="Hyperlink" xfId="1891" builtinId="8" hidden="1"/>
    <cellStyle name="Hyperlink" xfId="1893" builtinId="8" hidden="1"/>
    <cellStyle name="Hyperlink" xfId="1895" builtinId="8" hidden="1"/>
    <cellStyle name="Hyperlink" xfId="1897" builtinId="8" hidden="1"/>
    <cellStyle name="Hyperlink" xfId="1899" builtinId="8" hidden="1"/>
    <cellStyle name="Hyperlink" xfId="1901" builtinId="8" hidden="1"/>
    <cellStyle name="Hyperlink" xfId="1903" builtinId="8" hidden="1"/>
    <cellStyle name="Hyperlink" xfId="1905" builtinId="8" hidden="1"/>
    <cellStyle name="Hyperlink" xfId="1907" builtinId="8" hidden="1"/>
    <cellStyle name="Hyperlink" xfId="1909" builtinId="8" hidden="1"/>
    <cellStyle name="Hyperlink" xfId="1911" builtinId="8" hidden="1"/>
    <cellStyle name="Hyperlink" xfId="1913" builtinId="8" hidden="1"/>
    <cellStyle name="Hyperlink" xfId="1915" builtinId="8" hidden="1"/>
    <cellStyle name="Hyperlink" xfId="1917"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L24"/>
  <sheetViews>
    <sheetView topLeftCell="A2" workbookViewId="0">
      <selection activeCell="I6" sqref="I6"/>
    </sheetView>
  </sheetViews>
  <sheetFormatPr baseColWidth="10" defaultRowHeight="15" x14ac:dyDescent="0"/>
  <cols>
    <col min="1" max="1" width="28.83203125" customWidth="1"/>
    <col min="2" max="5" width="12.1640625" bestFit="1" customWidth="1"/>
    <col min="11" max="11" width="11.83203125" bestFit="1" customWidth="1"/>
  </cols>
  <sheetData>
    <row r="1" spans="1:12" ht="30" customHeight="1">
      <c r="A1" s="6" t="s">
        <v>157</v>
      </c>
      <c r="G1" s="6" t="s">
        <v>159</v>
      </c>
    </row>
    <row r="2" spans="1:12" ht="30" customHeight="1">
      <c r="A2" s="44"/>
      <c r="B2" s="58" t="s">
        <v>124</v>
      </c>
      <c r="C2" s="58" t="s">
        <v>125</v>
      </c>
      <c r="D2" s="58" t="s">
        <v>158</v>
      </c>
      <c r="J2" t="s">
        <v>156</v>
      </c>
    </row>
    <row r="3" spans="1:12" ht="30" customHeight="1">
      <c r="A3" s="99" t="s">
        <v>126</v>
      </c>
      <c r="B3" s="100">
        <f>GiveDirectly!B20</f>
        <v>-3779244367121.9419</v>
      </c>
      <c r="C3" s="100">
        <f>GiveDirectly!B21</f>
        <v>-1443.9767114130493</v>
      </c>
      <c r="D3" s="100">
        <f>C3/$C$3</f>
        <v>1</v>
      </c>
      <c r="G3" s="44"/>
      <c r="H3" s="44" t="s">
        <v>133</v>
      </c>
      <c r="I3" s="44" t="s">
        <v>33</v>
      </c>
      <c r="J3" s="58" t="s">
        <v>124</v>
      </c>
      <c r="K3" s="58" t="s">
        <v>125</v>
      </c>
    </row>
    <row r="4" spans="1:12" ht="30" customHeight="1">
      <c r="A4" s="99" t="s">
        <v>195</v>
      </c>
      <c r="B4" s="100">
        <f>THL!B26</f>
        <v>2.4555749510036843E+25</v>
      </c>
      <c r="C4" s="100">
        <f>THL!B27</f>
        <v>7567.9357095192581</v>
      </c>
      <c r="D4" s="100">
        <f>C4/C3</f>
        <v>-5.2410372339824054</v>
      </c>
      <c r="G4" s="101" t="s">
        <v>126</v>
      </c>
      <c r="H4" s="102">
        <f>GiveDirectly!G3</f>
        <v>1</v>
      </c>
      <c r="I4" s="103">
        <f>GiveDirectly!H3</f>
        <v>6.25E-2</v>
      </c>
      <c r="J4" s="100">
        <f>ParetoPosterior(median,alpha,H4:I4)</f>
        <v>1.0718443947358864</v>
      </c>
      <c r="K4" s="100">
        <f>LognormPosterior(mu_global_poverty,sigma_global_poverty,H4:I4)</f>
        <v>1.1417331931971864</v>
      </c>
    </row>
    <row r="5" spans="1:12" ht="30" customHeight="1">
      <c r="A5" s="99" t="s">
        <v>127</v>
      </c>
      <c r="B5" s="100">
        <f>'AI Safety'!B11</f>
        <v>2.3746714983047666E+25</v>
      </c>
      <c r="C5" s="100">
        <f>'AI Safety'!B12</f>
        <v>5097.3131733044966</v>
      </c>
      <c r="D5" s="100">
        <f>C5/$C$3</f>
        <v>-3.5300522044544325</v>
      </c>
      <c r="G5" s="46" t="s">
        <v>131</v>
      </c>
      <c r="H5" s="104">
        <v>11</v>
      </c>
      <c r="I5" s="104">
        <f>0.5^2</f>
        <v>0.25</v>
      </c>
      <c r="J5" s="100">
        <f>ParetoPosterior(median,alpha,H5:I5)</f>
        <v>5.5189570936889352</v>
      </c>
      <c r="K5" s="100">
        <f>LognormPosterior(mu_global_poverty,sigma_global_poverty,H5:I5)</f>
        <v>4.6196376362437315</v>
      </c>
    </row>
    <row r="6" spans="1:12" ht="30" customHeight="1">
      <c r="A6" s="99" t="s">
        <v>155</v>
      </c>
      <c r="B6" s="100">
        <f>'AI Targeted Values Spreading'!B23</f>
        <v>3.5951215753374146E+34</v>
      </c>
      <c r="C6" s="100">
        <f>'AI Targeted Values Spreading'!B24</f>
        <v>29008.874887223537</v>
      </c>
      <c r="D6" s="100">
        <f>C6/$C$3</f>
        <v>-20.089572538075064</v>
      </c>
      <c r="G6" s="90" t="s">
        <v>195</v>
      </c>
      <c r="H6" s="105">
        <f>THL!I5</f>
        <v>15083.103128998355</v>
      </c>
      <c r="I6" s="88">
        <f>THL!J5</f>
        <v>0.79504262895320132</v>
      </c>
      <c r="J6" s="100">
        <f>ParetoPosterior(median,alpha,H6:I6)</f>
        <v>278.14172544025013</v>
      </c>
      <c r="K6" s="100">
        <f>LognormPosterior(mu_factory_farming,sigma_factory_farming,H6:I6)</f>
        <v>95.354719159161419</v>
      </c>
    </row>
    <row r="7" spans="1:12" ht="30" customHeight="1">
      <c r="G7" s="52" t="s">
        <v>132</v>
      </c>
      <c r="H7" s="106">
        <v>22000</v>
      </c>
      <c r="I7" s="107">
        <v>0.5</v>
      </c>
      <c r="J7" s="100">
        <f>ParetoPosterior(median,alpha,H7:I7)</f>
        <v>1582.0302237467174</v>
      </c>
      <c r="K7" s="100">
        <f>LognormPosterior(mu_factory_farming,sigma_factory_farming,H7:I7)</f>
        <v>202.31262481934897</v>
      </c>
    </row>
    <row r="8" spans="1:12">
      <c r="G8" s="3"/>
      <c r="H8" s="9"/>
      <c r="I8" s="3"/>
      <c r="K8" s="3"/>
      <c r="L8" s="3"/>
    </row>
    <row r="12" spans="1:12">
      <c r="A12" s="13"/>
      <c r="B12" s="3"/>
      <c r="C12" s="3"/>
      <c r="D12" s="3"/>
    </row>
    <row r="13" spans="1:12">
      <c r="A13" s="3"/>
      <c r="B13" s="3"/>
      <c r="C13" s="3"/>
      <c r="D13" s="3"/>
    </row>
    <row r="14" spans="1:12">
      <c r="A14" s="3"/>
      <c r="B14" s="3"/>
      <c r="C14" s="3"/>
      <c r="D14" s="3"/>
    </row>
    <row r="15" spans="1:12">
      <c r="A15" s="3"/>
      <c r="B15" s="3"/>
      <c r="C15" s="3"/>
      <c r="D15" s="3"/>
    </row>
    <row r="16" spans="1:12">
      <c r="A16" s="3"/>
      <c r="B16" s="3"/>
      <c r="C16" s="3"/>
      <c r="D16" s="3"/>
    </row>
    <row r="17" spans="1:4">
      <c r="A17" s="3"/>
      <c r="B17" s="3"/>
      <c r="C17" s="3"/>
      <c r="D17" s="3"/>
    </row>
    <row r="18" spans="1:4">
      <c r="A18" s="3"/>
      <c r="B18" s="3"/>
      <c r="C18" s="3"/>
      <c r="D18" s="3"/>
    </row>
    <row r="19" spans="1:4">
      <c r="A19" s="13"/>
      <c r="B19" s="3"/>
      <c r="C19" s="3"/>
      <c r="D19" s="3"/>
    </row>
    <row r="20" spans="1:4">
      <c r="A20" s="3"/>
      <c r="B20" s="3"/>
      <c r="C20" s="3"/>
      <c r="D20" s="3"/>
    </row>
    <row r="21" spans="1:4">
      <c r="A21" s="3"/>
      <c r="B21" s="3"/>
      <c r="C21" s="3"/>
      <c r="D21" s="3"/>
    </row>
    <row r="22" spans="1:4">
      <c r="A22" s="3"/>
      <c r="B22" s="3"/>
      <c r="C22" s="3"/>
      <c r="D22" s="3"/>
    </row>
    <row r="23" spans="1:4">
      <c r="A23" s="3"/>
      <c r="B23" s="3"/>
      <c r="C23" s="3"/>
      <c r="D23" s="3"/>
    </row>
    <row r="24" spans="1:4">
      <c r="A24" s="3"/>
      <c r="B24" s="3"/>
      <c r="C24" s="3"/>
      <c r="D24"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P46"/>
  <sheetViews>
    <sheetView tabSelected="1" workbookViewId="0">
      <selection activeCell="D5" sqref="D5"/>
    </sheetView>
  </sheetViews>
  <sheetFormatPr baseColWidth="10" defaultRowHeight="15" x14ac:dyDescent="0"/>
  <cols>
    <col min="1" max="1" width="21.6640625" customWidth="1"/>
    <col min="2" max="2" width="12.1640625" bestFit="1" customWidth="1"/>
    <col min="3" max="3" width="21.6640625" customWidth="1"/>
    <col min="4" max="4" width="10.83203125" customWidth="1"/>
    <col min="5" max="5" width="21.6640625" customWidth="1"/>
    <col min="7" max="8" width="10.83203125" customWidth="1"/>
    <col min="10" max="10" width="21.6640625" customWidth="1"/>
    <col min="13" max="14" width="10.83203125" customWidth="1"/>
  </cols>
  <sheetData>
    <row r="1" spans="1:13" ht="20">
      <c r="A1" s="6" t="s">
        <v>167</v>
      </c>
      <c r="C1" s="6" t="s">
        <v>87</v>
      </c>
      <c r="J1" s="6" t="s">
        <v>5</v>
      </c>
      <c r="M1" s="1"/>
    </row>
    <row r="2" spans="1:13" ht="30" customHeight="1">
      <c r="A2" s="24">
        <v>1</v>
      </c>
      <c r="B2" t="s">
        <v>168</v>
      </c>
      <c r="D2" s="5" t="s">
        <v>163</v>
      </c>
      <c r="E2" s="5" t="s">
        <v>164</v>
      </c>
      <c r="F2" s="5" t="s">
        <v>165</v>
      </c>
      <c r="G2" s="3"/>
    </row>
    <row r="3" spans="1:13" s="44" customFormat="1" ht="30" customHeight="1">
      <c r="C3" s="74" t="s">
        <v>88</v>
      </c>
      <c r="D3" s="75">
        <v>1</v>
      </c>
      <c r="E3" s="75">
        <v>10</v>
      </c>
      <c r="F3" s="75">
        <v>100</v>
      </c>
      <c r="G3" s="74" t="s">
        <v>88</v>
      </c>
      <c r="H3" s="76" t="s">
        <v>216</v>
      </c>
      <c r="I3" s="77"/>
      <c r="J3" s="74" t="s">
        <v>4</v>
      </c>
      <c r="K3" s="78">
        <v>1</v>
      </c>
    </row>
    <row r="4" spans="1:13" s="44" customFormat="1" ht="30" customHeight="1">
      <c r="C4" s="74" t="s">
        <v>89</v>
      </c>
      <c r="D4" s="75">
        <v>0.5</v>
      </c>
      <c r="E4" s="75">
        <f>sigma_global_poverty</f>
        <v>0.5</v>
      </c>
      <c r="F4" s="75">
        <f>sigma_global_poverty</f>
        <v>0.5</v>
      </c>
      <c r="G4" s="74" t="s">
        <v>89</v>
      </c>
      <c r="H4" s="76" t="s">
        <v>217</v>
      </c>
      <c r="I4" s="77"/>
      <c r="J4" s="74" t="s">
        <v>3</v>
      </c>
      <c r="K4" s="75">
        <v>1.5</v>
      </c>
    </row>
    <row r="5" spans="1:13" ht="30" customHeight="1">
      <c r="H5" s="118" t="s">
        <v>220</v>
      </c>
    </row>
    <row r="6" spans="1:13" ht="30" customHeight="1"/>
    <row r="7" spans="1:13" ht="30" customHeight="1">
      <c r="A7" s="79" t="s">
        <v>16</v>
      </c>
      <c r="B7" s="34"/>
      <c r="C7" s="34"/>
      <c r="D7" s="34" t="s">
        <v>218</v>
      </c>
      <c r="E7" s="34"/>
      <c r="F7" s="34"/>
      <c r="J7" s="6" t="s">
        <v>96</v>
      </c>
    </row>
    <row r="8" spans="1:13" s="44" customFormat="1" ht="30" customHeight="1">
      <c r="A8" s="80" t="s">
        <v>6</v>
      </c>
      <c r="B8" s="81">
        <v>0.2</v>
      </c>
      <c r="C8" s="80" t="s">
        <v>15</v>
      </c>
      <c r="D8" s="81">
        <v>0.7</v>
      </c>
      <c r="E8" s="82"/>
      <c r="F8" s="82"/>
      <c r="J8" s="58" t="s">
        <v>98</v>
      </c>
    </row>
    <row r="9" spans="1:13" s="44" customFormat="1" ht="30" customHeight="1">
      <c r="A9" s="80" t="s">
        <v>7</v>
      </c>
      <c r="B9" s="81">
        <v>0.4</v>
      </c>
      <c r="C9" s="80" t="s">
        <v>8</v>
      </c>
      <c r="D9" s="81">
        <v>0.8</v>
      </c>
      <c r="E9" s="80" t="s">
        <v>67</v>
      </c>
      <c r="F9" s="81">
        <v>0.3</v>
      </c>
      <c r="J9" s="59" t="s">
        <v>97</v>
      </c>
    </row>
    <row r="10" spans="1:13" s="44" customFormat="1" ht="30" customHeight="1">
      <c r="A10" s="83"/>
      <c r="B10" s="83"/>
      <c r="C10" s="83"/>
      <c r="D10" s="83"/>
      <c r="E10" s="80" t="s">
        <v>10</v>
      </c>
      <c r="F10" s="84">
        <v>0.4</v>
      </c>
      <c r="J10" s="60" t="s">
        <v>58</v>
      </c>
    </row>
    <row r="11" spans="1:13" s="44" customFormat="1" ht="30" customHeight="1">
      <c r="A11" s="82"/>
      <c r="B11" s="82"/>
      <c r="C11" s="82"/>
      <c r="D11" s="82"/>
      <c r="E11" s="80" t="s">
        <v>9</v>
      </c>
      <c r="F11" s="84">
        <v>0.3</v>
      </c>
      <c r="J11" s="61" t="s">
        <v>211</v>
      </c>
    </row>
    <row r="12" spans="1:13" s="44" customFormat="1" ht="30" customHeight="1">
      <c r="A12" s="80" t="s">
        <v>12</v>
      </c>
      <c r="B12" s="81">
        <v>0.4</v>
      </c>
      <c r="C12" s="80" t="s">
        <v>11</v>
      </c>
      <c r="D12" s="81">
        <v>0.05</v>
      </c>
      <c r="E12" s="83"/>
      <c r="F12" s="82"/>
      <c r="J12" s="44" t="s">
        <v>212</v>
      </c>
    </row>
    <row r="13" spans="1:13" s="44" customFormat="1" ht="30" customHeight="1">
      <c r="A13" s="82"/>
      <c r="B13" s="82"/>
      <c r="C13" s="80" t="s">
        <v>225</v>
      </c>
      <c r="D13" s="81">
        <v>0.64</v>
      </c>
      <c r="E13" s="82"/>
      <c r="F13" s="82"/>
      <c r="J13" s="62" t="s">
        <v>145</v>
      </c>
    </row>
    <row r="14" spans="1:13" s="44" customFormat="1" ht="30" customHeight="1">
      <c r="A14" s="82"/>
      <c r="B14" s="82"/>
      <c r="C14" s="80" t="s">
        <v>13</v>
      </c>
      <c r="D14" s="81">
        <v>0.3</v>
      </c>
      <c r="E14" s="82"/>
      <c r="F14" s="82"/>
    </row>
    <row r="15" spans="1:13" s="44" customFormat="1" ht="30" customHeight="1">
      <c r="A15" s="82"/>
      <c r="B15" s="82"/>
      <c r="C15" s="80" t="s">
        <v>14</v>
      </c>
      <c r="D15" s="81">
        <v>0.01</v>
      </c>
      <c r="E15" s="82"/>
      <c r="F15" s="82"/>
    </row>
    <row r="16" spans="1:13" ht="30" customHeight="1"/>
    <row r="17" spans="1:16" ht="30" customHeight="1"/>
    <row r="18" spans="1:16" ht="30" customHeight="1">
      <c r="A18" s="6" t="s">
        <v>40</v>
      </c>
    </row>
    <row r="19" spans="1:16" ht="30" customHeight="1">
      <c r="B19" s="44" t="s">
        <v>49</v>
      </c>
      <c r="C19" s="45" t="s">
        <v>50</v>
      </c>
      <c r="D19" s="44" t="s">
        <v>219</v>
      </c>
      <c r="E19" s="44" t="s">
        <v>182</v>
      </c>
      <c r="F19" s="44" t="s">
        <v>181</v>
      </c>
      <c r="G19" s="44" t="s">
        <v>30</v>
      </c>
    </row>
    <row r="20" spans="1:16" s="44" customFormat="1" ht="30" customHeight="1">
      <c r="A20" s="65" t="s">
        <v>41</v>
      </c>
      <c r="B20" s="66">
        <v>1</v>
      </c>
      <c r="C20" s="66">
        <v>1</v>
      </c>
      <c r="D20" s="44">
        <f>B20*C20</f>
        <v>1</v>
      </c>
      <c r="E20" s="68">
        <v>0</v>
      </c>
      <c r="F20" s="45">
        <f>E20^2</f>
        <v>0</v>
      </c>
      <c r="G20" s="39" t="s">
        <v>171</v>
      </c>
    </row>
    <row r="21" spans="1:16" s="44" customFormat="1" ht="30" customHeight="1">
      <c r="A21" s="65" t="s">
        <v>42</v>
      </c>
      <c r="B21" s="66">
        <v>-10</v>
      </c>
      <c r="C21" s="66">
        <v>0.5</v>
      </c>
      <c r="D21" s="44">
        <f t="shared" ref="D21:D25" si="0">ABS(B21)*C21</f>
        <v>5</v>
      </c>
      <c r="E21" s="68">
        <v>0.3</v>
      </c>
      <c r="F21" s="45">
        <f t="shared" ref="F21:F25" si="1">E21^2</f>
        <v>0.09</v>
      </c>
      <c r="G21" s="39" t="s">
        <v>172</v>
      </c>
      <c r="J21" s="48" t="s">
        <v>71</v>
      </c>
      <c r="L21" s="49"/>
      <c r="P21" s="49"/>
    </row>
    <row r="22" spans="1:16" s="44" customFormat="1" ht="30" customHeight="1">
      <c r="A22" s="67" t="s">
        <v>129</v>
      </c>
      <c r="B22" s="66">
        <v>2</v>
      </c>
      <c r="C22" s="66">
        <v>0.5</v>
      </c>
      <c r="D22" s="44">
        <f t="shared" si="0"/>
        <v>1</v>
      </c>
      <c r="E22" s="68">
        <v>0.4</v>
      </c>
      <c r="F22" s="45">
        <f t="shared" si="1"/>
        <v>0.16000000000000003</v>
      </c>
      <c r="G22" s="39" t="s">
        <v>161</v>
      </c>
      <c r="J22" s="67" t="s">
        <v>29</v>
      </c>
      <c r="K22" s="73">
        <v>20000000000</v>
      </c>
      <c r="L22" s="49"/>
      <c r="P22" s="49"/>
    </row>
    <row r="23" spans="1:16" s="44" customFormat="1" ht="30" customHeight="1">
      <c r="A23" s="65" t="s">
        <v>43</v>
      </c>
      <c r="B23" s="66">
        <v>-2</v>
      </c>
      <c r="C23" s="66">
        <v>0.2</v>
      </c>
      <c r="D23" s="44">
        <f t="shared" si="0"/>
        <v>0.4</v>
      </c>
      <c r="E23" s="68">
        <v>0.6</v>
      </c>
      <c r="F23" s="45">
        <f t="shared" si="1"/>
        <v>0.36</v>
      </c>
      <c r="G23" s="39" t="s">
        <v>160</v>
      </c>
      <c r="J23" s="67" t="s">
        <v>103</v>
      </c>
      <c r="K23" s="66">
        <v>0.05</v>
      </c>
      <c r="L23" s="49"/>
      <c r="N23" s="49"/>
      <c r="P23" s="49"/>
    </row>
    <row r="24" spans="1:16" s="44" customFormat="1" ht="30" customHeight="1">
      <c r="A24" s="65" t="s">
        <v>44</v>
      </c>
      <c r="B24" s="66">
        <v>-4</v>
      </c>
      <c r="C24" s="66">
        <v>0.01</v>
      </c>
      <c r="D24" s="44">
        <f t="shared" si="0"/>
        <v>0.04</v>
      </c>
      <c r="E24" s="68">
        <v>0.8</v>
      </c>
      <c r="F24" s="45">
        <f t="shared" si="1"/>
        <v>0.64000000000000012</v>
      </c>
      <c r="G24" s="39" t="s">
        <v>162</v>
      </c>
      <c r="L24" s="49"/>
      <c r="N24" s="49"/>
      <c r="P24" s="49"/>
    </row>
    <row r="25" spans="1:16" s="44" customFormat="1" ht="30" customHeight="1">
      <c r="A25" s="65" t="s">
        <v>46</v>
      </c>
      <c r="B25" s="66">
        <v>1000</v>
      </c>
      <c r="C25" s="66">
        <f>C20</f>
        <v>1</v>
      </c>
      <c r="D25" s="44">
        <f t="shared" si="0"/>
        <v>1000</v>
      </c>
      <c r="E25" s="68">
        <v>1</v>
      </c>
      <c r="F25" s="45">
        <f t="shared" si="1"/>
        <v>1</v>
      </c>
      <c r="G25" s="39" t="s">
        <v>51</v>
      </c>
    </row>
    <row r="26" spans="1:16" s="44" customFormat="1" ht="30" customHeight="1">
      <c r="A26" s="65" t="s">
        <v>222</v>
      </c>
      <c r="B26" s="66">
        <v>1</v>
      </c>
      <c r="C26" s="66">
        <v>1</v>
      </c>
      <c r="D26" s="44">
        <f>ABS(B26)*C26</f>
        <v>1</v>
      </c>
      <c r="E26" s="68">
        <v>0</v>
      </c>
      <c r="F26" s="45">
        <f>E26^2</f>
        <v>0</v>
      </c>
    </row>
    <row r="27" spans="1:16" s="44" customFormat="1" ht="30" customHeight="1">
      <c r="A27" s="65" t="s">
        <v>47</v>
      </c>
      <c r="B27" s="66">
        <v>-2</v>
      </c>
      <c r="C27" s="66">
        <v>0.1</v>
      </c>
      <c r="D27" s="44">
        <f>ABS(B27)*C27</f>
        <v>0.2</v>
      </c>
      <c r="E27" s="68">
        <v>1.2</v>
      </c>
      <c r="F27" s="45">
        <f>E27^2</f>
        <v>1.44</v>
      </c>
    </row>
    <row r="28" spans="1:16" s="44" customFormat="1" ht="30" customHeight="1">
      <c r="A28" s="65" t="s">
        <v>48</v>
      </c>
      <c r="B28" s="66">
        <f>-B25</f>
        <v>-1000</v>
      </c>
      <c r="C28" s="66">
        <v>1</v>
      </c>
      <c r="D28" s="44">
        <f>ABS(B28)*C28</f>
        <v>1000</v>
      </c>
      <c r="E28" s="68">
        <f>E25</f>
        <v>1</v>
      </c>
      <c r="F28" s="45">
        <f>E28^2</f>
        <v>1</v>
      </c>
    </row>
    <row r="29" spans="1:16" s="44" customFormat="1" ht="30" customHeight="1"/>
    <row r="30" spans="1:16" s="44" customFormat="1" ht="30" customHeight="1"/>
    <row r="31" spans="1:16" s="44" customFormat="1" ht="30" customHeight="1">
      <c r="A31" s="40" t="s">
        <v>32</v>
      </c>
      <c r="J31" s="48" t="s">
        <v>34</v>
      </c>
    </row>
    <row r="32" spans="1:16" s="44" customFormat="1" ht="30" customHeight="1">
      <c r="A32" s="53" t="s">
        <v>39</v>
      </c>
      <c r="E32" s="53" t="s">
        <v>31</v>
      </c>
    </row>
    <row r="33" spans="1:16" s="44" customFormat="1" ht="30" customHeight="1">
      <c r="B33" s="44" t="s">
        <v>0</v>
      </c>
      <c r="C33" s="44" t="s">
        <v>1</v>
      </c>
      <c r="D33" s="44" t="s">
        <v>30</v>
      </c>
      <c r="F33" s="44" t="s">
        <v>0</v>
      </c>
      <c r="G33" s="44" t="s">
        <v>1</v>
      </c>
      <c r="H33" s="44" t="s">
        <v>30</v>
      </c>
      <c r="K33" s="54" t="s">
        <v>179</v>
      </c>
      <c r="L33" s="54" t="s">
        <v>180</v>
      </c>
      <c r="O33" s="54" t="s">
        <v>179</v>
      </c>
      <c r="P33" s="54" t="s">
        <v>180</v>
      </c>
    </row>
    <row r="34" spans="1:16" s="44" customFormat="1" ht="30" customHeight="1">
      <c r="A34" s="69" t="s">
        <v>17</v>
      </c>
      <c r="B34" s="70">
        <v>100000000000</v>
      </c>
      <c r="C34" s="70">
        <v>100000000000000</v>
      </c>
      <c r="D34" s="39" t="s">
        <v>36</v>
      </c>
      <c r="E34" s="69" t="s">
        <v>17</v>
      </c>
      <c r="F34" s="70">
        <v>10000000000</v>
      </c>
      <c r="G34" s="70">
        <v>100000000000000</v>
      </c>
      <c r="H34" s="39" t="s">
        <v>36</v>
      </c>
      <c r="J34" s="55" t="str">
        <f>A34</f>
        <v>accessible stars</v>
      </c>
      <c r="K34" s="44">
        <f>SQRT(B34*C34)</f>
        <v>3162277660168.3794</v>
      </c>
      <c r="L34" s="49">
        <f>LogVariance(B34,C34)</f>
        <v>1.1704562191085683</v>
      </c>
      <c r="N34" s="55" t="str">
        <f>E34</f>
        <v>accessible stars</v>
      </c>
      <c r="O34" s="44">
        <f>SQRT(F34*G34)</f>
        <v>1000000000000</v>
      </c>
      <c r="P34" s="49">
        <f>LogVariance(F34,G34)</f>
        <v>1.5606082921447579</v>
      </c>
    </row>
    <row r="35" spans="1:16" s="44" customFormat="1" ht="30" customHeight="1">
      <c r="A35" s="69" t="s">
        <v>19</v>
      </c>
      <c r="B35" s="70">
        <v>100000000000</v>
      </c>
      <c r="C35" s="70">
        <v>1000000000000</v>
      </c>
      <c r="D35" s="39" t="s">
        <v>35</v>
      </c>
      <c r="E35" s="71" t="s">
        <v>19</v>
      </c>
      <c r="F35" s="72">
        <v>100000000000</v>
      </c>
      <c r="G35" s="72">
        <v>1000000000000</v>
      </c>
      <c r="H35" s="41" t="s">
        <v>35</v>
      </c>
      <c r="J35" s="55" t="str">
        <f t="shared" ref="J35:J36" si="2">A35</f>
        <v>years of future</v>
      </c>
      <c r="K35" s="44">
        <f t="shared" ref="K35:K37" si="3">SQRT(B35*C35)</f>
        <v>316227766016.83789</v>
      </c>
      <c r="L35" s="49">
        <f t="shared" ref="L35:L37" si="4">LogVariance(B35,C35)</f>
        <v>0.39015207303618948</v>
      </c>
      <c r="M35" s="49"/>
      <c r="N35" s="55" t="str">
        <f t="shared" ref="N35:N39" si="5">E35</f>
        <v>years of future</v>
      </c>
      <c r="O35" s="44">
        <f t="shared" ref="O35:O39" si="6">SQRT(F35*G35)</f>
        <v>316227766016.83789</v>
      </c>
      <c r="P35" s="49">
        <f t="shared" ref="P35:P40" si="7">LogVariance(F35,G35)</f>
        <v>0.39015207303618948</v>
      </c>
    </row>
    <row r="36" spans="1:16" s="44" customFormat="1" ht="30" customHeight="1">
      <c r="A36" s="69" t="s">
        <v>18</v>
      </c>
      <c r="B36" s="70">
        <v>1E+20</v>
      </c>
      <c r="C36" s="70">
        <v>1.0000000000000001E+25</v>
      </c>
      <c r="D36" s="39" t="s">
        <v>36</v>
      </c>
      <c r="E36" s="69" t="s">
        <v>20</v>
      </c>
      <c r="F36" s="70">
        <v>10000000000</v>
      </c>
      <c r="G36" s="70">
        <v>1000000000000</v>
      </c>
      <c r="H36" s="39"/>
      <c r="J36" s="55" t="str">
        <f t="shared" si="2"/>
        <v>usable wattage</v>
      </c>
      <c r="K36" s="44">
        <f t="shared" si="3"/>
        <v>3.1622776601683796E+22</v>
      </c>
      <c r="L36" s="49">
        <f t="shared" si="4"/>
        <v>1.9507603651809475</v>
      </c>
      <c r="N36" s="55" t="str">
        <f t="shared" si="5"/>
        <v>humans per star</v>
      </c>
      <c r="O36" s="44">
        <f t="shared" si="6"/>
        <v>100000000000</v>
      </c>
      <c r="P36" s="49">
        <f t="shared" si="7"/>
        <v>0.78030414607237897</v>
      </c>
    </row>
    <row r="37" spans="1:16" s="44" customFormat="1" ht="30" customHeight="1">
      <c r="A37" s="69" t="s">
        <v>45</v>
      </c>
      <c r="B37" s="70">
        <v>0.1</v>
      </c>
      <c r="C37" s="70">
        <v>0.1</v>
      </c>
      <c r="D37" s="39" t="s">
        <v>36</v>
      </c>
      <c r="E37" s="69" t="s">
        <v>21</v>
      </c>
      <c r="F37" s="70">
        <v>10000000000</v>
      </c>
      <c r="G37" s="70">
        <v>1000000000000</v>
      </c>
      <c r="H37" s="39"/>
      <c r="J37" s="55" t="str">
        <f>A37</f>
        <v>brains per watt</v>
      </c>
      <c r="K37" s="44">
        <f t="shared" si="3"/>
        <v>0.1</v>
      </c>
      <c r="L37" s="49">
        <f t="shared" si="4"/>
        <v>0</v>
      </c>
      <c r="N37" s="55" t="str">
        <f t="shared" si="5"/>
        <v>factory farmed animals per star</v>
      </c>
      <c r="O37" s="44">
        <f t="shared" si="6"/>
        <v>100000000000</v>
      </c>
      <c r="P37" s="49">
        <f t="shared" si="7"/>
        <v>0.78030414607237897</v>
      </c>
    </row>
    <row r="38" spans="1:16" s="44" customFormat="1" ht="30" customHeight="1">
      <c r="A38" s="55"/>
      <c r="B38" s="56"/>
      <c r="C38" s="56"/>
      <c r="E38" s="69" t="s">
        <v>22</v>
      </c>
      <c r="F38" s="70">
        <v>10000000000000</v>
      </c>
      <c r="G38" s="70">
        <v>1E+16</v>
      </c>
      <c r="H38" s="39" t="s">
        <v>37</v>
      </c>
      <c r="J38" s="55"/>
      <c r="L38" s="49"/>
      <c r="N38" s="55" t="str">
        <f t="shared" si="5"/>
        <v>wild vertebrates per star</v>
      </c>
      <c r="O38" s="44">
        <f t="shared" si="6"/>
        <v>316227766016837.94</v>
      </c>
      <c r="P38" s="49">
        <f t="shared" si="7"/>
        <v>1.1704562191085683</v>
      </c>
    </row>
    <row r="39" spans="1:16" s="44" customFormat="1" ht="30" customHeight="1">
      <c r="A39" s="55"/>
      <c r="B39" s="56"/>
      <c r="C39" s="56"/>
      <c r="E39" s="69" t="s">
        <v>60</v>
      </c>
      <c r="F39" s="70">
        <v>1E+17</v>
      </c>
      <c r="G39" s="70">
        <v>1E+21</v>
      </c>
      <c r="H39" s="39" t="s">
        <v>38</v>
      </c>
      <c r="J39" s="55"/>
      <c r="L39" s="49"/>
      <c r="N39" s="55" t="str">
        <f t="shared" si="5"/>
        <v>insects per star</v>
      </c>
      <c r="O39" s="44">
        <f t="shared" si="6"/>
        <v>1E+19</v>
      </c>
      <c r="P39" s="49">
        <f t="shared" si="7"/>
        <v>1.5606082921447579</v>
      </c>
    </row>
    <row r="40" spans="1:16" s="44" customFormat="1" ht="30" customHeight="1">
      <c r="E40" s="69" t="s">
        <v>64</v>
      </c>
      <c r="F40" s="70">
        <v>1E-3</v>
      </c>
      <c r="G40" s="70">
        <v>1</v>
      </c>
      <c r="H40" s="39"/>
      <c r="N40" s="55" t="str">
        <f>E40</f>
        <v>simulations per insect</v>
      </c>
      <c r="O40" s="44">
        <f>SQRT(F40*G40)</f>
        <v>3.1622776601683791E-2</v>
      </c>
      <c r="P40" s="49">
        <f t="shared" si="7"/>
        <v>1.1704562191085683</v>
      </c>
    </row>
    <row r="43" spans="1:16" ht="20">
      <c r="A43" s="6" t="s">
        <v>23</v>
      </c>
    </row>
    <row r="44" spans="1:16">
      <c r="A44">
        <v>1</v>
      </c>
      <c r="B44" t="s">
        <v>28</v>
      </c>
      <c r="C44" t="s">
        <v>24</v>
      </c>
    </row>
    <row r="45" spans="1:16">
      <c r="A45">
        <v>2</v>
      </c>
      <c r="B45" t="s">
        <v>137</v>
      </c>
      <c r="C45" t="s">
        <v>25</v>
      </c>
    </row>
    <row r="46" spans="1:16">
      <c r="A46">
        <v>3</v>
      </c>
      <c r="B46" t="s">
        <v>26</v>
      </c>
      <c r="C46" t="s">
        <v>27</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W63"/>
  <sheetViews>
    <sheetView workbookViewId="0">
      <selection activeCell="C25" sqref="C25"/>
    </sheetView>
  </sheetViews>
  <sheetFormatPr baseColWidth="10" defaultRowHeight="15" customHeight="1" x14ac:dyDescent="0"/>
  <cols>
    <col min="1" max="1" width="21.6640625" style="5" customWidth="1"/>
    <col min="2" max="2" width="12.1640625" bestFit="1" customWidth="1"/>
    <col min="5" max="5" width="10.83203125" customWidth="1"/>
    <col min="6" max="6" width="21.6640625" customWidth="1"/>
    <col min="7" max="7" width="12.1640625" bestFit="1" customWidth="1"/>
    <col min="11" max="11" width="21.6640625" customWidth="1"/>
    <col min="12" max="12" width="12.83203125" bestFit="1" customWidth="1"/>
    <col min="13" max="14" width="12.1640625" bestFit="1" customWidth="1"/>
    <col min="17" max="17" width="12.83203125" bestFit="1" customWidth="1"/>
    <col min="18" max="18" width="12.1640625" bestFit="1" customWidth="1"/>
  </cols>
  <sheetData>
    <row r="1" spans="1:18" s="12" customFormat="1" ht="30" customHeight="1">
      <c r="A1" s="11" t="s">
        <v>57</v>
      </c>
      <c r="F1" s="11" t="s">
        <v>52</v>
      </c>
      <c r="K1" s="11" t="s">
        <v>65</v>
      </c>
    </row>
    <row r="2" spans="1:18" ht="15" customHeight="1">
      <c r="B2" s="7" t="s">
        <v>179</v>
      </c>
      <c r="C2" s="7" t="s">
        <v>180</v>
      </c>
      <c r="F2" s="5"/>
      <c r="G2" s="7" t="s">
        <v>179</v>
      </c>
      <c r="H2" s="7" t="s">
        <v>180</v>
      </c>
      <c r="L2" s="3" t="s">
        <v>183</v>
      </c>
      <c r="M2" s="3" t="s">
        <v>181</v>
      </c>
      <c r="N2" t="s">
        <v>66</v>
      </c>
      <c r="P2" t="s">
        <v>184</v>
      </c>
      <c r="Q2" s="3"/>
      <c r="R2" s="3"/>
    </row>
    <row r="3" spans="1:18" ht="15" customHeight="1">
      <c r="A3" s="5" t="s">
        <v>17</v>
      </c>
      <c r="B3" s="3">
        <f>VLOOKUP($A3,Globals!$J$34:$L$38,2,FALSE)</f>
        <v>3162277660168.3794</v>
      </c>
      <c r="C3" s="3">
        <f>VLOOKUP($A3,Globals!$J$34:$L$38,3,FALSE)</f>
        <v>1.1704562191085683</v>
      </c>
      <c r="F3" s="5" t="s">
        <v>17</v>
      </c>
      <c r="G3">
        <f>VLOOKUP($F3,Globals!$N$34:$P$40,2,FALSE)</f>
        <v>1000000000000</v>
      </c>
      <c r="H3">
        <f>VLOOKUP($F3,Globals!$N$34:$P$40,3,FALSE)</f>
        <v>1.5606082921447579</v>
      </c>
      <c r="K3" s="15" t="s">
        <v>209</v>
      </c>
      <c r="L3" s="14">
        <f>G10*P3</f>
        <v>1.2649110640673517E+34</v>
      </c>
      <c r="M3" s="14">
        <f>H10</f>
        <v>2.7310645112533267</v>
      </c>
      <c r="N3">
        <v>1</v>
      </c>
      <c r="O3" t="s">
        <v>78</v>
      </c>
      <c r="P3">
        <f>p_biological</f>
        <v>0.4</v>
      </c>
      <c r="Q3" s="3"/>
      <c r="R3" s="3"/>
    </row>
    <row r="4" spans="1:18" ht="15" customHeight="1">
      <c r="A4" s="5" t="s">
        <v>19</v>
      </c>
      <c r="B4" s="3">
        <f>VLOOKUP($A4,Globals!$J$34:$L$38,2,FALSE)</f>
        <v>316227766016.83789</v>
      </c>
      <c r="C4" s="3">
        <f>VLOOKUP($A4,Globals!$J$34:$L$38,3,FALSE)</f>
        <v>0.39015207303618948</v>
      </c>
      <c r="F4" s="5" t="s">
        <v>19</v>
      </c>
      <c r="G4">
        <f>VLOOKUP($F4,Globals!$N$34:$P$40,2,FALSE)</f>
        <v>316227766016.83789</v>
      </c>
      <c r="H4">
        <f>VLOOKUP($F4,Globals!$N$34:$P$40,3,FALSE)</f>
        <v>0.39015207303618948</v>
      </c>
      <c r="K4" s="15" t="s">
        <v>203</v>
      </c>
      <c r="L4" s="14">
        <f>B11*P4</f>
        <v>6.3245553203367595E+46</v>
      </c>
      <c r="M4" s="14">
        <f>C11</f>
        <v>4.5113686573257059</v>
      </c>
      <c r="N4">
        <v>1</v>
      </c>
      <c r="O4" t="s">
        <v>82</v>
      </c>
      <c r="P4">
        <f>p_computronium*p_hedonium</f>
        <v>2.0000000000000004E-2</v>
      </c>
      <c r="Q4" s="3"/>
      <c r="R4" s="3"/>
    </row>
    <row r="5" spans="1:18" ht="15" customHeight="1">
      <c r="A5" s="5" t="s">
        <v>18</v>
      </c>
      <c r="B5" s="3">
        <f>VLOOKUP($A5,Globals!$J$34:$L$38,2,FALSE)</f>
        <v>3.1622776601683796E+22</v>
      </c>
      <c r="C5" s="3">
        <f>VLOOKUP($A5,Globals!$J$34:$L$38,3,FALSE)</f>
        <v>1.9507603651809475</v>
      </c>
      <c r="K5" s="15" t="s">
        <v>223</v>
      </c>
      <c r="L5" s="14">
        <f>B16*P5</f>
        <v>8.095430810031051E+44</v>
      </c>
      <c r="M5" s="14">
        <f>C16</f>
        <v>3.5113686573257055</v>
      </c>
      <c r="N5">
        <v>1</v>
      </c>
      <c r="O5" t="s">
        <v>224</v>
      </c>
      <c r="P5">
        <f>p_computronium*p_ems</f>
        <v>0.25600000000000001</v>
      </c>
      <c r="Q5" s="3"/>
      <c r="R5" s="3"/>
    </row>
    <row r="6" spans="1:18" ht="15" customHeight="1">
      <c r="A6" s="5" t="s">
        <v>45</v>
      </c>
      <c r="B6" s="3">
        <f>VLOOKUP($A6,Globals!$J$34:$L$38,2,FALSE)</f>
        <v>0.1</v>
      </c>
      <c r="C6" s="3">
        <f>VLOOKUP($A6,Globals!$J$34:$L$38,3,FALSE)</f>
        <v>0</v>
      </c>
      <c r="K6" s="30" t="s">
        <v>175</v>
      </c>
      <c r="L6" s="31" t="str">
        <f>WriteArray(SumLognormDists(L3:M5))</f>
        <v>0,0,0,0,0,0,0,0,0,0,0,0,0,0,0,0,0,0,0,0,0,0,0,0,0,0,0,0,0,0,0,0,0,0,0,0,0,0,0,0,0,0,0,0,0,0,0,0,0,0,0,0,0,0,0,0,0,0,0,0,0,0,0,0,0,0,0,0,0,0,0,0,0,0,0,0,0,0,0,0,0,0,0,0,0,0,0,0,0,0,0,0,0,0,0,0,0,0,0,0,0,0,0,0,0,0,0,0,0,0,0,0,0,0,0,0,0,0,0,0,0,0,0,0,0,0,0,0,0,0,0,0,0,0,0,0,0,0,0,0,0,0,0,0,0,0,0,0,0,0,0,0,0,0,0,0,0,0,0,0,0,0,0,0,0,0,0,0,0,0,0,0,0,0,0,0,0,0,0,0,0,0,0,0,0,0,0,0,0,0,0,0,0,0,0,0,0,0,0,0,0,0,0,0,0,0,0,6.42285339593621E-323,1.5859507231504E-321,3.85420610320756E-320,9.36901624865214E-319,2.25939283050206E-317,5.40419912390616E-316,1.28208619202476E-314,3.01682144409182E-313,7.0409054755742E-312,1.62987376886848E-310,3.74219143648863E-309,8.52206083721989E-308,1.9249075884419E-306,4.3124273275356E-305,9.5825340407537E-304,2.11195983412442E-302,4.61676391503649E-301,1.00100543269434E-299,2.15269243241484E-298,4.59170884888899E-297,9.71434530660265E-296,2.03844779919522E-294,4.24260444713284E-293,8.75815062011836E-292,1.79324332623455E-290,3.64177417095953E-289,7.33556893466002E-288,1.46555332694359E-286,2.90413305081287E-285,5.70792795470011E-284,1.11272430761274E-282,2.15151221758351E-281,4.12617113287754E-280,7.84870244523534E-279,1.48079770265841E-277,2.77102771006339E-276,5.14319873305576E-275,9.46832320284675E-274,1.72886150922896E-272,3.13108408693582E-271,5.62440625785928E-270,1.00208853407962E-268,1.77085496702094E-267,3.10389783820945E-266,5.39609267001849E-265,9.30462704726108E-264,1.59135167028686E-262,2.69948560277899E-261,4.54196264619081E-260,7.57973158511621E-259,1.2546189864038E-257,2.05976502755737E-256,3.35406392507036E-255,5.41717490268746E-254,8.67805268881876E-253,1.37885832806302E-251,2.17302631767838E-250,3.39670897245143E-249,5.26622900568131E-248,8.09821366068067E-247,1.23517031802556E-245,1.86858400396225E-244,2.80379727722109E-243,4.17281215324856E-242,6.15969688062985E-241,9.01858013886285E-240,1.30968049028115E-238,1.88643110823841E-237,2.69503856524398E-236,3.81889311585358E-235,5.36733310294047E-234,7.48218019206436E-233,1.03453785880424E-231,1.41877415194574E-230,1.92987350878212E-229,2.60371330957238E-228,3.48422559991266E-227,4.6245363997084E-226,6.08806124346585E-225,7.94948042861548E-224,1.02955000197237E-222,1.32252885756049E-221,1.68504666102179E-220,2.12945180117331E-219,2.66914922153657E-218,3.31838750070626E-217,4.09195263170111E-216,5.00476166095335E-215,6.07135400537032E-214,7.30528420688895E-213,8.71842693090102E-212,1.03202128505001E-210,1.21168222248141E-209,1.41103708925897E-208,1.62981303822598E-207,1.86718291592194E-206,2.12170849753199E-205,2.391301822405E-204,2.67320926654658E-203,2.96402226243032E-202,3.25971748253934E-201,3.55572787768184E-200,3.84704427370714E-199,4.12834538060644E-198,4.39415218048234E-197,4.63900087539183E-196,4.85762703648144E-195,5.04515243713279E-194,5.19726538796191E-193,5.31038529962822E-192,5.38180271654923E-191,5.40978717835612E-190,5.39365691432551E-189,5.33380645161434E-188,5.23169057631275E-187,5.08976555768717E-186,4.91139095109198E-185,4.70069746032138E-184,4.46242811325934E-183,4.20176126735089E-182,3.9241246392431E-181,3.63500962036252E-180,3.33979462089587E-179,3.04358514713942E-178,2.75107686658291E-177,2.46644618172722E-176,2.19327096024565E-175,1.93448219770385E-174,1.69234564899412E-173,1.46847096283187E-172,1.26384466782597E-171,1.07888253391242E-170,9.13496381819768E-170,7.67170318474761E-169,6.39041596100975E-168,5.27981767702762E-167,4.32674471792847E-166,3.51686951645909E-165,2.83533229390272E-164,2.26727651667023E-163,1.79828252111425E-162,1.4147000107835E-161,1.10388513497111E-160,8.54351533146261E-160,6.55847107115214E-159,4.99369479123921E-158,3.77133286869847E-157,2.82501865726956E-156,2.09894693769204E-155,1.5468043574419E-154,1.1306370340502E-153,8.1971904427603E-153,5.89468970997056E-152,4.20446835571902E-151,2.97451081413513E-150,2.08724992037078E-149,1.4527400331464E-148,1.00289628227397E-147,6.86718773606074E-147,4.66398043311981E-146,3.14187960834677E-145,2.09931448097289E-144,1.39129982038911E-143,9.14575045680557E-143,5.96311910173304E-142,3.85641058801911E-141,2.47371024111857E-140,1.57387522025845E-139,9.93225390623877E-139,6.21700920321241E-138,3.85985977497977E-137,2.37693883085115E-136,1.45184778864037E-135,8.79591285746283E-135,5.28564078295797E-134,3.15044147948951E-133,1.86252618083012E-132,1.09217116617063E-131,6.35238095618534E-131,3.664713517199E-130,2.09701411164501E-129,1.19020197847319E-128,6.70036005814692E-128,3.74139827581024E-127,2.07218364551777E-126,1.1383641640314E-125,6.20287516106271E-125,3.35246225700428E-124,1.79718989572823E-123,9.55616060344152E-123,5.0400228072401E-122,2.63658238166244E-121,1.36807582100279E-120,7.04107816430132E-120,3.59441768404085E-119,1.82002981734275E-118,9.14090629277233E-118,4.55366435500862E-117,2.25005947150229E-116,1.10277882817076E-115,5.36098395460142E-115,2.58501154984845E-114,1.23635330073174E-113,5.86523013486105E-113,2.75987950586391E-112,1.28812506028502E-111,5.96333255818108E-111,2.73831480326382E-110,1.24721498824975E-109,5.63460054232627E-109,2.52492844745824E-108,1.12227534232323E-107,4.94782632071538E-107,2.16368699040566E-106,9.38511654379309E-106,4.03785247636012E-105,1.7231657959511E-104,7.29406831859682E-104,3.06252075949516E-103,1.27542529151571E-102,5.2686348335826E-102,2.15878102325164E-101,8.77378196782489E-101,3.53698467515401E-100,1.41432090466723e-99,5.60959542266318e-99,2.2069082511483e-98,8.61205004793975e-98,3.33348662311702e-97,1.2798562040907e-96,4.87409872433982e-96,1.8411897474267e-95,6.8988113018451e-95,2.56402286704257e-94,9.45239492182111e-94,3.45648434461245e-93,1.25371998000952e-92,4.51066082143277e-92,1.60973331520026e-91,5.69826056150979e-91,2.00080964492201e-90,6.96858870794614e-90,2.40746506180311e-89,8.24995865238089e-89,2.804275641675e-88,9.4551259639463e-88,3.16222075806486e-87,1.04904922290872e-86,3.45206483614792e-86,1.12678748080534e-85,3.64825917292841e-85,1.17168421166151e-84,3.73265057705673e-84,1.17952354163128e-83,3.69725222392128e-83,1.14956999685635e-82,3.5454906318724e-82,1.08468233170479e-81,3.2916589547844e-81,9.90863656486905e-81,2.95869737493983e-80,8.76345925534463e-80,2.57477803206772e-79,7.50402128600565e-79,2.16939793185483e-78,6.22122881714225e-78,1.76972516819987e-77,4.99377664161804e-77,1.39780630379365e-76,3.8811502676493e-76,1.06898230781786e-75,2.92064126540132e-75,7.91561438515674e-75,2.12809424384513e-74,5.67542038734458e-74,1.50143776008353e-73,3.94021529993165e-73,1.02573962098074e-72,2.64886693964707e-72,6.78563196749881e-72,1.72436404310666e-71,4.3468785694372e-71,1.08701963289212e-70,2.69655994353862e-70,6.63585837878141e-70,1.61994419454517e-69,3.92302016202229e-69,9.424541832559e-69,2.24605768361535e-68,5.31011965575673e-68,1.24540986100829e-67,2.89765578374367e-67,6.68820786915767e-67,1.53145149755588e-66,3.47879916499307e-66,7.83953450812073e-66,1.75262201309351e-65,3.88709945458936e-65,8.55273206420837e-65,1.86693161707143e-64,4.04295473666847e-64,8.68598272361771e-64,1.85136241811853e-63,3.91488685382734e-63,8.21306520401548e-63,1.70943549841675e-62,3.52991933667803e-62,7.23177332589268e-62,1.46992867647251e-61,2.96430413428989e-61,5.93100161092287e-61,1.17737822730359e-60,2.31894622741026e-60,4.53164914743996e-60,8.78652542511538e-60,1.69035490294643e-59,3.22658557177454e-59,6.11107982953988e-59,1.14843738998339e-58,2.14149277401635e-58,3.96233664907299e-58,7.27473824736022e-58,1.32531961858087e-57,2.39589289972311e-57,4.297978290188e-57,7.65099426185694e-57,1.35156040776709e-56,2.36932346370147e-56,4.12185066939074e-56,7.11618413118103e-56,1.21926325517606e-55,2.07325105551317e-55,3.49880299815836e-55,5.86016359306098e-55,9.74164985822692e-55,1.60730429385003e-54,2.63218996096828e-54,4.27859379838743e-54,6.903371250452e-54,1.10563013330603e-53,1.75776005373498e-53,2.77410912430882e-53,4.34625686898644e-53,6.76004148437736e-53,1.04385515834274e-52,1.60030734908819e-52,2.43587386986946e-52,3.68138298718026e-52,5.52445192712692e-52,8.23203491948569e-52,1.21810146701043e-51,1.78993424263268e-51,2.61208779734669e-51,3.78578484791558e-51,5.4495742609116e-51,7.79164881120142e-51,1.10656925464993e-50,1.56110877514195e-50,2.18784505434899e-50,3.04616102357155e-50,4.21372960479235e-50,5.79139391432236e-50,7.90911300563549e-50,1.07331381151287e-49,1.44745918573842e-49,1.93996254077446e-49,2.58413248141291e-49,3.42135254538088e-49,4.50266714491119e-49,5.89058226940232e-49,7.6610864177739e-49,9.90589088186318e-49,1.27348804599892e-48,1.62787558381876e-48,2.0691837186581e-48,2.61549850034328e-48,3.28785790138051e-48,4.11054792165541e-48,5.11138753223564e-48,6.32199123282769e-48,7.77799614763741e-48,9.51923881497266e-48,1.15898652330995e-47,1.40383564192936e-47,1.6917450843387e-47,2.02839447421794e-47,2.41983516403522e-47,2.87244035263002e-47,3.39283781743453e-47,3.98782401629671e-47,4.66425872746852e-47,5.42893991974147e-47,6.28845917477302e-47,7.24903871114211e-47,8.3163518687486e-47,9.49532978005122e-47,1.07899578517161e-46,1.22030665706349e-46,1.37361219908364e-46,1.53890220077005e-46,1.71599051364751e-46,1.90449789374087e-46,2.10383754270941e-46,2.31320407481912e-46,2.53156660096282e-46,2.75766655401181e-46,2.99002078162583e-46,3.2269303044534e-46,3.46649498220158e-46,3.70663415170182e-46,3.9451131056929e-46,4.17957507572157e-46,4.40757817547843e-46,4.62663656084652e-46,4.83426487897911e-46,5.02802491965177e-46,5.20557325605722e-46,5.36470857607641e-46,5.50341736423685e-46,5.61991660251209e-46,5.71269221611056e-46,5.78053209743306e-46,5.82255269411938e-46,5.83821834003612e-46,5.82735273371076e-46,5.79014221802652e-46,5.72713077774379e-46,5.63920693675807e-46,5.52758299400015e-46,5.39376727505558e-46,5.23953028643266e-46,5.06686583288907e-46,4.87794828910589e-46,4.67508730112341e-46,4.46068122841172e-46,4.2371706245763e-46,4.00699299598898e-46,3.77253997751688e-46,3.53611792906723e-46,3.29991279319272e-46,3.06595987066191e-46,2.83611897622235e-46,2.61205523924535e-46,2.39522562154951e-46,2.18687104464842e-46,1.98801385704383e-46,1.79946023377366e-46,1.62180698858258e-46,1.45545219571043e-46,1.30060896387951e-46,1.15732167879413e-46,1.02548403040578e-46,9.04858164492095e-47,7.95094341209563e-47,6.9575054223778e-47,6.06311538765121e-47,5.26207010721123e-47,4.54828389401414e-47,3.91544177384864e-47,3.35713578322756e-47,2.86698342258339e-47,2.43872797681834e-47,2.06632098208663e-47,1.74398758825441e-47,1.46627593834261e-47,1.22809196142867e-47,1.02472115964045e-47,8.51839071485604e-48,7.05512123230907e-48,5.82190548917357e-48,4.78694979827662e-48,3.92198187573273e-48,3.20203322518135e-48,2.60519831034323e-48,2.11238069826933e-48,1.70703470579933e-48,1.37490949302169e-48,1.10380106407247e-48,8.83316288287248e-49,7.04651862544935e-49,5.60390107469916e-49,4.44312626496524e-49,3.5123215161417e-49,2.76842342045338e-49,2.17584878037903e-49,1.70532885340117e-49,1.33289519948428e-49,1.03900420667139e-49,8.07786829805799e-50,6.26410070710034e-50,4.84537124509016e-50,3.73873802779979e-50,2.87789724116063e-50,2.21003757897276e-50,1.69324254919828e-50,1.29435650758222e-50,9.87240485921583e-51,7.51353526505966e-51,5.70604151389303e-51,4.32424693138135e-51,3.27028455325719e-51,2.46816060198248e-51,1.85902910936651e-51,1.39744499843774e-51,1.04840396691747e-51,7.85012244625383e-52,5.86658453883915e-52,4.37584093705961e-52,3.25769263802345e-52,2.42066758335209e-52,1.79531146161968e-52,1.32900404959549e-52,9.8196519443268e-53,7.241855787698e-53,5.330742043486e-53,3.91659725981598e-53,2.87218578866384e-53,2.10231100764449e-53,1.53589062623305e-53,1.11995416183401e-53,8.15106419147631e-54,5.92106389022869e-54,4.29292842564363e-54,3.1065117026489e-54,2.24364781892607e-54,1.61731862446011e-54,1.16357007463187e-54,8.35492237907119e-55,5.9874530567908e-55,4.28241364136059e-55,3.05688384303347e-55,2.17776101011096e-55,1.54838760358224e-55,1.09871403662859e-55,7.78077084799954e-56,5.49909348907451e-56,3.87871424547865e-56,2.73030061895843e-56,1.91803736520565e-56,1.34470060933925e-56,9.408366446971e-57,6.56933159118001e-57,4.57767375784472e-57,3.1833445612507e-57,2.2092058004024e-57,1.53003395858587e-57,1.05749196660839e-57,7.2939540566614e-58,5.02062538872683e-58,3.44873992457864e-58,2.3641224103113e-58,1.61728100913478e-58,1.10409441460211e-58,7.5219663160729e-59,5.1139950505631e-59,3.46970318307811e-59,2.3492371003742e-59,1.58731576971149e-59,1.07028947765357e-59,7.20178506531349e-60,4.83592546382665e-60,3.24055341854019e-60,2.16699818918666e-60,1.44609675467151e-60,9.63019949777476e-61,6.39988339322208e-61,4.24431317337978e-61,2.80893135089175e-61,1.85512403820306e-61,1.22265155067176e-61,8.04137270406302e-62,5.27782820486809e-62,3.45682762458792e-62,2.25942262588311e-62,1.47371793910753e-62,9.5924224475297e-63,6.23073307894635e-63,4.03874862327987e-63,2.61246954959082e-63,1.68636782959521e-63,1.08630046311176e-63,6.98303371287837e-64,4.47955394194578e-64,2.8676213543612e-64,1.83191447671112e-64,1.16784415777996e-64,7.4295217537556e-65,4.71664354857867e-65,2.98814352086756e-65,1.8891481520125e-65,1.191864060528e-65,7.50383970000038e-66,4.7145089739928e-66,2.95587089340481e-66,1.84939855043135e-66,1.15470648893773e-66,7.19463435290714e-67,4.47344252601709e-67,2.77569024806471e-67,1.71868437793366e-67,1.06198221144997e-67,6.54838687819869e-68,4.02946496458577e-68,2.47432303829429e-68,1.51621702231663e-68,9.27176224205866e-69,5.65795057004653e-69,3.44549759900502e-69,2.09382649249554e-69,1.26977087756161e-69,7.68432923294988e-70,4.64068929731255e-70,2.7967583677038e-70,1.68198966276185e-70,1.00945652451514e-70,6.04571730019915e-71,3.61329956999019e-71,2.15504339391452e-71,1.28263765297287e-71,7.61812096505991e-72,4.51531088180817e-72,2.67068927452721e-72,1.57635845038625e-72,9.28501281020634e-73,5.45765333018769e-73,3.20129203823863e-73,1.8738747223648e-73,1.09459061552981e-73,6.38055999953766e-74,3.71160526458665e-74,2.15457033296091e-74,1.24811751370608e-74,7.21516366675012e-75,4.16229449296413e-75,2.39615732653667e-75,1.37655561445742e-75,7.89165520273447e-76,4.51479826359138e-76,2.57753459990594e-76,1.46847502740936e-76,8.34880916241691e-77,4.73672759626289e-77,2.68181115101201e-77,1.51521367667185e-77,8.5430997656698e-78,4.80676600681676e-78,2.69889750076736e-78,1.51222254293545e-78,8.45553188052984e-79,4.71804481224418e-79,2.62711508651265e-79,1.45979557215138e-79,8.09470250537246e-80,4.47925357766625e-80,2.47346809519775e-80,1.36302205477119e-80,7.49540941711374e-81,4.11323709285927e-81,2.25251677407706e-81,1.23097215907583e-81,6.71311881875889e-82,3.65339259449006e-82,1.98410321488725e-82,1.07529613332228e-82,5.81551009636176e-83,3.13865405891292e-83,1.69042144548454e-83,9.08536633787938e-84,4.87288093523071e-84,2.60810494686501e-84,1.39302924003786e-84,7.42491196426591e-85,3.9492833247254e-85,2.0962408546404e-85,1.11035020459532e-85,5.86914284394927e-86,3.0958883420067e-86,1.62964048264059e-86,8.56040332606237e-87,4.48737698437602e-87,2.34739833273533e-87,1.22539734220362e-87,6.3835605611145e-88,3.31852381289044e-88,1.72156252535513e-88,8.91243897387754e-89,4.60432789791928e-89,2.37373277497382e-89,1.22121833145856e-89,6.26975701267636e-90,3.21221060498505e-90,1.6423027491331e-90,8.37911854609304e-91,4.26618177697868e-91,2.16758573580711e-91,1.09902891608333e-91,5.56080748956895e-92,2.80777632876982e-92,1.41476094641191e-92,7.11376515801627e-93,3.56953703085394e-93,1.78739346637717e-93,8.93149885786978e-94,4.45373563476877e-94,2.21625857381133e-94,1.10055646540875e-94,5.45381166929241e-95,2.69701803622389e-95,1.33095530421301e-95,6.55449140835538e-96,3.22114616632167e-96,1.57971147429436e-96,7.73109517305583e-97,3.77572341534955e-97,1.84015850563811e-97,8.94965306661364e-98,4.34363249653184e-98,2.10375835418774e-98,1.01679766496186e-98,4.90421084534536e-99,2.36047623965864e-99,1.13377281535115e-99,5.4343593456997E-100,2.59936084221425E-100,1.24073975686429E-100,5.91004423304685E-101,2.80929063057181E-101,1.3325960351548E-101,6.30806659276932E-102,2.97981929971191E-102,1.40468677796428E-102,6.60792289829403E-103,3.10203251722507E-103,1.45319411915684E-103,6.79355074789646E-104,3.16931877061901E-104,1.47547185034749E-104,6.85475347407585E-105,3.17796170088958E-105,1.47028451844543E-105,6.78812789376616E-106,3.12748009773419E-106,1.43792091186282E-106,6.5973777499901E-107,3.02067227702414E-107,1.3801674306197E-107,6.29297267751606E-108,2.86335914632346E-108,1.30014475701296E-108,5.89119638452877E-109,2.66385878305878E-109,1.20202860479387E-109,5.41270444896942E-110,2.4322585101027E-110,1.09068930838764E-110,4.88076937403392E-111,2.17957302549087E-111,9.71293469047341E-112,4.31941984549722E-112,1.91688596090709E-112,8.48912719174683E-113,3.75167933566357E-113,1.65456673401761E-113,7.28180042876744E-114,3.19807881487589E-114,1.40163669698499E-114,6.13024261820357E-115,2.67556664532689E-115,1.16533231575864E-115,5.06500307553183E-116,2.19687599500513E-116,9.50883431108403E-117,4.10719122254434E-117,1.77034730018817E-117,7.61496531295363E-118,3.26868667364264E-118,1.40014999131981E-118,5.98510450922863E-119,2.55308233727261E-119,1.08681046222032E-119,4.61677496770645E-120,1.95712925680045E-120,8.27934954518889E-121,3.4951742671514E-121,1.47243915179905E-121,6.1901587340515E-122,2.59694122978814E-122,1.08722233016948E-122,4.54224455034473E-123,1.89373221855481E-123,7.878844516581E-124,3.27116460778192E-124,1.35530853727967E-124,5.60363521541225E-125,</v>
      </c>
      <c r="M6" s="31" t="s">
        <v>170</v>
      </c>
      <c r="Q6" s="3"/>
      <c r="R6" s="3"/>
    </row>
    <row r="7" spans="1:18" ht="15" customHeight="1">
      <c r="F7" s="10" t="s">
        <v>56</v>
      </c>
      <c r="K7" s="3" t="s">
        <v>178</v>
      </c>
      <c r="L7" s="3">
        <f>STupidExcelMean(L6)</f>
        <v>9.9546739983830598E+51</v>
      </c>
      <c r="M7" s="3">
        <f>STupidExcelVariance(L6,L7)</f>
        <v>2.4009434549505408E+114</v>
      </c>
      <c r="N7" t="s">
        <v>173</v>
      </c>
      <c r="Q7" s="3"/>
      <c r="R7" s="3"/>
    </row>
    <row r="8" spans="1:18" ht="15" customHeight="1">
      <c r="F8" s="5" t="s">
        <v>20</v>
      </c>
      <c r="G8">
        <f>VLOOKUP($F8,Globals!$N$34:$P$40,2,FALSE)</f>
        <v>100000000000</v>
      </c>
      <c r="H8">
        <f>VLOOKUP($F8,Globals!$N$34:$P$40,3,FALSE)</f>
        <v>0.78030414607237897</v>
      </c>
      <c r="Q8" s="3"/>
      <c r="R8" s="3"/>
    </row>
    <row r="9" spans="1:18" ht="15" customHeight="1">
      <c r="A9" s="10" t="s">
        <v>53</v>
      </c>
      <c r="F9" s="5" t="s">
        <v>41</v>
      </c>
      <c r="G9">
        <f>VLOOKUP($F9,Globals!$A$20:$F$28,4,FALSE)</f>
        <v>1</v>
      </c>
      <c r="H9">
        <f>VLOOKUP($F9,Globals!$A$20:$F$28,6,FALSE)</f>
        <v>0</v>
      </c>
      <c r="K9" s="15" t="s">
        <v>208</v>
      </c>
      <c r="L9" s="14">
        <f>G16*P9</f>
        <v>1.517893276880822E+34</v>
      </c>
      <c r="M9" s="14">
        <f>H16</f>
        <v>2.8210645112533266</v>
      </c>
      <c r="N9">
        <v>-1</v>
      </c>
      <c r="O9" t="s">
        <v>68</v>
      </c>
      <c r="P9">
        <f>p_biological*p_not_care_about_animals*p_factory_farming</f>
        <v>9.6000000000000016E-2</v>
      </c>
      <c r="Q9" s="3"/>
      <c r="R9" s="3"/>
    </row>
    <row r="10" spans="1:18" ht="15" customHeight="1">
      <c r="A10" s="5" t="s">
        <v>46</v>
      </c>
      <c r="B10" s="3">
        <f>VLOOKUP($A10,Globals!$A$20:$F$28,4,FALSE)</f>
        <v>1000</v>
      </c>
      <c r="C10" s="3">
        <f>VLOOKUP($A10,Globals!$A$20:$F$28,6,FALSE)</f>
        <v>1</v>
      </c>
      <c r="F10" s="17" t="s">
        <v>58</v>
      </c>
      <c r="G10" s="14">
        <f>PRODUCT(G$3:G$4)*PRODUCT(G8:G9)</f>
        <v>3.1622776601683788E+34</v>
      </c>
      <c r="H10" s="14">
        <f>SUM(H$3:H$4)+SUM(H8:H9)</f>
        <v>2.7310645112533267</v>
      </c>
      <c r="K10" s="15" t="s">
        <v>205</v>
      </c>
      <c r="L10" s="14">
        <f>G22*P10</f>
        <v>5.1200000000000003E+36</v>
      </c>
      <c r="M10" s="14">
        <f>H22</f>
        <v>3.4812165842895157</v>
      </c>
      <c r="N10">
        <v>-1</v>
      </c>
      <c r="O10" t="s">
        <v>79</v>
      </c>
      <c r="P10">
        <f>p_biological*p_not_care_about_animals*p_spread_was</f>
        <v>0.12800000000000003</v>
      </c>
      <c r="Q10" s="3"/>
      <c r="R10" s="3"/>
    </row>
    <row r="11" spans="1:18" ht="15" customHeight="1">
      <c r="A11" s="16" t="s">
        <v>58</v>
      </c>
      <c r="B11" s="14">
        <f>PRODUCT($B$3:$B$6)*B10</f>
        <v>3.1622776601683793E+48</v>
      </c>
      <c r="C11" s="14">
        <f>SUM(C$3:C$6)+C10</f>
        <v>4.5113686573257059</v>
      </c>
      <c r="K11" s="15" t="s">
        <v>206</v>
      </c>
      <c r="L11" s="14">
        <f>G28*P11</f>
        <v>1.6190861620062103E+40</v>
      </c>
      <c r="M11" s="14">
        <f>H28</f>
        <v>4.1513686573257056</v>
      </c>
      <c r="N11">
        <v>-1</v>
      </c>
      <c r="O11" t="s">
        <v>80</v>
      </c>
      <c r="P11">
        <f>p_biological*p_not_care_about_animals*p_spread_was</f>
        <v>0.12800000000000003</v>
      </c>
      <c r="Q11" s="3"/>
      <c r="R11" s="3"/>
    </row>
    <row r="12" spans="1:18" ht="15" customHeight="1">
      <c r="B12" s="3"/>
      <c r="K12" s="15" t="s">
        <v>207</v>
      </c>
      <c r="L12" s="14">
        <f>G35*P12</f>
        <v>3.8399999999999992E+38</v>
      </c>
      <c r="M12" s="14">
        <f>H35</f>
        <v>5.3218248764342739</v>
      </c>
      <c r="N12">
        <v>-1</v>
      </c>
      <c r="O12" t="s">
        <v>81</v>
      </c>
      <c r="P12">
        <f>p_biological*p_not_care_about_animals*p_suffering_simulations</f>
        <v>9.6000000000000016E-2</v>
      </c>
      <c r="Q12" s="3"/>
      <c r="R12" s="3"/>
    </row>
    <row r="13" spans="1:18" ht="15" customHeight="1">
      <c r="F13" s="1" t="s">
        <v>59</v>
      </c>
      <c r="K13" s="15" t="s">
        <v>210</v>
      </c>
      <c r="L13" s="14">
        <f>B21*P13</f>
        <v>7.5894663844041108E+43</v>
      </c>
      <c r="M13" s="14">
        <f>C21</f>
        <v>4.9513686573257054</v>
      </c>
      <c r="N13">
        <v>-1</v>
      </c>
      <c r="O13" t="s">
        <v>83</v>
      </c>
      <c r="P13">
        <f>p_computronium*p_paperclip</f>
        <v>0.12</v>
      </c>
      <c r="Q13" s="3"/>
      <c r="R13" s="3"/>
    </row>
    <row r="14" spans="1:18" ht="15" customHeight="1">
      <c r="A14" s="10" t="s">
        <v>221</v>
      </c>
      <c r="F14" t="s">
        <v>21</v>
      </c>
      <c r="G14">
        <f>VLOOKUP($F14,Globals!$N$34:$P$40,2,FALSE)</f>
        <v>100000000000</v>
      </c>
      <c r="H14">
        <f>VLOOKUP($F14,Globals!$N$34:$P$40,3,FALSE)</f>
        <v>0.78030414607237897</v>
      </c>
      <c r="K14" s="15" t="s">
        <v>204</v>
      </c>
      <c r="L14" s="14">
        <f>B26*P14</f>
        <v>1.2649110640673518E+46</v>
      </c>
      <c r="M14" s="14">
        <f>C26</f>
        <v>4.5113686573257059</v>
      </c>
      <c r="N14">
        <v>-1</v>
      </c>
      <c r="O14" t="s">
        <v>84</v>
      </c>
      <c r="P14">
        <f>p_computronium*p_dolorium</f>
        <v>4.0000000000000001E-3</v>
      </c>
    </row>
    <row r="15" spans="1:18" ht="15" customHeight="1">
      <c r="A15" s="5" t="s">
        <v>222</v>
      </c>
      <c r="B15" s="3">
        <f>VLOOKUP($A15,Globals!$A$20:$F$28,4,FALSE)</f>
        <v>1</v>
      </c>
      <c r="C15" s="3">
        <f>VLOOKUP($A15,Globals!$A$20:$F$28,6,FALSE)</f>
        <v>0</v>
      </c>
      <c r="F15" s="5" t="s">
        <v>42</v>
      </c>
      <c r="G15">
        <f>VLOOKUP($F15,Globals!$A$20:$F$28,4,FALSE)</f>
        <v>5</v>
      </c>
      <c r="H15">
        <f>VLOOKUP($F15,Globals!$A$20:$F$28,6,FALSE)</f>
        <v>0.09</v>
      </c>
      <c r="K15" s="30" t="s">
        <v>176</v>
      </c>
      <c r="L15" s="31" t="str">
        <f>WriteArray(SumLognormDists(L9:M14))</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1.77863632502849E-322,1.21490742312363E-320,7.8759498669199E-319,5.03360898088975E-317,3.17233154032682E-315,1.97154964280028E-313,1.20827849060051E-311,7.30224966839386E-310,4.35187833513495E-308,2.55756910515315E-306,1.48220646694258E-304,8.47073035602761E-303,4.77379725957514E-301,2.65300567293582E-299,1.4539303966942E-297,7.85742818541782E-296,4.18744126992469E-294,2.20063837128879E-292,1.14046094531313E-290,5.82832927900049E-289,2.93724254987403E-287,1.45971393922148E-285,7.15365610246045E-284,3.45717105061982E-282,1.64757931651023E-280,7.74291691248614E-279,3.58835847306056E-277,1.63991052508015E-275,7.39056679555329E-274,3.2844961523162E-272,1.43943925831075E-270,6.22087768406131E-269,2.6512084472163E-267,1.11421792920622E-265,4.6177522510875E-264,1.88723289650485E-262,7.60597541784359E-261,3.02286710594376E-259,1.184726437252E-257,4.5788051688575E-256,1.74510467368277E-254,6.55882746500935E-253,2.43089676768712E-251,8.88469633606924E-250,3.20224536311128E-248,1.13815850507822E-246,3.98921277414685E-245,1.37882182969345E-243,4.69965291322536E-242,1.57964789830317E-240,5.23590635095297E-239,1.71143617550126E-237,5.51654293629042E-236,1.75352092942732E-234,5.49658263647824E-233,1.69907530924463E-231,5.17929634080938E-230,1.55692382294134E-228,4.61532882971818E-227,1.34920153584439E-225,3.88946719290862E-224,1.10571378177168E-222,3.09980858275317E-221,8.56972321620834E-220,2.33635430633057E-218,6.28131869496899E-217,1.66534186342652E-215,4.35408244607623E-214,1.12261492044938E-212,2.85434275215648E-211,7.15686501118981E-210,1.76962466897639E-208,4.31500578789663E-207,1.03758511167789E-205,2.46041554728738E-204,5.75354920635657E-203,1.32680193757654E-201,3.01730714062913E-200,6.76669134598717E-199,1.49650063409353E-197,3.26378398013887E-196,7.01956412842553E-195,1.48882414215966E-193,3.11402043604942E-192,6.42309875476595E-191,1.30651113388087E-189,2.62076028595331E-188,5.18426804903283E-187,1.01133226816431E-185,1.94556996032385E-184,3.69102274168241E-183,6.90547861305529E-182,1.27405553916737E-180,2.31809254633952E-179,4.15931049121948E-178,7.35970495831424E-177,1.284246215504E-175,2.2099647806632E-174,3.75035106521491E-173,6.27636738475578E-172,1.03584555864658E-170,1.68590165695922E-169,2.70595400218782E-168,4.28311658573629E-167,6.68576445360757E-166,1.02918706465756E-164,1.5623920663761E-163,2.33904502882298E-162,3.45334836032734E-161,5.02800677315418E-160,7.21947113387584E-159,1.02227890382611E-157,1.42754011452038E-156,1.9659052470445E-155,2.66988538738434E-154,3.57584655955775E-153,4.72304194230903E-152,6.15207836847122E-151,7.90277306623286E-150,1.00114096280089E-148,1.25074709000144E-147,1.54100060479208E-146,1.87238715232146E-145,2.24361604074868E-144,2.65131894114491E-143,3.08984354386188E-142,3.55117939321105E-141,4.02504632292939E-140,4.49916428836541E-139,4.95970765316343E-138,5.39192857266759E-137,5.78091505760862E-136,6.11243199410665E-135,6.37378026013845E-134,6.55460218449208E-133,6.64756230672978E-132,6.64884110937151E-131,6.55839540675937E-130,6.37996064932391E-129,6.12079498527796E-128,5.79118951684633E-127,5.40379079709297E-126,4.97279768226339E-125,4.51310344022428E-124,4.0394548131672E-123,3.56569292892376E-122,3.10412790675174E-121,2.66508177184908E-120,2.25661529075841E-119,1.88443595544377E-118,1.55196860833812E-117,1.26055854869786E-116,1.00977011170015E-115,7.97741675877907E-115,6.21560242789172E-114,4.77624138754041E-113,3.61969799111645E-112,2.70546793411719E-111,1.99433176408242E-110,1.44990110415064E-109,1.03960014816802E-108,7.35160736945301E-108,5.12728384412081E-107,3.52681426943207E-106,2.39259452121123E-105,1.60084042466439E-104,1.05638097160457E-103,6.87524021020677E-103,4.41317532448976E-102,2.79390562291639E-101,1.7444993202336E-100,1.07431021902282e-99,6.52513914177702e-99,3.90888042913884e-98,2.30950516216991e-97,1.34583206153924e-96,7.73516636301018e-96,4.38487092286197e-95,2.45162411138321e-94,1.35195568961996e-93,7.35333182022895e-93,3.94476079366953e-92,2.08724629716753e-91,1.08929372345314e-90,5.60707524537034e-90,2.84675244027936e-89,1.42556444871078e-88,7.04125061920579e-88,3.43036670010721e-87,1.64839449368281e-86,7.81292659809221e-86,3.65258636793632e-85,1.68431627351056e-84,7.6610006726104e-84,3.43707042550698e-83,1.52101982320734e-82,6.63937714708047e-82,2.85869886154499e-81,1.21411756263146e-80,5.08635976706268e-80,2.10189119494373e-79,8.56787484173947e-79,3.44507529633745e-78,1.3664386302487e-77,5.34626565560179e-77,2.06339897901347e-76,7.85582039265862e-76,2.95038730723363e-75,1.09307326553181e-74,3.99490072424547e-74,1.44030023066077e-73,5.12264615283945e-73,1.797355870877e-72,6.22123228026135e-72,2.12434849652345e-71,7.15626876430019e-71,2.37828411981324e-70,7.79761675845968e-70,2.52223823438043e-69,8.04899350637691e-69,2.53415789703766e-68,7.87168933380076e-68,2.41240465374294e-67,7.29434449841186e-67,2.17611811287873e-66,6.40538358893709e-66,1.86029126639597e-65,5.33085367990375e-65,1.50730010460581e-64,4.20530264791239e-64,1.15770266122199e-63,3.14490139099201e-63,8.43015465196648e-63,2.22992963305998e-62,5.8208018290747e-62,1.49940785934562e-61,3.81163847858308e-61,9.56243696426379e-61,2.36755914160125e-60,5.78521189791923e-60,1.39519570157064e-59,3.32093289394618e-59,7.80200694319623e-59,1.80919951029186e-58,4.14108004095889e-58,9.35624282105033e-58,2.08672033274904e-57,4.59427185051523e-57,9.98560020079225e-57,2.14265711671573e-56,4.53909019738867e-56,9.49379501323505e-56,1.96057628043288e-55,3.99778242622885e-55,8.04943638680904e-55,1.60045270043956e-54,3.14247760218659e-54,6.09361819508531e-54,1.16700989222499e-53,2.20746323662206e-53,4.12435772883444e-53,7.61181505967207e-53,1.38776277815961e-52,2.49956435229813e-52,4.44798588766366e-52,7.82062260504343e-52,1.35871360569558e-51,2.33267357314975e-51,3.95777604151654e-51,6.63670299362856e-51,1.0999961303947e-50,1.80219667493398e-50,2.91891234316978e-50,4.67395239430369e-50,7.39995891003755e-50,1.15849572679008e-49,1.7935720751115e-49,2.74626525593328e-49,4.15916492575599e-49,6.23090749164981e-49,9.23464364849263e-49,1.354114723477e-48,1.96471987625314e-48,2.82097715671646e-48,4.00863576774483e-48,5.63814779454751e-48,7.84990143651145e-48,1.08199476197171e-47,1.47660669445115e-47,1.99539497663781e-47,2.67031811878673e-47,3.53926395225316e-47,4.64648376184294e-47,6.04286689228071e-47,7.78599729513722e-47,9.93993169176898e-47,1.25746410323721e-46,1.57650634651216e-46,1.95897285970141e-46,2.41289296080852e-46,2.94624415438746e-46,3.56668101643058e-46,4.28122648947022e-46,5.09593400742996e-46,6.01553188169125e-46,7.04306411197713e-46,8.17954400244709e-46,9.42363844023552e-46,1.07714012378538e-45,1.2216073411808e-45,1.3747966596139e-45,1.53544429814998e-45,1.70200013249741e-45,1.87264738750977e-45,2.04533337573605e-45,2.21781067823681e-45,2.38768761209936e-45,2.55248631951877e-45,2.70970637963867e-45,2.85689151555128e-45,2.99169676696613e-45,3.1119534374565e-45,3.21572920768736e-45,3.30138102670686e-45,3.36759873727084e-45,3.41343783557975e-45,3.43834028224896e-45,3.44214283776957e-45,3.42507295898062e-45,3.38773283121545e-45,3.33107259518284e-45,3.25635423471065e-45,3.16510790388055e-45,3.0590826794007e-45,2.9401938229174e-45,2.8104686316281e-45,2.67199285313808e-45,2.52685945581879e-45,2.37712129616828e-45,2.22474892898416e-45,2.07159448423374e-45,1.91936220533089e-45,1.76958592430428e-45,1.62361345466217e-45,1.48259762406563e-45,1.34749345423222e-45,1.21906082938561e-45,1.09787187839858e-45,9.84322228057541e-46,8.78645261787212e-46,7.80928534138564e-46,6.91131539627508e-46,6.09104107797544e-46,5.34604787273187e-46,4.67318683035771e-46,4.06874316838922e-46,3.52859185153676e-46,3.0483378790582e-46,2.62343991243177e-46,2.24931666409669e-46,1.921436132381e-46,1.63538830380536e-46,1.38694235442689e-46,1.1720896748004e-46,9.87074230311118e-47,8.28411864257395e-47,6.92900170444556e-47,5.77620520597067e-47,4.7993374432121e-47,3.97470839108055e-47,3.28119946787352e-47,2.7001068094387e-47,2.21496735246865e-47,1.8113755178224e-47,1.47679686021511e-47,1.20038374251615e-47,9.72796921149771e-48,7.86035903323364e-48,6.33280058526476e-48,5.0874173132762e-48,4.07532000957425e-48,3.2553925364718e-48,2.59320362700634e-48,2.06003994669399e-48,1.63205363728066e-48,1.28951626988888e-48,1.01617038645669e-48,7.98669493079781e-49,6.26097388347931e-49,4.89557979201462e-49,3.8182718466264e-49,2.97059094892763e-49,2.30539191583916e-49,1.78478107982152e-49,1.37840083882438e-49,1.06200931223513e-49,8.16309541636936e-50,6.2598853554784e-50,4.78931834506818e-50,3.65584137788435e-50,2.78430880790617e-50,2.11579495657977e-50,1.60422452347093e-50,1.21367096638773e-50,9.161981384007e-51,6.90141925120673e-51,5.18746820925922e-51,3.89087710945439e-51,2.91219957738769e-51,2.17511570737428e-51,1.62120073981811e-51,1.20583961986173e-51,8.95045905914493e-52,6.6299204094621e-52,4.90097372898505e-52,3.61552101701191e-52,2.66180887931272e-52,1.95570318447535e-52,1.43400737863607e-52,1.04935911203404e-52,7.66342345270645e-53,5.58532918559928e-53,4.06259051116418e-53,2.94907935764289e-53,2.13648369783991e-53,1.54469519104177e-53,1.11459291322176e-53,8.02638612414922e-54,5.76838148725506e-54,4.13730740179299e-54,2.96149576301013e-54,2.11559957573265e-54,1.50828805855299e-54,1.07315621286584e-54,7.62024143176272e-55,5.40008892782101e-55,3.81907956262993e-55,2.69551222930461e-55,1.89866299203279e-55,1.33468138185985e-55,9.36331449446592e-56,6.55545836051774e-56,4.5803336661439e-56,3.19382367255315e-56,2.22250986357729e-56,1.54345720398407e-56,1.06970205181629e-56,7.39856739047866e-57,5.10679300233503e-57,3.51774179856215e-57,2.41821014159214e-57,1.65896722031523e-57,1.13578098925601e-57,7.76003657480968e-58,5.29108460211986e-58,3.60028443049537e-58,2.44477848332303e-58,1.65673200136144e-58,1.12040366690911e-58,7.56146221353367e-59,5.09267035654725e-59,3.42289352278557e-59,2.29587800057536e-59,1.53677887948305e-59,1.02655140890139e-59,6.84315485222641e-60,4.55237461187023e-60,3.02221398115162e-60,2.00224707279492e-60,1.32377758982472e-60,8.73407579426796e-61,5.75073228025864e-61,3.77862074730017e-61,2.47769093930157e-61,1.62130363453825e-61,1.05872875686634e-61,6.89934617448584e-62,4.4867698282495e-62,2.91180331878116e-62,1.88578617184017e-62,1.21877855109374e-62,7.86065786461179e-63,5.05934760614838e-63,3.24961180006006e-63,2.08290565671261e-63,1.33232043184554e-63,8.504495896725e-64,5.41737745951505e-64,3.44373789111544e-64,2.18459733615555e-64,1.38297038327826e-64,8.73684006744513e-65,5.50802344729478e-65,3.46526881831593e-65,2.17559328112916e-65,1.36306947449039e-65,8.52231654857401e-66,5.3173665930323e-66,3.31081341317654e-66,2.05717797094468e-66,1.27558081206288e-66,7.89301531418877e-67,4.87390066037365e-67,3.00337159744712e-67,1.84688581522822e-67,1.13336427024688e-67,6.94060616462056e-68,4.24154051661364e-68,2.586712105827e-68,1.57423931810329e-68,9.56074042917525e-69,5.79442497321038e-69,3.50450866887995e-69,2.11515329200307e-69,1.27395594347283e-69,7.65710785287639e-70,4.59275052316199e-70,2.74902460450947e-70,1.64203354739077e-70,9.78775297509596e-71,5.82212466081187e-71,3.45602979460494e-71,2.04725003347393e-71,1.21021263346946e-71,7.13920447193425e-72,4.20276648433696e-72,2.46898220974562e-72,1.44743104324807e-72,8.46788573223533e-73,4.94366737751019e-73,2.88018648855698e-73,1.67451504199382e-73,9.71526257885985e-74,5.62492901950343e-74,3.24994890365846e-74,1.87384201630426e-74,1.07816774972742e-74,6.19065494793251e-75,3.54718410205902e-75,2.02827904870527e-75,1.15736008111058e-75,6.59031370637844e-76,3.74490192502204e-76,2.1235943328502e-76,1.2017092212604e-76,6.78615750686136e-77,3.82424019851156e-77,2.15061690117886e-77,1.20691752348085e-77,6.75909824573306e-78,3.77743095623803e-78,2.10669130852148e-78,1.17247029285273e-78,6.5117744813725e-79,3.6090541574461e-79,1.99610772584101e-79,1.10171957560708e-79,6.06812693219042e-80,3.3352986955387e-80,1.82941098942095e-80,1.00134629188238e-80,5.46957714526086e-81,2.98139587672764e-81,1.62174275082123e-81,8.80320261027891e-82,4.76865421792102e-82,2.57778895894573e-82,1.39057772492461e-82,7.48582292700342e-83,4.02142704740935e-83,2.15584331431257e-83,1.1533218965261e-83,6.15715686968947e-84,3.28024459407791e-84,1.74392803513532e-84,9.2522466926206e-85,4.89848919647108e-85,2.58805442223002e-85,1.36452327230746e-85,7.1793442073565e-86,3.76950986478302e-86,1.97506442529658e-86,1.03269938207569e-86,5.38843725815917e-87,2.80574372959812e-87,1.45790566656239e-87,7.55974409483652e-88,3.91183932061687e-88,2.01999902382247e-88,1.04092046154498e-88,5.35278946224164e-89,2.74687568209192e-89,1.40667597497919e-89,7.1886171544074e-90,3.66600333628043e-90,1.86567748212921e-90,9.47494055541801e-91,4.80189462511608e-91,2.42853832720681e-91,1.22566984361421e-91,6.17302790393814e-92,3.10255277505941e-92,1.55609573239349e-92,7.78842496821504e-93,3.89008563889291e-93,1.93894225832824e-93,9.64421270578436e-94,4.78701594577601e-94,2.37115069944557e-94,1.17205941265664e-94,5.78144348482667e-95,2.84589668114882e-95,1.3979709934763e-95,6.85288395925129e-96,3.35231470430917e-96,1.63648629576544e-96,7.97216264837448e-97,3.87557473401031e-97,1.88014900616669e-97,9.10216307269131e-98,4.39737136922341e-98,2.1200097974469e-98,1.01994976890853e-98,4.89683976948992e-99,2.34611447348191e-99,1.12170511700233e-99,5.35185578950661E-100,2.54815771793608E-100,1.21072193638872E-100,5.74061898927E-101,2.71624690092446E-101,1.28255493388112E-101,6.04336634747082E-102,2.84169907212292E-102,1.33343997250264E-102,6.24403140093043E-103,2.91778249898301E-103,1.36062041688162E-103,6.33165565615627E-104,2.94031481847265E-104,1.36259447027149E-104,6.30137986782375E-105,2.90804387385443E-105,1.33925262840079E-105,6.15489041932217E-106,2.82276298308835E-106,1.29188774442572E-106,5.90026374694833E-107,2.68914587344802E-107,1.22307641740354E-107,5.55122877623269E-108,2.51432242199617E-108,1.13644684538488E-108,5.1259410908972E-109,2.30724878714505E-109,1.03636224308329E-109,4.64542108917388E-110,2.07794931384899E-110,9.27558222134517E-111,4.13184275748799E-111,1.83671925069285E-111,8.14775884999677E-112,3.60686562201189E-112,1.59337565084869E-112,7.02429624223415E-113,3.0901808944816E-113,1.35663007310366E-113,5.94340660517396E-114,2.59839949784624E-114,1.1336340882322E-114,4.93555931301621E-115,2.1443534669199E-115,9.29721572882612E-116,4.02259206459892E-116,1.73682332531189E-116,7.48345025492917E-117,3.21769376371817E-117,1.3806517847578E-117,5.91180695097909E-118,2.52611421690777E-118,1.07716540239792E-118,4.58361890656785E-119,1.94639653515315E-119,8.24804229557001E-120,3.4879254499309E-120,1.47190672444385E-120,6.19855115507581E-121,2.60493516984901E-121,1.09244732014556E-121,4.57194470318909E-122,1.90940626259873E-122,7.9577932683004E-123,3.30966416764854E-123,1.37363769163528E-123,5.68928246934328E-124,2.35147222541913E-124,9.69882900039621E-125,3.99204913603784E-125,1.63971970772315E-125,6.72110305157146E-126,2.74921515877999E-126,1.12221012526019E-126,4.57127084997444E-127,</v>
      </c>
      <c r="M15" s="31" t="s">
        <v>170</v>
      </c>
    </row>
    <row r="16" spans="1:18" ht="15" customHeight="1">
      <c r="A16" s="16" t="s">
        <v>58</v>
      </c>
      <c r="B16" s="14">
        <f>PRODUCT($B$3:$B$6)*B15</f>
        <v>3.1622776601683795E+45</v>
      </c>
      <c r="C16" s="14">
        <f>SUM(C$3:C$6)+C15</f>
        <v>3.5113686573257055</v>
      </c>
      <c r="F16" s="17" t="s">
        <v>58</v>
      </c>
      <c r="G16" s="14">
        <f>PRODUCT(G$3:G$4)*PRODUCT(G14:G15)</f>
        <v>1.5811388300841894E+35</v>
      </c>
      <c r="H16" s="14">
        <f>SUM(H$3:H$4)+SUM(H14:H15)</f>
        <v>2.8210645112533266</v>
      </c>
      <c r="K16" s="3" t="s">
        <v>177</v>
      </c>
      <c r="L16" s="3">
        <f>STupidExcelMean(L15)</f>
        <v>2.0400975401526429E+51</v>
      </c>
      <c r="M16" s="3">
        <f>STupidExcelVariance(L15,L16)</f>
        <v>9.7006782722126013E+112</v>
      </c>
      <c r="N16" s="7" t="s">
        <v>173</v>
      </c>
    </row>
    <row r="18" spans="1:23" ht="15" customHeight="1">
      <c r="K18" s="3" t="s">
        <v>174</v>
      </c>
      <c r="L18" s="3">
        <f>L7-L16</f>
        <v>7.9145764582304169E+51</v>
      </c>
      <c r="M18">
        <f>DifferenceVariance(L7:M7,L16:M16)</f>
        <v>2.4979502376726666E+114</v>
      </c>
    </row>
    <row r="19" spans="1:23" ht="15" customHeight="1">
      <c r="A19" s="10" t="s">
        <v>54</v>
      </c>
      <c r="F19" s="1" t="s">
        <v>61</v>
      </c>
      <c r="K19" s="27" t="s">
        <v>118</v>
      </c>
      <c r="L19" s="19">
        <f>EXP(MuFromParams(L18,M18))</f>
        <v>3.9633594949292156E+46</v>
      </c>
      <c r="M19" s="19">
        <f>(SigmaFromParams(L18,M18) / LN(10))^2</f>
        <v>4.6038378589556039</v>
      </c>
      <c r="S19" s="3"/>
      <c r="T19" s="3"/>
      <c r="U19" s="3"/>
      <c r="V19" s="3"/>
      <c r="W19" s="3"/>
    </row>
    <row r="20" spans="1:23" ht="15" customHeight="1">
      <c r="A20" s="5" t="s">
        <v>47</v>
      </c>
      <c r="B20" s="3">
        <f>VLOOKUP($A20,Globals!$A$20:$F$28,4,FALSE)</f>
        <v>0.2</v>
      </c>
      <c r="C20" s="3">
        <f>VLOOKUP($A20,Globals!$A$20:$F$28,6,FALSE)</f>
        <v>1.44</v>
      </c>
      <c r="F20" t="s">
        <v>22</v>
      </c>
      <c r="G20">
        <f>VLOOKUP($F20,Globals!$N$34:$P$40,2,FALSE)</f>
        <v>316227766016837.94</v>
      </c>
      <c r="H20">
        <f>VLOOKUP($F20,Globals!$N$34:$P$40,3,FALSE)</f>
        <v>1.1704562191085683</v>
      </c>
      <c r="S20" s="22"/>
      <c r="T20" s="3"/>
      <c r="U20" s="3"/>
      <c r="V20" s="3"/>
      <c r="W20" s="3"/>
    </row>
    <row r="21" spans="1:23" ht="15" customHeight="1">
      <c r="A21" s="16" t="s">
        <v>58</v>
      </c>
      <c r="B21" s="14">
        <f>PRODUCT($B$3:$B$6)*B20</f>
        <v>6.3245553203367596E+44</v>
      </c>
      <c r="C21" s="14">
        <f>SUM(C$3:C$6)+C20</f>
        <v>4.9513686573257054</v>
      </c>
      <c r="F21" s="5" t="s">
        <v>43</v>
      </c>
      <c r="G21">
        <f>VLOOKUP($F21,Globals!$A$20:$F$28,4,FALSE)</f>
        <v>0.4</v>
      </c>
      <c r="H21">
        <f>VLOOKUP($F21,Globals!$A$20:$F$28,6,FALSE)</f>
        <v>0.36</v>
      </c>
      <c r="L21" s="3"/>
      <c r="M21" s="3"/>
      <c r="N21" s="28"/>
      <c r="S21" s="8"/>
      <c r="T21" s="3"/>
      <c r="U21" s="3"/>
      <c r="V21" s="3"/>
      <c r="W21" s="3"/>
    </row>
    <row r="22" spans="1:23" ht="15" customHeight="1">
      <c r="F22" s="17" t="s">
        <v>58</v>
      </c>
      <c r="G22" s="14">
        <f>PRODUCT(G$3:G$4)*PRODUCT(G20:G21)</f>
        <v>3.9999999999999993E+37</v>
      </c>
      <c r="H22" s="14">
        <f>SUM(H$3:H$4)+SUM(H20:H21)</f>
        <v>3.4812165842895157</v>
      </c>
      <c r="L22" s="2"/>
      <c r="M22" s="2"/>
      <c r="S22" s="8"/>
      <c r="T22" s="3"/>
      <c r="U22" s="3"/>
      <c r="V22" s="3"/>
      <c r="W22" s="3"/>
    </row>
    <row r="23" spans="1:23" ht="15" customHeight="1">
      <c r="K23" s="3"/>
      <c r="L23" s="3"/>
      <c r="M23" s="3"/>
      <c r="S23" s="8"/>
      <c r="T23" s="3"/>
      <c r="U23" s="3"/>
      <c r="V23" s="3"/>
      <c r="W23" s="3"/>
    </row>
    <row r="24" spans="1:23" ht="15" customHeight="1">
      <c r="A24" s="10" t="s">
        <v>55</v>
      </c>
      <c r="L24" s="3"/>
      <c r="M24" s="3"/>
      <c r="S24" s="8"/>
      <c r="T24" s="3"/>
      <c r="U24" s="3"/>
      <c r="V24" s="3"/>
      <c r="W24" s="3"/>
    </row>
    <row r="25" spans="1:23" ht="15" customHeight="1">
      <c r="A25" s="5" t="s">
        <v>48</v>
      </c>
      <c r="B25" s="3">
        <f>VLOOKUP($A25,Globals!$A$20:$F$28,4,FALSE)</f>
        <v>1000</v>
      </c>
      <c r="C25" s="3">
        <f>VLOOKUP($A25,Globals!$A$20:$F$28,6,FALSE)</f>
        <v>1</v>
      </c>
      <c r="F25" s="1" t="s">
        <v>62</v>
      </c>
      <c r="M25" s="28"/>
      <c r="S25" s="8"/>
      <c r="T25" s="3"/>
      <c r="U25" s="3"/>
      <c r="V25" s="3"/>
      <c r="W25" s="3"/>
    </row>
    <row r="26" spans="1:23" ht="15" customHeight="1">
      <c r="A26" s="16" t="s">
        <v>58</v>
      </c>
      <c r="B26" s="14">
        <f>PRODUCT($B$3:$B$6)*B25</f>
        <v>3.1622776601683793E+48</v>
      </c>
      <c r="C26" s="14">
        <f>SUM(C$3:C$6)+C25</f>
        <v>4.5113686573257059</v>
      </c>
      <c r="F26" t="s">
        <v>60</v>
      </c>
      <c r="G26">
        <f>VLOOKUP($F26,Globals!$N$34:$P$40,2,FALSE)</f>
        <v>1E+19</v>
      </c>
      <c r="H26">
        <f>VLOOKUP($F26,Globals!$N$34:$P$40,3,FALSE)</f>
        <v>1.5606082921447579</v>
      </c>
      <c r="M26" s="28"/>
      <c r="S26" s="23"/>
      <c r="T26" s="3"/>
      <c r="U26" s="3"/>
      <c r="V26" s="3"/>
      <c r="W26" s="3"/>
    </row>
    <row r="27" spans="1:23" ht="15" customHeight="1">
      <c r="A27" s="8"/>
      <c r="B27" s="3"/>
      <c r="C27" s="3"/>
      <c r="F27" t="s">
        <v>44</v>
      </c>
      <c r="G27">
        <f>VLOOKUP($F27,Globals!$A$20:$F$28,4,FALSE)</f>
        <v>0.04</v>
      </c>
      <c r="H27">
        <f>VLOOKUP($F27,Globals!$A$20:$F$28,6,FALSE)</f>
        <v>0.64000000000000012</v>
      </c>
      <c r="M27" s="28"/>
      <c r="S27" s="3"/>
      <c r="T27" s="3"/>
      <c r="U27" s="3"/>
      <c r="V27" s="3"/>
      <c r="W27" s="3"/>
    </row>
    <row r="28" spans="1:23" ht="15" customHeight="1">
      <c r="F28" s="17" t="s">
        <v>58</v>
      </c>
      <c r="G28" s="14">
        <f>PRODUCT(G$3:G$4)*PRODUCT(G26:G27)</f>
        <v>1.2649110640673514E+41</v>
      </c>
      <c r="H28" s="14">
        <f>SUM(H$3:H$4)+SUM(H26:H27)</f>
        <v>4.1513686573257056</v>
      </c>
      <c r="S28" s="3"/>
      <c r="T28" s="3"/>
      <c r="U28" s="3"/>
      <c r="V28" s="3"/>
      <c r="W28" s="3"/>
    </row>
    <row r="29" spans="1:23" ht="15" customHeight="1">
      <c r="S29" s="13"/>
      <c r="T29" s="3"/>
      <c r="U29" s="3"/>
      <c r="V29" s="3"/>
      <c r="W29" s="3"/>
    </row>
    <row r="30" spans="1:23" ht="15" customHeight="1">
      <c r="S30" s="3"/>
      <c r="T30" s="3"/>
      <c r="U30" s="3"/>
      <c r="V30" s="3"/>
      <c r="W30" s="3"/>
    </row>
    <row r="31" spans="1:23" ht="15" customHeight="1">
      <c r="A31" s="8"/>
      <c r="B31" s="3"/>
      <c r="C31" s="3"/>
      <c r="F31" s="1" t="s">
        <v>63</v>
      </c>
      <c r="S31" s="3"/>
      <c r="T31" s="3"/>
      <c r="U31" s="3"/>
      <c r="V31" s="3"/>
      <c r="W31" s="3"/>
    </row>
    <row r="32" spans="1:23" ht="15" customHeight="1">
      <c r="A32" s="8"/>
      <c r="B32" s="3"/>
      <c r="C32" s="3"/>
      <c r="F32" t="s">
        <v>60</v>
      </c>
      <c r="G32">
        <f>VLOOKUP($F32,Globals!$N$34:$P$40,2,FALSE)</f>
        <v>1E+19</v>
      </c>
      <c r="H32">
        <f>VLOOKUP($F32,Globals!$N$34:$P$40,3,FALSE)</f>
        <v>1.5606082921447579</v>
      </c>
      <c r="S32" s="3"/>
      <c r="T32" s="3"/>
      <c r="U32" s="3"/>
      <c r="V32" s="3"/>
      <c r="W32" s="3"/>
    </row>
    <row r="33" spans="1:23" ht="15" customHeight="1">
      <c r="A33" s="8"/>
      <c r="B33" s="3"/>
      <c r="C33" s="3"/>
      <c r="F33" t="s">
        <v>64</v>
      </c>
      <c r="G33">
        <f>VLOOKUP($F33,Globals!$N$34:$P$40,2,FALSE)</f>
        <v>3.1622776601683791E-2</v>
      </c>
      <c r="H33">
        <f>VLOOKUP($F33,Globals!$N$34:$P$40,3,FALSE)</f>
        <v>1.1704562191085683</v>
      </c>
      <c r="S33" s="3"/>
      <c r="T33" s="3"/>
      <c r="U33" s="3"/>
      <c r="V33" s="3"/>
      <c r="W33" s="3"/>
    </row>
    <row r="34" spans="1:23" ht="15" customHeight="1">
      <c r="A34" s="8"/>
      <c r="B34" s="3"/>
      <c r="C34" s="3"/>
      <c r="F34" t="s">
        <v>44</v>
      </c>
      <c r="G34">
        <f>VLOOKUP($F34,Globals!$A$20:$F$28,4,FALSE)</f>
        <v>0.04</v>
      </c>
      <c r="H34">
        <f>VLOOKUP($F34,Globals!$A$20:$F$28,6,FALSE)</f>
        <v>0.64000000000000012</v>
      </c>
      <c r="S34" s="8"/>
      <c r="T34" s="3"/>
      <c r="U34" s="3"/>
      <c r="V34" s="3"/>
      <c r="W34" s="3"/>
    </row>
    <row r="35" spans="1:23" ht="15" customHeight="1">
      <c r="A35" s="8"/>
      <c r="B35" s="3"/>
      <c r="C35" s="3"/>
      <c r="F35" s="15" t="s">
        <v>58</v>
      </c>
      <c r="G35" s="14">
        <f>PRODUCT(G$3:G$4)*PRODUCT(G32:G34)</f>
        <v>3.9999999999999985E+39</v>
      </c>
      <c r="H35" s="14">
        <f>SUM(H$3:H$4)+SUM(H32:H34)</f>
        <v>5.3218248764342739</v>
      </c>
      <c r="S35" s="8"/>
      <c r="T35" s="3"/>
      <c r="U35" s="3"/>
      <c r="V35" s="3"/>
      <c r="W35" s="3"/>
    </row>
    <row r="36" spans="1:23" ht="15" customHeight="1">
      <c r="A36" s="8"/>
      <c r="B36" s="3"/>
      <c r="C36" s="3"/>
      <c r="S36" s="3"/>
      <c r="T36" s="3"/>
      <c r="U36" s="3"/>
      <c r="V36" s="3"/>
      <c r="W36" s="3"/>
    </row>
    <row r="37" spans="1:23" ht="15" customHeight="1">
      <c r="A37" s="8"/>
      <c r="B37" s="3"/>
      <c r="C37" s="3"/>
      <c r="S37" s="3"/>
      <c r="T37" s="3"/>
      <c r="U37" s="3"/>
      <c r="V37" s="3"/>
      <c r="W37" s="3"/>
    </row>
    <row r="38" spans="1:23" ht="15" customHeight="1">
      <c r="S38" s="13"/>
      <c r="T38" s="3"/>
      <c r="U38" s="3"/>
      <c r="V38" s="3"/>
      <c r="W38" s="3"/>
    </row>
    <row r="39" spans="1:23" ht="15" customHeight="1">
      <c r="S39" s="3"/>
      <c r="T39" s="3"/>
      <c r="U39" s="3"/>
      <c r="V39" s="3"/>
      <c r="W39" s="3"/>
    </row>
    <row r="40" spans="1:23" ht="15" customHeight="1">
      <c r="S40" s="3"/>
      <c r="T40" s="3"/>
      <c r="U40" s="3"/>
      <c r="V40" s="3"/>
      <c r="W40" s="3"/>
    </row>
    <row r="41" spans="1:23" ht="15" customHeight="1">
      <c r="S41" s="3"/>
      <c r="T41" s="3"/>
      <c r="U41" s="3"/>
      <c r="V41" s="3"/>
      <c r="W41" s="3"/>
    </row>
    <row r="42" spans="1:23" ht="15" customHeight="1">
      <c r="S42" s="3"/>
      <c r="T42" s="3"/>
      <c r="U42" s="3"/>
      <c r="V42" s="3"/>
      <c r="W42" s="3"/>
    </row>
    <row r="43" spans="1:23" ht="15" customHeight="1">
      <c r="S43" s="8"/>
      <c r="T43" s="3"/>
      <c r="U43" s="3"/>
      <c r="V43" s="3"/>
      <c r="W43" s="3"/>
    </row>
    <row r="44" spans="1:23" ht="15" customHeight="1">
      <c r="S44" s="8"/>
      <c r="T44" s="3"/>
      <c r="U44" s="3"/>
      <c r="V44" s="3"/>
      <c r="W44" s="3"/>
    </row>
    <row r="45" spans="1:23" ht="15" customHeight="1">
      <c r="S45" s="3"/>
      <c r="T45" s="3"/>
      <c r="U45" s="3"/>
      <c r="V45" s="3"/>
      <c r="W45" s="3"/>
    </row>
    <row r="46" spans="1:23" ht="15" customHeight="1">
      <c r="S46" s="3"/>
      <c r="T46" s="3"/>
      <c r="U46" s="3"/>
      <c r="V46" s="3"/>
      <c r="W46" s="3"/>
    </row>
    <row r="47" spans="1:23" ht="15" customHeight="1">
      <c r="S47" s="13"/>
      <c r="T47" s="3"/>
      <c r="U47" s="3"/>
      <c r="V47" s="3"/>
      <c r="W47" s="3"/>
    </row>
    <row r="48" spans="1:23" ht="15" customHeight="1">
      <c r="S48" s="3"/>
      <c r="T48" s="3"/>
      <c r="U48" s="3"/>
      <c r="V48" s="3"/>
      <c r="W48" s="3"/>
    </row>
    <row r="49" spans="19:23" ht="15" customHeight="1">
      <c r="S49" s="3"/>
      <c r="T49" s="3"/>
      <c r="U49" s="3"/>
      <c r="V49" s="3"/>
      <c r="W49" s="3"/>
    </row>
    <row r="50" spans="19:23" ht="15" customHeight="1">
      <c r="S50" s="3"/>
      <c r="T50" s="3"/>
      <c r="U50" s="3"/>
      <c r="V50" s="3"/>
      <c r="W50" s="3"/>
    </row>
    <row r="51" spans="19:23" ht="15" customHeight="1">
      <c r="S51" s="3"/>
      <c r="T51" s="3"/>
      <c r="U51" s="3"/>
      <c r="V51" s="3"/>
      <c r="W51" s="3"/>
    </row>
    <row r="52" spans="19:23" ht="15" customHeight="1">
      <c r="S52" s="8"/>
      <c r="T52" s="3"/>
      <c r="U52" s="3"/>
      <c r="V52" s="3"/>
      <c r="W52" s="3"/>
    </row>
    <row r="53" spans="19:23" ht="15" customHeight="1">
      <c r="S53" s="8"/>
      <c r="T53" s="3"/>
      <c r="U53" s="3"/>
      <c r="V53" s="3"/>
      <c r="W53" s="3"/>
    </row>
    <row r="54" spans="19:23" ht="15" customHeight="1">
      <c r="S54" s="3"/>
      <c r="T54" s="3"/>
      <c r="U54" s="3"/>
      <c r="V54" s="3"/>
      <c r="W54" s="3"/>
    </row>
    <row r="55" spans="19:23" ht="15" customHeight="1">
      <c r="S55" s="3"/>
      <c r="T55" s="3"/>
      <c r="U55" s="3"/>
      <c r="V55" s="3"/>
      <c r="W55" s="3"/>
    </row>
    <row r="56" spans="19:23" ht="15" customHeight="1">
      <c r="S56" s="13"/>
      <c r="T56" s="3"/>
      <c r="U56" s="3"/>
      <c r="V56" s="3"/>
      <c r="W56" s="3"/>
    </row>
    <row r="57" spans="19:23" ht="15" customHeight="1">
      <c r="S57" s="3"/>
      <c r="T57" s="3"/>
      <c r="U57" s="3"/>
      <c r="V57" s="3"/>
      <c r="W57" s="3"/>
    </row>
    <row r="58" spans="19:23" ht="15" customHeight="1">
      <c r="S58" s="3"/>
      <c r="T58" s="3"/>
      <c r="U58" s="3"/>
      <c r="V58" s="3"/>
      <c r="W58" s="3"/>
    </row>
    <row r="59" spans="19:23" ht="15" customHeight="1">
      <c r="S59" s="3"/>
      <c r="T59" s="3"/>
      <c r="U59" s="3"/>
      <c r="V59" s="3"/>
      <c r="W59" s="3"/>
    </row>
    <row r="60" spans="19:23" ht="15" customHeight="1">
      <c r="S60" s="3"/>
      <c r="T60" s="3"/>
      <c r="U60" s="3"/>
      <c r="V60" s="3"/>
      <c r="W60" s="3"/>
    </row>
    <row r="61" spans="19:23" ht="15" customHeight="1">
      <c r="S61" s="3"/>
      <c r="T61" s="3"/>
      <c r="U61" s="3"/>
      <c r="V61" s="3"/>
      <c r="W61" s="3"/>
    </row>
    <row r="62" spans="19:23" ht="15" customHeight="1">
      <c r="S62" s="3"/>
      <c r="T62" s="3"/>
      <c r="U62" s="3"/>
      <c r="V62" s="3"/>
      <c r="W62" s="3"/>
    </row>
    <row r="63" spans="19:23" ht="15" customHeight="1">
      <c r="S63" s="8"/>
      <c r="T63" s="3"/>
      <c r="U63" s="3"/>
      <c r="V63" s="3"/>
      <c r="W63"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42"/>
  <sheetViews>
    <sheetView workbookViewId="0">
      <selection activeCell="C15" sqref="C15"/>
    </sheetView>
  </sheetViews>
  <sheetFormatPr baseColWidth="10" defaultRowHeight="15" x14ac:dyDescent="0"/>
  <cols>
    <col min="1" max="1" width="21.6640625" customWidth="1"/>
    <col min="2" max="2" width="12.83203125" bestFit="1" customWidth="1"/>
    <col min="3" max="3" width="12.1640625" bestFit="1" customWidth="1"/>
    <col min="5" max="5" width="10.83203125" customWidth="1"/>
    <col min="6" max="6" width="21.6640625" customWidth="1"/>
    <col min="7" max="7" width="12.83203125" bestFit="1" customWidth="1"/>
    <col min="11" max="11" width="12.83203125" bestFit="1" customWidth="1"/>
  </cols>
  <sheetData>
    <row r="1" spans="1:16" ht="20">
      <c r="A1" s="96" t="s">
        <v>135</v>
      </c>
      <c r="B1" s="85"/>
      <c r="C1" s="85"/>
      <c r="D1" s="34"/>
      <c r="F1" s="1" t="s">
        <v>69</v>
      </c>
    </row>
    <row r="2" spans="1:16">
      <c r="A2" s="77"/>
      <c r="B2" s="77" t="s">
        <v>0</v>
      </c>
      <c r="C2" s="77" t="s">
        <v>1</v>
      </c>
      <c r="D2" s="34"/>
      <c r="G2" s="7" t="s">
        <v>179</v>
      </c>
      <c r="H2" s="7" t="s">
        <v>180</v>
      </c>
      <c r="I2" t="s">
        <v>182</v>
      </c>
    </row>
    <row r="3" spans="1:16" ht="30">
      <c r="A3" s="42" t="s">
        <v>105</v>
      </c>
      <c r="B3" s="50">
        <v>50000000000</v>
      </c>
      <c r="C3" s="50">
        <v>1000000000000</v>
      </c>
      <c r="D3" s="34" t="s">
        <v>187</v>
      </c>
      <c r="F3" s="15" t="s">
        <v>58</v>
      </c>
      <c r="G3" s="14">
        <v>1</v>
      </c>
      <c r="H3" s="14">
        <f>I3^2</f>
        <v>6.25E-2</v>
      </c>
      <c r="I3">
        <v>0.25</v>
      </c>
    </row>
    <row r="4" spans="1:16">
      <c r="A4" s="46" t="s">
        <v>99</v>
      </c>
      <c r="B4" s="47">
        <v>0.1</v>
      </c>
      <c r="C4" s="47">
        <v>0.5</v>
      </c>
      <c r="D4" s="34" t="s">
        <v>215</v>
      </c>
      <c r="F4" s="18" t="s">
        <v>86</v>
      </c>
      <c r="G4" s="19">
        <f>ParetoPosterior(median,alpha,G3:H3)</f>
        <v>1.0718443947358864</v>
      </c>
      <c r="H4" s="3"/>
    </row>
    <row r="5" spans="1:16" ht="45">
      <c r="A5" s="46" t="s">
        <v>100</v>
      </c>
      <c r="B5" s="47">
        <v>5.0000000000000001E-3</v>
      </c>
      <c r="C5" s="47">
        <v>0.2</v>
      </c>
      <c r="D5" s="34"/>
      <c r="F5" s="18" t="s">
        <v>93</v>
      </c>
      <c r="G5" s="19">
        <f>LognormPosterior(mu_global_poverty,sigma_global_poverty,G3:H3)</f>
        <v>1.1417331931971864</v>
      </c>
      <c r="H5" s="3"/>
    </row>
    <row r="6" spans="1:16" ht="45">
      <c r="A6" s="46" t="s">
        <v>101</v>
      </c>
      <c r="B6" s="47">
        <f>B5*1.01</f>
        <v>5.0499999999999998E-3</v>
      </c>
      <c r="C6" s="47">
        <f>C5*1.01</f>
        <v>0.20200000000000001</v>
      </c>
      <c r="D6" s="34"/>
    </row>
    <row r="7" spans="1:16" ht="30">
      <c r="A7" s="63" t="s">
        <v>95</v>
      </c>
      <c r="B7" s="64">
        <f>1000/C3*interest_rate</f>
        <v>5.0000000000000008E-11</v>
      </c>
      <c r="C7" s="64">
        <f>1000/B3*interest_rate</f>
        <v>1.0000000000000001E-9</v>
      </c>
      <c r="D7" s="34"/>
    </row>
    <row r="8" spans="1:16">
      <c r="A8" s="5"/>
      <c r="F8" s="1" t="s">
        <v>94</v>
      </c>
    </row>
    <row r="9" spans="1:16">
      <c r="A9" s="5"/>
      <c r="G9" t="s">
        <v>2</v>
      </c>
      <c r="H9" t="s">
        <v>33</v>
      </c>
      <c r="J9" s="13"/>
      <c r="K9" s="3"/>
      <c r="L9" s="3"/>
      <c r="M9" s="3"/>
      <c r="N9" s="13"/>
      <c r="O9" s="3"/>
      <c r="P9" s="3"/>
    </row>
    <row r="10" spans="1:16">
      <c r="A10" s="5"/>
      <c r="F10" t="s">
        <v>99</v>
      </c>
      <c r="G10">
        <f>GEOMEAN($B$4,$C$4)</f>
        <v>0.22360679774997896</v>
      </c>
      <c r="H10">
        <f>LogVariance($B$4,$C$4)</f>
        <v>0.27270459618181209</v>
      </c>
      <c r="J10" s="3"/>
      <c r="K10" s="3"/>
      <c r="L10" s="3"/>
      <c r="M10" s="3"/>
      <c r="N10" s="3"/>
      <c r="O10" s="3"/>
      <c r="P10" s="3"/>
    </row>
    <row r="11" spans="1:16">
      <c r="A11" s="5"/>
      <c r="F11" s="3" t="s">
        <v>100</v>
      </c>
      <c r="G11">
        <f>GEOMEAN($B$5,$C$5)</f>
        <v>3.1622776601683791E-2</v>
      </c>
      <c r="H11">
        <f>LogVariance($B$5,$C$5)</f>
        <v>0.62504702674494428</v>
      </c>
      <c r="J11" s="3"/>
      <c r="K11" s="3"/>
      <c r="L11" s="3"/>
      <c r="M11" s="3"/>
      <c r="N11" s="3"/>
      <c r="O11" s="3"/>
      <c r="P11" s="3"/>
    </row>
    <row r="12" spans="1:16" ht="20">
      <c r="A12" s="32" t="s">
        <v>65</v>
      </c>
      <c r="F12" t="s">
        <v>95</v>
      </c>
      <c r="G12">
        <f>GEOMEAN($B$7,$C$7)</f>
        <v>2.2360679774997899E-10</v>
      </c>
      <c r="H12">
        <f>LogVariance($B$7,$C$7)</f>
        <v>0.50759954989056688</v>
      </c>
      <c r="J12" s="3"/>
      <c r="K12" s="3"/>
      <c r="L12" s="3"/>
      <c r="M12" s="3"/>
      <c r="N12" s="3"/>
      <c r="O12" s="3"/>
      <c r="P12" s="3"/>
    </row>
    <row r="13" spans="1:16">
      <c r="A13" s="22" t="s">
        <v>188</v>
      </c>
      <c r="B13" s="3"/>
      <c r="C13" s="3"/>
      <c r="F13" t="s">
        <v>118</v>
      </c>
      <c r="G13">
        <f>VLOOKUP(F13,'EV of Far Future'!$K$18:$M$19,2,FALSE)</f>
        <v>3.9633594949292156E+46</v>
      </c>
      <c r="H13">
        <f>VLOOKUP(F13,'EV of Far Future'!$K$18:$M$19,3,FALSE)</f>
        <v>4.6038378589556039</v>
      </c>
      <c r="J13" s="3"/>
      <c r="K13" s="3"/>
      <c r="L13" s="3"/>
      <c r="M13" s="3"/>
      <c r="N13" s="3"/>
      <c r="O13" s="3"/>
      <c r="P13" s="3"/>
    </row>
    <row r="14" spans="1:16" ht="30">
      <c r="A14" s="5" t="s">
        <v>185</v>
      </c>
      <c r="B14">
        <f>G15-G25</f>
        <v>-5.1923984754843601E+39</v>
      </c>
      <c r="C14">
        <f>DifferenceVariance(G15:H15,G25:H25)</f>
        <v>3.7391938578141491E+97</v>
      </c>
      <c r="F14" s="15" t="s">
        <v>58</v>
      </c>
      <c r="G14" s="14">
        <f>PRODUCT(G10:G13)</f>
        <v>6.2666215950154446E+34</v>
      </c>
      <c r="H14" s="14">
        <f>SUM(H10:H13)</f>
        <v>6.0091890317729266</v>
      </c>
      <c r="J14" s="3"/>
      <c r="K14" s="3"/>
      <c r="L14" s="3"/>
      <c r="M14" s="3"/>
      <c r="N14" s="3"/>
      <c r="O14" s="3"/>
      <c r="P14" s="3"/>
    </row>
    <row r="15" spans="1:16">
      <c r="A15" s="16" t="s">
        <v>186</v>
      </c>
      <c r="B15" s="14">
        <f>EXP(MuFromParams(ABS(B14),C14))</f>
        <v>4.4090704339543281E+30</v>
      </c>
      <c r="C15" s="14">
        <f>(SigmaFromParams(B14,C14) / LN(10))^2</f>
        <v>7.8789887111596535</v>
      </c>
      <c r="F15" s="3" t="s">
        <v>178</v>
      </c>
      <c r="G15">
        <f>meanFromParams(G14:H14)</f>
        <v>5.1923984754821573E+41</v>
      </c>
      <c r="H15">
        <f>VarianceFromParams(G14:H14)</f>
        <v>1.850994434836952E+97</v>
      </c>
      <c r="J15" s="3"/>
      <c r="K15" s="3"/>
      <c r="L15" s="3"/>
      <c r="M15" s="3"/>
      <c r="N15" s="3"/>
      <c r="O15" s="3"/>
      <c r="P15" s="3"/>
    </row>
    <row r="16" spans="1:16">
      <c r="A16" s="36" t="s">
        <v>86</v>
      </c>
      <c r="B16" s="19">
        <f>ParetoPosterior(median,alpha,B15:C15)*SIGN(B14)</f>
        <v>-3779244367123.0137</v>
      </c>
      <c r="J16" s="3"/>
      <c r="K16" s="3"/>
      <c r="L16" s="3"/>
      <c r="M16" s="3"/>
      <c r="N16" s="3"/>
      <c r="O16" s="3"/>
      <c r="P16" s="3"/>
    </row>
    <row r="17" spans="1:16">
      <c r="A17" s="36" t="s">
        <v>93</v>
      </c>
      <c r="B17" s="19">
        <f>LognormPosterior(mu_far_future,sigma_far_future,B15:C15)*SIGN(B14)</f>
        <v>-1445.1184446062466</v>
      </c>
      <c r="J17" s="3"/>
      <c r="K17" s="3"/>
      <c r="L17" s="3"/>
      <c r="M17" s="3"/>
      <c r="N17" s="3"/>
      <c r="O17" s="3"/>
      <c r="P17" s="3"/>
    </row>
    <row r="18" spans="1:16">
      <c r="A18" s="5"/>
      <c r="F18" s="1" t="s">
        <v>102</v>
      </c>
      <c r="J18" s="3"/>
      <c r="K18" s="3"/>
      <c r="L18" s="3"/>
      <c r="M18" s="3"/>
      <c r="N18" s="3"/>
      <c r="O18" s="3"/>
      <c r="P18" s="3"/>
    </row>
    <row r="19" spans="1:16">
      <c r="A19" s="5"/>
      <c r="G19" s="7" t="s">
        <v>179</v>
      </c>
      <c r="H19" s="7" t="s">
        <v>181</v>
      </c>
      <c r="J19" s="3"/>
      <c r="K19" s="3"/>
      <c r="L19" s="3"/>
      <c r="M19" s="3"/>
      <c r="N19" s="3"/>
      <c r="O19" s="3"/>
      <c r="P19" s="3"/>
    </row>
    <row r="20" spans="1:16">
      <c r="A20" s="33" t="s">
        <v>91</v>
      </c>
      <c r="B20" s="4">
        <f>B16+G4</f>
        <v>-3779244367121.9419</v>
      </c>
      <c r="F20" t="s">
        <v>99</v>
      </c>
      <c r="G20">
        <f>GEOMEAN($B$4,$C$4)</f>
        <v>0.22360679774997896</v>
      </c>
      <c r="H20">
        <f>LogVariance($B$4,$C$4)</f>
        <v>0.27270459618181209</v>
      </c>
      <c r="J20" s="13"/>
      <c r="K20" s="3"/>
      <c r="L20" s="3"/>
      <c r="M20" s="3"/>
      <c r="N20" s="13"/>
      <c r="O20" s="3"/>
      <c r="P20" s="3"/>
    </row>
    <row r="21" spans="1:16">
      <c r="A21" s="33" t="s">
        <v>92</v>
      </c>
      <c r="B21" s="4">
        <f>B17+G5</f>
        <v>-1443.9767114130493</v>
      </c>
      <c r="F21" s="3" t="s">
        <v>101</v>
      </c>
      <c r="G21">
        <f>GEOMEAN($B$6,$C$6)</f>
        <v>3.1939004367700634E-2</v>
      </c>
      <c r="H21">
        <f>LogVariance($B$6,$C$6)</f>
        <v>0.62504702674494439</v>
      </c>
      <c r="J21" s="3"/>
      <c r="K21" s="3"/>
      <c r="L21" s="3"/>
      <c r="M21" s="3"/>
      <c r="N21" s="3"/>
      <c r="O21" s="3"/>
      <c r="P21" s="3"/>
    </row>
    <row r="22" spans="1:16">
      <c r="F22" t="s">
        <v>95</v>
      </c>
      <c r="G22">
        <f>GEOMEAN($B$7,$C$7)</f>
        <v>2.2360679774997899E-10</v>
      </c>
      <c r="H22">
        <f>LogVariance($B$7,$C$7)</f>
        <v>0.50759954989056688</v>
      </c>
      <c r="J22" s="3"/>
      <c r="K22" s="3"/>
      <c r="L22" s="3"/>
      <c r="M22" s="3"/>
      <c r="N22" s="3"/>
      <c r="O22" s="3"/>
      <c r="P22" s="3"/>
    </row>
    <row r="23" spans="1:16">
      <c r="F23" t="s">
        <v>118</v>
      </c>
      <c r="G23">
        <f>VLOOKUP(F23,'EV of Far Future'!$K$18:$M$19,2,FALSE)</f>
        <v>3.9633594949292156E+46</v>
      </c>
      <c r="H23">
        <f>VLOOKUP(F23,'EV of Far Future'!$K$18:$M$19,3,FALSE)</f>
        <v>4.6038378589556039</v>
      </c>
      <c r="J23" s="3"/>
      <c r="K23" s="3"/>
      <c r="L23" s="3"/>
      <c r="M23" s="3"/>
      <c r="N23" s="3"/>
      <c r="O23" s="3"/>
      <c r="P23" s="3"/>
    </row>
    <row r="24" spans="1:16">
      <c r="F24" s="15" t="s">
        <v>58</v>
      </c>
      <c r="G24" s="14">
        <f>PRODUCT(G20:G23)</f>
        <v>6.3292878109655998E+34</v>
      </c>
      <c r="H24" s="14">
        <f>SUM(H20:H23)</f>
        <v>6.0091890317729275</v>
      </c>
      <c r="J24" s="3"/>
      <c r="K24" s="3"/>
      <c r="L24" s="3"/>
      <c r="M24" s="3"/>
      <c r="N24" s="3"/>
      <c r="O24" s="3"/>
      <c r="P24" s="3"/>
    </row>
    <row r="25" spans="1:16">
      <c r="F25" t="s">
        <v>177</v>
      </c>
      <c r="G25">
        <f>meanFromParams(G24:H24)</f>
        <v>5.2443224602370009E+41</v>
      </c>
      <c r="H25">
        <f>VarianceFromParams(G24:H24)</f>
        <v>1.8881994229771975E+97</v>
      </c>
    </row>
    <row r="36" spans="1:2">
      <c r="A36" s="13"/>
      <c r="B36" s="3"/>
    </row>
    <row r="37" spans="1:2">
      <c r="A37" s="3"/>
      <c r="B37" s="3"/>
    </row>
    <row r="38" spans="1:2">
      <c r="A38" s="3"/>
      <c r="B38" s="3"/>
    </row>
    <row r="39" spans="1:2">
      <c r="A39" s="3"/>
      <c r="B39" s="3"/>
    </row>
    <row r="40" spans="1:2">
      <c r="A40" s="3"/>
      <c r="B40" s="3"/>
    </row>
    <row r="41" spans="1:2">
      <c r="A41" s="13"/>
      <c r="B41" s="3"/>
    </row>
    <row r="42" spans="1:2">
      <c r="A42" s="3"/>
      <c r="B42"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45"/>
  <sheetViews>
    <sheetView workbookViewId="0">
      <selection activeCell="N8" sqref="N8"/>
    </sheetView>
  </sheetViews>
  <sheetFormatPr baseColWidth="10" defaultRowHeight="15" x14ac:dyDescent="0"/>
  <cols>
    <col min="1" max="1" width="21.6640625" style="5" customWidth="1"/>
    <col min="2" max="4" width="10.83203125" customWidth="1"/>
    <col min="6" max="7" width="10.83203125" customWidth="1"/>
    <col min="8" max="8" width="12.1640625" bestFit="1" customWidth="1"/>
    <col min="9" max="9" width="12.83203125" bestFit="1" customWidth="1"/>
    <col min="14" max="14" width="12.83203125" bestFit="1" customWidth="1"/>
  </cols>
  <sheetData>
    <row r="1" spans="1:15" ht="20">
      <c r="A1" s="32" t="s">
        <v>135</v>
      </c>
      <c r="H1" s="1" t="s">
        <v>69</v>
      </c>
      <c r="M1" s="1" t="s">
        <v>85</v>
      </c>
    </row>
    <row r="2" spans="1:15">
      <c r="A2" s="57"/>
      <c r="B2" s="44" t="s">
        <v>0</v>
      </c>
      <c r="C2" s="44" t="s">
        <v>1</v>
      </c>
      <c r="D2" s="54" t="s">
        <v>179</v>
      </c>
      <c r="E2" s="54" t="s">
        <v>181</v>
      </c>
      <c r="F2" t="s">
        <v>30</v>
      </c>
      <c r="I2" s="7" t="s">
        <v>179</v>
      </c>
      <c r="J2" s="7" t="s">
        <v>180</v>
      </c>
      <c r="N2" s="7" t="s">
        <v>179</v>
      </c>
      <c r="O2" s="7" t="s">
        <v>181</v>
      </c>
    </row>
    <row r="3" spans="1:15" ht="30">
      <c r="A3" s="42" t="s">
        <v>130</v>
      </c>
      <c r="B3" s="43">
        <v>0.7</v>
      </c>
      <c r="C3" s="86">
        <v>13</v>
      </c>
      <c r="D3" s="77"/>
      <c r="E3" s="77"/>
      <c r="F3" s="7" t="s">
        <v>134</v>
      </c>
      <c r="G3" s="7"/>
      <c r="H3" t="s">
        <v>74</v>
      </c>
      <c r="I3">
        <f>D5</f>
        <v>3016.620625799671</v>
      </c>
      <c r="J3">
        <f>E5</f>
        <v>0.49504262895320128</v>
      </c>
      <c r="M3" s="3" t="s">
        <v>199</v>
      </c>
      <c r="N3" s="25">
        <f>VLOOKUP(M3,$A$10:$E$13,4,FALSE)</f>
        <v>4.4721359549995794E-2</v>
      </c>
      <c r="O3" s="25">
        <f>VLOOKUP(M3,$A$10:$E$13,5,FALSE)</f>
        <v>0.50759954989056688</v>
      </c>
    </row>
    <row r="4" spans="1:15" ht="30">
      <c r="A4" s="46" t="s">
        <v>169</v>
      </c>
      <c r="B4" s="47">
        <v>3</v>
      </c>
      <c r="C4" s="87">
        <v>4</v>
      </c>
      <c r="D4" s="77">
        <f>GEOMEAN(B4,C4)</f>
        <v>3.4641016151377548</v>
      </c>
      <c r="E4" s="77">
        <f>LogVariance(B4,C4)</f>
        <v>4.8745107090250664E-2</v>
      </c>
      <c r="F4" t="s">
        <v>242</v>
      </c>
      <c r="H4" t="s">
        <v>42</v>
      </c>
      <c r="I4">
        <f>VLOOKUP($H4,Globals!A20:F28,4,FALSE)</f>
        <v>5</v>
      </c>
      <c r="J4">
        <f>VLOOKUP($H4,Globals!A20:F28,5,FALSE)</f>
        <v>0.3</v>
      </c>
      <c r="M4" s="3" t="s">
        <v>207</v>
      </c>
      <c r="N4">
        <f>VLOOKUP($M4,'EV of Far Future'!$K$3:$N$14,2,FALSE)</f>
        <v>3.8399999999999992E+38</v>
      </c>
      <c r="O4">
        <f>VLOOKUP($M4,'EV of Far Future'!$K$3:$N$14,3,FALSE)</f>
        <v>5.3218248764342739</v>
      </c>
    </row>
    <row r="5" spans="1:15" ht="30">
      <c r="A5" s="88" t="s">
        <v>74</v>
      </c>
      <c r="B5" s="89">
        <f>B3*1000</f>
        <v>700</v>
      </c>
      <c r="C5" s="89">
        <f>C3*1000</f>
        <v>13000</v>
      </c>
      <c r="D5" s="77">
        <f>GEOMEAN(B5,C5)</f>
        <v>3016.620625799671</v>
      </c>
      <c r="E5" s="77">
        <f>LogVariance(B5,C5)</f>
        <v>0.49504262895320128</v>
      </c>
      <c r="H5" s="15" t="s">
        <v>58</v>
      </c>
      <c r="I5" s="14">
        <f>PRODUCT(I3:I4)</f>
        <v>15083.103128998355</v>
      </c>
      <c r="J5" s="14">
        <f>SUM(J3:J4)</f>
        <v>0.79504262895320132</v>
      </c>
      <c r="M5" s="3" t="s">
        <v>72</v>
      </c>
      <c r="N5">
        <f>1/factory_farmed_animals</f>
        <v>5.0000000000000002E-11</v>
      </c>
      <c r="O5">
        <v>0</v>
      </c>
    </row>
    <row r="6" spans="1:15" ht="30">
      <c r="A6" s="88" t="s">
        <v>73</v>
      </c>
      <c r="B6" s="89"/>
      <c r="C6" s="89"/>
      <c r="D6" s="77">
        <f>PRODUCT(D4:D5)</f>
        <v>10449.880382090505</v>
      </c>
      <c r="E6" s="77">
        <f>SUM(E4:E5)</f>
        <v>0.54378773604345199</v>
      </c>
      <c r="H6" s="18" t="s">
        <v>86</v>
      </c>
      <c r="I6" s="19">
        <f>ParetoPosterior(median,alpha,I5:J5)</f>
        <v>278.14172544025013</v>
      </c>
      <c r="M6" s="3" t="s">
        <v>104</v>
      </c>
      <c r="N6">
        <f>$D$8</f>
        <v>626.99282292543035</v>
      </c>
      <c r="O6">
        <f>$E$8</f>
        <v>0.54378773604345199</v>
      </c>
    </row>
    <row r="7" spans="1:15" ht="45">
      <c r="A7" s="46" t="s">
        <v>114</v>
      </c>
      <c r="B7" s="47">
        <v>0.01</v>
      </c>
      <c r="C7" s="47">
        <v>0.01</v>
      </c>
      <c r="D7" s="77">
        <f>GEOMEAN(B7,C7)</f>
        <v>0.01</v>
      </c>
      <c r="E7" s="77">
        <f>LogVariance(B7,C7)</f>
        <v>0</v>
      </c>
      <c r="F7" t="s">
        <v>115</v>
      </c>
      <c r="H7" s="18" t="s">
        <v>75</v>
      </c>
      <c r="I7" s="20">
        <f>LognormPosterior(mu_factory_farming,sigma_factory_farming,I5:J5)</f>
        <v>95.354719159161419</v>
      </c>
      <c r="J7" t="s">
        <v>166</v>
      </c>
      <c r="M7" s="15" t="s">
        <v>58</v>
      </c>
      <c r="N7" s="14">
        <f>PRODUCT(N3:N6)</f>
        <v>5.3836745221084823E+29</v>
      </c>
      <c r="O7" s="14">
        <f>SUM(O3:O6)</f>
        <v>6.3732121623682927</v>
      </c>
    </row>
    <row r="8" spans="1:15" ht="30">
      <c r="A8" s="88" t="s">
        <v>104</v>
      </c>
      <c r="B8" s="89"/>
      <c r="C8" s="89"/>
      <c r="D8" s="77">
        <f>D6*(interest_rate+D7)</f>
        <v>626.99282292543035</v>
      </c>
      <c r="E8" s="77">
        <f>E6+E7</f>
        <v>0.54378773604345199</v>
      </c>
      <c r="I8" s="21"/>
    </row>
    <row r="9" spans="1:15">
      <c r="A9" s="88"/>
      <c r="B9" s="89"/>
      <c r="C9" s="89"/>
      <c r="D9" s="77"/>
      <c r="E9" s="77"/>
      <c r="I9" s="2"/>
    </row>
    <row r="10" spans="1:15" ht="45">
      <c r="A10" s="46" t="s">
        <v>198</v>
      </c>
      <c r="B10" s="47">
        <v>0.01</v>
      </c>
      <c r="C10" s="47">
        <v>0.2</v>
      </c>
      <c r="D10" s="77">
        <f>GEOMEAN(B10,C10)</f>
        <v>4.4721359549995794E-2</v>
      </c>
      <c r="E10" s="77">
        <f>LogVariance(B10,C10)</f>
        <v>0.50759954989056688</v>
      </c>
      <c r="F10" t="s">
        <v>201</v>
      </c>
      <c r="H10" s="13" t="s">
        <v>70</v>
      </c>
      <c r="M10" s="1" t="s">
        <v>196</v>
      </c>
    </row>
    <row r="11" spans="1:15" ht="30">
      <c r="A11" s="46" t="s">
        <v>149</v>
      </c>
      <c r="B11" s="47">
        <v>5.0000000000000001E-3</v>
      </c>
      <c r="C11" s="47">
        <v>0.1</v>
      </c>
      <c r="D11" s="77">
        <f>GEOMEAN(B11,C11)</f>
        <v>2.2360679774997897E-2</v>
      </c>
      <c r="E11" s="77">
        <f>LogVariance(B11,C11)</f>
        <v>0.50759954989056688</v>
      </c>
      <c r="I11" s="7" t="s">
        <v>179</v>
      </c>
      <c r="J11" s="7" t="s">
        <v>180</v>
      </c>
      <c r="M11" s="3" t="s">
        <v>200</v>
      </c>
      <c r="N11" s="25">
        <f>VLOOKUP(M11,$A$10:$E$13,4,FALSE)</f>
        <v>2.2360679774997897E-2</v>
      </c>
      <c r="O11" s="25">
        <f>VLOOKUP(M11,$A$10:$E$13,5,FALSE)</f>
        <v>0.27270459618181209</v>
      </c>
    </row>
    <row r="12" spans="1:15" ht="30">
      <c r="A12" s="46" t="s">
        <v>199</v>
      </c>
      <c r="B12" s="47">
        <v>0.01</v>
      </c>
      <c r="C12" s="47">
        <v>0.2</v>
      </c>
      <c r="D12" s="77">
        <f>GEOMEAN(B12,C12)</f>
        <v>4.4721359549995794E-2</v>
      </c>
      <c r="E12" s="77">
        <f>LogVariance(B12,C12)</f>
        <v>0.50759954989056688</v>
      </c>
      <c r="H12" s="3" t="s">
        <v>68</v>
      </c>
      <c r="I12">
        <f>VLOOKUP($H12,'EV of Far Future'!$O$3:$P$14,2,FALSE)</f>
        <v>9.6000000000000016E-2</v>
      </c>
      <c r="J12">
        <v>0</v>
      </c>
      <c r="M12" s="3" t="s">
        <v>203</v>
      </c>
      <c r="N12">
        <f>VLOOKUP($M12,'EV of Far Future'!$K$3:$N$14,2,FALSE)</f>
        <v>6.3245553203367595E+46</v>
      </c>
      <c r="O12">
        <f>VLOOKUP($M12,'EV of Far Future'!$K$3:$N$14,3,FALSE)</f>
        <v>4.5113686573257059</v>
      </c>
    </row>
    <row r="13" spans="1:15">
      <c r="A13" s="52" t="s">
        <v>200</v>
      </c>
      <c r="B13" s="51">
        <v>0.01</v>
      </c>
      <c r="C13" s="51">
        <v>0.05</v>
      </c>
      <c r="D13" s="77">
        <f>GEOMEAN(B13,C13)</f>
        <v>2.2360679774997897E-2</v>
      </c>
      <c r="E13" s="77">
        <f>LogVariance(B13,C13)</f>
        <v>0.27270459618181209</v>
      </c>
      <c r="H13" s="3" t="s">
        <v>76</v>
      </c>
      <c r="I13">
        <v>1</v>
      </c>
      <c r="J13">
        <v>0</v>
      </c>
      <c r="M13" s="3" t="s">
        <v>72</v>
      </c>
      <c r="N13">
        <f>1/factory_farmed_animals</f>
        <v>5.0000000000000002E-11</v>
      </c>
      <c r="O13">
        <v>0</v>
      </c>
    </row>
    <row r="14" spans="1:15">
      <c r="A14" s="35"/>
      <c r="B14" s="34"/>
      <c r="C14" s="34"/>
      <c r="D14" s="34"/>
      <c r="E14" s="34"/>
      <c r="H14" s="3" t="s">
        <v>208</v>
      </c>
      <c r="I14">
        <f>VLOOKUP($H14,'EV of Far Future'!$K$3:$N$14,2,FALSE)</f>
        <v>1.517893276880822E+34</v>
      </c>
      <c r="J14">
        <f>VLOOKUP($H14,'EV of Far Future'!$K$3:$N$14,3,FALSE)</f>
        <v>2.8210645112533266</v>
      </c>
      <c r="M14" s="3" t="s">
        <v>104</v>
      </c>
      <c r="N14">
        <f>$D$8</f>
        <v>626.99282292543035</v>
      </c>
      <c r="O14">
        <f>$E$8</f>
        <v>0.54378773604345199</v>
      </c>
    </row>
    <row r="15" spans="1:15">
      <c r="H15" s="3" t="s">
        <v>72</v>
      </c>
      <c r="I15">
        <f>1/factory_farmed_animals</f>
        <v>5.0000000000000002E-11</v>
      </c>
      <c r="J15">
        <v>0</v>
      </c>
      <c r="M15" s="15" t="s">
        <v>58</v>
      </c>
      <c r="N15" s="14">
        <f>PRODUCT(N11:N14)</f>
        <v>4.433508768458681E+37</v>
      </c>
      <c r="O15" s="14">
        <f>SUM(O11:O14)</f>
        <v>5.3278609895509703</v>
      </c>
    </row>
    <row r="16" spans="1:15">
      <c r="H16" s="3" t="s">
        <v>104</v>
      </c>
      <c r="I16">
        <f>$D$8</f>
        <v>626.99282292543035</v>
      </c>
      <c r="J16">
        <f>$E$8</f>
        <v>0.54378773604345199</v>
      </c>
    </row>
    <row r="17" spans="1:15">
      <c r="H17" s="15" t="s">
        <v>58</v>
      </c>
      <c r="I17" s="14">
        <f>PRODUCT(I12:I16)</f>
        <v>4.5681993147409854E+25</v>
      </c>
      <c r="J17" s="14">
        <f>SUM(J12:J16)</f>
        <v>3.3648522472967786</v>
      </c>
    </row>
    <row r="18" spans="1:15" ht="20">
      <c r="A18" s="32" t="s">
        <v>65</v>
      </c>
      <c r="M18" t="s">
        <v>189</v>
      </c>
    </row>
    <row r="19" spans="1:15">
      <c r="A19" s="10" t="s">
        <v>192</v>
      </c>
      <c r="B19" t="s">
        <v>179</v>
      </c>
      <c r="C19" t="s">
        <v>181</v>
      </c>
      <c r="M19" t="s">
        <v>190</v>
      </c>
      <c r="N19">
        <f>I17</f>
        <v>4.5681993147409854E+25</v>
      </c>
      <c r="O19">
        <f>J17</f>
        <v>3.3648522472967786</v>
      </c>
    </row>
    <row r="20" spans="1:15">
      <c r="A20" s="8" t="s">
        <v>174</v>
      </c>
      <c r="B20">
        <f>N25</f>
        <v>6.0978633386063669E+43</v>
      </c>
      <c r="C20">
        <f>O25</f>
        <v>6.8187542035070258E+99</v>
      </c>
      <c r="H20" s="1" t="s">
        <v>77</v>
      </c>
      <c r="N20">
        <f>I26</f>
        <v>7.1782326961446444E+27</v>
      </c>
      <c r="O20">
        <f>J26</f>
        <v>4.5326038702235341</v>
      </c>
    </row>
    <row r="21" spans="1:15">
      <c r="A21" s="16" t="s">
        <v>186</v>
      </c>
      <c r="B21" s="14">
        <f>EXP(MuFromParams(ABS(B20),C20))</f>
        <v>4.5030094273653466E+37</v>
      </c>
      <c r="C21" s="14">
        <f>(SigmaFromParams(B20,C20) / LN(10))^2</f>
        <v>5.3259050877002521</v>
      </c>
      <c r="I21" s="7" t="s">
        <v>179</v>
      </c>
      <c r="J21" s="7" t="s">
        <v>181</v>
      </c>
      <c r="N21">
        <f>I35</f>
        <v>1.1349782447254221E+31</v>
      </c>
      <c r="O21">
        <f>J35</f>
        <v>5.2027559432597243</v>
      </c>
    </row>
    <row r="22" spans="1:15">
      <c r="A22" s="36" t="s">
        <v>86</v>
      </c>
      <c r="B22" s="19">
        <f>ParetoPosterior(median,alpha,B21:C21)*SIGN(B20)</f>
        <v>2.4555749510036843E+25</v>
      </c>
      <c r="H22" s="3" t="s">
        <v>198</v>
      </c>
      <c r="I22" s="25">
        <f>VLOOKUP(H22,$A$10:$E$13,4,FALSE)</f>
        <v>4.4721359549995794E-2</v>
      </c>
      <c r="J22" s="25">
        <f>VLOOKUP(H22,$A$10:$E$13,5,FALSE)</f>
        <v>0.50759954989056688</v>
      </c>
      <c r="M22" s="3"/>
      <c r="N22" s="3">
        <f>N7</f>
        <v>5.3836745221084823E+29</v>
      </c>
      <c r="O22" s="3">
        <f>O7</f>
        <v>6.3732121623682927</v>
      </c>
    </row>
    <row r="23" spans="1:15">
      <c r="A23" s="36" t="s">
        <v>93</v>
      </c>
      <c r="B23" s="19">
        <f>LognormPosterior(mu_far_future,sigma_far_future,B21:C21)*SIGN(B20)</f>
        <v>7472.5809903600966</v>
      </c>
      <c r="H23" s="3" t="s">
        <v>205</v>
      </c>
      <c r="I23">
        <f>VLOOKUP($H23,'EV of Far Future'!$K$3:$N$14,2,FALSE)</f>
        <v>5.1200000000000003E+36</v>
      </c>
      <c r="J23">
        <f>VLOOKUP($H23,'EV of Far Future'!$K$3:$N$14,3,FALSE)</f>
        <v>3.4812165842895157</v>
      </c>
      <c r="N23">
        <f>N15</f>
        <v>4.433508768458681E+37</v>
      </c>
      <c r="O23">
        <f>O15</f>
        <v>5.3278609895509703</v>
      </c>
    </row>
    <row r="24" spans="1:15">
      <c r="H24" s="3" t="s">
        <v>72</v>
      </c>
      <c r="I24">
        <f>1/factory_farmed_animals</f>
        <v>5.0000000000000002E-11</v>
      </c>
      <c r="J24">
        <v>0</v>
      </c>
      <c r="M24" s="30" t="s">
        <v>191</v>
      </c>
      <c r="N24" s="31" t="str">
        <f>WriteArray(SumLognormDists(N19:O23))</f>
        <v>0,0,0,0,0,0,0,0,0,0,0,0,0,0,0,0,0,0,0,0,0,0,0,0,0,0,0,0,0,0,0,0,0,0,0,0,0,0,0,0,0,0,0,0,0,0,0,0,0,0,0,0,0,0,0,0,0,0,0,0,0,0,0,0,0,0,0,0,0,0,0,0,0,0,0,0,0,0,0,0,0,0,0,0,0,0,0,0,0,0,0,0,0,0,0,0,0,0,0,0,0,0,0,0,0,0,0,0,0,0,0,0,0,0,0,0,0,0,0,0,0,0,0,0,0,0,0,0,0,0,0,0,0,1.29132279275154E-315,4.5011822818827E-314,1.55753697245827E-312,5.33114716758505E-311,1.80666308321796E-309,6.06238906793539E-308,2.01428370883128E-306,6.62685919602003E-305,2.15876398118787E-303,6.9632654504167E-302,2.22398143909712E-300,7.03331122178289E-299,2.20241437769085E-297,6.82886937117562E-296,2.09656920554593E-294,6.37353357997939E-293,1.91850124534444E-291,5.71813859480232E-290,1.68755566901162E-288,4.93142499389104E-287,1.42691368569908E-285,4.08821735407399E-284,1.1597952071572E-282,3.2579150510058E-281,9.06169358642612E-280,2.49568757401229E-278,6.80584955837863E-277,1.83774739179989E-275,4.91361002559929E-274,1.30084937882129E-272,3.41008229648389E-271,8.8514472011448E-270,2.27496826610438E-268,5.7895938727205E-267,1.45892381951158E-265,3.64023104584734E-264,8.99367448167135E-263,2.2001754951805E-261,5.32953708153832E-260,1.27830274835559E-258,3.03591837202299E-257,7.13934970803117E-256,1.66241513188441E-254,3.83294545367908E-253,8.75060717305657E-252,1.97813623219385E-250,4.42778713841029E-249,9.81363420344865E-248,2.15370224279072E-246,4.68008980065607E-245,1.00701401118337E-243,2.14550588845499E-242,4.52623240558043E-241,9.45490132427282E-240,1.95564596246651E-238,4.0053145371098E-237,8.12262207645158E-236,1.63105711878574E-234,3.24306363030008E-233,6.384916486621E-232,1.24471091981879E-230,2.40267694628324E-229,4.59236018616821E-228,8.6914105028392E-227,1.62876495992351E-225,3.02232029507804E-224,5.55311351867521E-223,1.01029147940495E-221,1.81999830953672E-220,3.24645596451416E-219,5.73406178515933E-218,1.00283532427213E-216,1.73664626172177E-215,2.97788334336535E-214,5.05613490659759E-213,8.50049801218044E-212,1.41509279164045E-210,2.3326006213986E-209,3.80724534089894E-208,6.15313493695498E-207,9.84684730823367E-206,1.56031846633227E-204,2.44818744378334E-203,3.80357119922071E-202,5.85132195405331E-201,8.91316804771273E-200,1.34439208323758E-198,2.00787025762873E-197,2.96934933102502E-196,4.34813466299292E-195,6.3046477038221E-194,9.05179913345668E-193,1.2868423372201E-191,1.81147450028176E-190,2.52496675639578E-189,3.48494368773671E-188,4.76269348076648E-187,6.44505122025079E-186,8.6360887528915E-185,1.14584246404045E-183,1.5053931363286E-182,1.95835880541714E-181,2.52262111365351E-180,3.21757982163553E-179,4.06372481136269E-178,5.082027675424E-177,6.29314376628901E-176,7.71642771763374E-175,9.368780490652E-174,1.12633632066209E-172,1.34082312490943E-171,1.58049598198535E-170,1.84473474892457E-169,2.13202953347804E-168,2.43989641180202E-167,2.76483090133665E-166,3.10230796153926E-165,3.44683520075394E-164,3.79206301745202E-163,4.13095175567209E-162,4.45599185778528E-161,4.759468778999E-160,5.03376046189391E-159,5.27165184184661E-158,5.46664852106709E-157,5.61327069349027E-156,5.70730879940213E-155,5.74602427726529E-154,5.7282820545308E-153,5.65460583253611E-152,5.52715240784988E-151,5.34960678699976E-150,5.12700521204986E-149,4.86549795606449E-148,4.57206747077316E-147,4.25421988090583E-146,3.9196687622015E-145,3.57602960043276E-144,3.23054143489002E-143,2.8898291890792E-142,2.55971641769307E-141,2.24509403179758E-140,1.94984638654543E-139,1.67683227469772E-138,1.42791514466971E-137,1.20403444557476E-136,1.00530848884962E-135,8.31158607490143E-135,6.80444609227343E-134,5.5160241678608E-133,4.42776185813298E-132,3.51938893544558E-131,2.7699720994731E-130,2.15878232911951E-129,1.66597260342392E-128,1.27307095973062E-127,9.63303948864346E-127,7.21772386865138E-126,5.35505089149357E-125,3.93417419654175E-124,2.86200535759375E-123,2.06164747358725E-122,1.47057003888286E-121,1.03868678076937E-120,7.2645935800212E-120,5.03113666939779E-119,3.45023941668376E-118,2.34293871772186E-117,1.57543853430091E-116,1.04898939648049E-115,6.91624068722202E-115,4.51542605420651E-114,2.91915584124923E-113,1.86872766640628E-112,1.18458225064484E-111,7.43558572256309E-111,4.62164090322849E-110,2.844517154548E-109,1.73361462694291E-108,1.04623325396766E-107,6.25225581305692E-107,3.6997939314747E-106,2.16795982643171E-105,1.25793484715967E-104,7.22767507185628E-104,4.11218820176858E-103,2.31676283455356E-102,1.29248274059702E-101,7.14007642315743E-101,3.90585629337511E-100,2.11575471905538e-99,1.13488120880136e-98,6.02798133439983e-98,3.17051771288402e-97,1.65129874539822e-96,8.51645190045034e-96,4.34940379941118e-95,2.19957693756209e-94,1.10150735390132e-93,5.46229167008154e-93,2.6822672576926e-92,1.30427547556962e-91,6.28025353506968e-91,2.9945119573111e-90,1.41389259445568e-89,6.61071990369281e-89,3.0607196083241e-88,1.40327013010764e-87,6.37092458660783e-87,2.86422814435825e-86,1.27513813242557e-85,5.62149556499062e-85,2.45409893505242e-84,1.06090957643007e-83,4.54162575045766e-83,1.92526964387246e-82,8.08201429573072e-82,3.35966592095723e-81,1.38299819077378e-80,5.63763285633859e-80,2.27573799897219e-79,9.09701003839188e-79,3.60102957670741e-78,1.41158481808619e-77,5.47949119302008e-77,2.10633359441167e-76,8.0180444577719e-76,3.02249006800158e-75,1.12828072851538e-74,4.1708645671946e-74,1.52683608958798e-73,5.53499145265202e-73,1.98701212441481e-72,7.06389016846023e-72,2.4868412910547e-71,8.66989391191579e-71,2.99324296131443e-70,1.02337202469292e-69,3.46488981072572e-69,1.16174439234129e-68,3.8574294098089e-68,1.26838948683991e-67,4.13024244887171e-67,1.33188819604552e-66,4.25334270911034e-66,1.3451306347875e-65,4.21280302161876e-65,1.30662690418458e-64,4.01334940746502e-64,1.22078303988051e-63,3.6774551141552e-63,1.09707146973045e-62,3.24117446907956e-62,9.48311854014845e-62,2.74778405580264e-61,7.88493417551771e-61,2.24077906259278e-60,6.30647928753866e-60,1.75777545504876e-59,4.85210131527649e-59,1.32644108780307e-58,3.591198021322e-58,9.629100223322e-58,2.55698840842942e-57,6.72465934173117e-57,1.75150799327152e-56,4.51810316438046e-56,1.1542616839646e-55,2.92050879766913e-55,7.31848024480207e-55,1.81632491104962e-54,4.4645591901341e-54,1.08687166775403e-53,2.6205646516373e-53,6.25793108442784e-53,1.48009090363513e-52,3.46713075651312e-52,8.0441256693044e-52,1.84848922699758e-51,4.20714217945622e-51,9.48402007080348e-51,2.11755967982587e-50,4.68295272566198e-50,1.02576506336437e-49,2.22547767283793e-49,4.78243508729146e-49,1.01795559162586e-48,2.14617928376766e-48,4.4819211239845e-48,9.2710134366798e-48,1.89958561511467e-47,3.85534451691682e-47,7.75076030047331e-47,1.54349946722256e-46,3.04476756157112e-46,5.94965598846731e-46,1.15166016131063e-45,2.20829199946304e-45,4.1946273189862e-45,7.89296591073763e-45,1.47130414773422e-44,2.71697530910558e-44,4.97045033636152e-44,9.00821251610917e-44,1.61741171675603e-43,2.87705450465878e-43,5.07023207375601e-43,8.85251715893806e-43,1.53134169581188e-42,2.62452852206052e-42,4.45668652673804e-42,7.49829482270962e-42,1.25000255612974e-41,2.0647424994338e-41,3.37937562821115e-41,5.48064809383182e-41,8.80768759797709e-41,1.4026084225076e-40,2.21343074588643e-40,3.46147487365357e-40,5.36455103506813e-40,8.23937291623615e-40,1.25416762930215e-39,1.89203946138137e-39,2.82898710342524e-39,4.19248396549905e-39,6.15836628455682e-39,8.96660024955318e-39,1.29411643640424e-38,1.85147467752379e-38,2.6258945559593e-38,3.69205932706976e-38,5.14646890435732e-38,7.11241960219387e-38,9.74566345428568e-38,1.32406962104729e-37,1.78375675827278e-37,2.38290407033515e-37,3.15678517271172e-37,4.14737380384711e-37,5.40398190401324e-37,6.9837832857073e-37,8.95216626156759e-37,1.13828535311178e-36,1.43577253134622e-36,1.7966282970833e-36,2.23046959120708e-36,2.74743849156841e-36,3.35801104087615e-36,4.07275545653048e-36,4.90204108213843e-36,5.85570225886716e-36,6.94266432082152e-36,8.17054197863903e-36,9.5452232493145e-36,1.10704546045778e-35,1.2747444934554e-35,1.4574507067943e-35,1.65467558022469e-35,1.86558805783598e-35,2.08900090487026e-35,2.32336748744529e-35,2.56678992557259e-35,2.81703911273849e-35,3.07158658784246e-35,3.32764771521687e-35,3.58223510577258e-35,3.8322207271148e-35,4.07440473081449e-35,4.30558869497687e-35,4.52265075829673e-35,4.72262001965029e-35,4.90274759929251e-35,5.06057190082266e-35,5.19397586720655e-35,5.30123437323984e-35,5.38105032011708e-35,5.43257847125946e-35,5.45543656672449e-35,5.44970375091422e-35,5.41590682101382e-35,5.35499523055594e-35,5.26830614645868e-35,5.15752114604831e-35,5.02461634499772e-35,4.87180786467831e-35,4.70149457961216e-35,4.51620003808458e-35,4.31851533050091e-35,4.11104450230973e-35,3.8963538845689e-35,3.67692645965733e-35,3.4551221064359e-35,3.23314429183059e-35,3.01301350654294e-35,2.79654749179284e-35,2.58534807998369e-35,2.38079428100591e-35,2.18404109134896e-35,1.99602338689271e-35,1.81746418186658e-35,1.64888649400491e-35,1.49062804607094e-35,1.34285805238472e-35,1.20559538088072e-35,1.07872744136853e-35,9.62029223928375e-36,8.55181992854865e-36,7.57791226836864e-36,6.69403481280901e-36,5.89521930667491e-36,5.17620425083751e-36,4.5315596379393e-36,3.95579548721108e-36,3.44345431418386e-36,2.98918808392922e-36,2.58782051795495e-36,2.23439586091107e-36,1.92421537190852e-36,1.65286289598589e-36,1.41622090424871e-36,1.21047837674136e-36,1.03213185015204e-36,8.7798087227983e-37,7.45119005185739e-37,6.30921406430716e-37,5.33029898986196e-37,4.4933632038422e-37,3.77964824488648e-37,3.17253697967149e-37,2.6573715029885e-37,2.22127442377946e-37,1.85297635243192e-37,1.54265167430905e-37,1.28176406759984e-37,1.06292269549637e-37,8.79749566638753e-38,7.26758205499748e-38,5.99243496907798e-38,4.93182356953711e-38,4.05144726932096e-38,3.3221427898286e-38,2.71918153581037e-38,2.2216501257611e-38,1.81190680515682e-38,1.47510655744249e-38,1.19878796303549e-38,9.72515198086595e-39,7.87568977825655e-39,6.3668070596992e-39,5.13804569575441e-39,4.13922800526012e-39,3.32879797486303e-39,2.67241256062775e-39,2.14174883518091e-39,1.71349673446965e-39,1.36851083000853e-39,1.09109789663661e-39,8.68420064512122e-40,6.89996047601107e-40,5.47285345159154e-40,4.33342437227751e-40,3.42529861673771e-40,2.70280691448053e-40,2.12902349245374e-40,1.67414924743932e-40,1.31418218178659e-40,1.02982642912919e-40,8.05598971593551e-41,6.29099777101053e-41,4.90416715096212e-41,3.81641376098021e-41,2.96475944590601e-41,2.29914661621507e-41,1.77986255781267e-41,1.37546099894226e-41,1.06108835985971e-41,8.17138635860776e-42,6.28174583791705e-42,4.82064243598748e-42,3.69291211547389e-42,2.82404815137772e-42,2.15582696622044e-42,1.64283524826683e-42,1.24971819413317e-42,9.49003520663312e-43,7.19384228743399e-43,5.44366121185594e-43,4.11204732743885e-43,3.10071415028017e-43,2.33400488201793e-43,1.75379165992804e-43,1.31549826081378e-43,9.85005000033877e-44,7.36244946660043e-44,5.49340759277496e-44,4.09163425932577e-44,3.04219584392284e-44,2.25794216713708e-44,1.67291415392934e-44,1.23728462093546e-44,9.13483319429411e-45,6.73234885459351e-45,4.95299089927e-45,3.6375027010829e-45,2.66669870451766e-45,1.95154857536854e-45,1.42567172089148e-45,1.03966739928096e-45,7.56839881941204e-46,5.49981725207155e-46,3.98957976160357e-46,2.88895427529519e-46,2.08828028665111e-46,1.50685511876866e-46,1.08539740919375e-46,7.80441984334295e-47,5.60179250218959e-47,4.01372811742174e-47,2.87080315026919e-47,2.04971462470393e-47,1.4608912933303e-47,1.03938611453835e-47,7.38193852009218e-48,5.23357479798474e-48,3.70391439727876e-48,2.61672411320247e-48,1.8453953352115e-48,1.29913829238727e-48,9.12968576864721e-49,6.40458146656825e-49,4.48497632252585e-49,3.13519118285784e-49,2.18777359305316e-49,1.5239657047609e-49,1.05969889408292e-49,7.35570386853975e-50,5.0968336540355e-50,3.52542231339571e-50,2.43420025559363e-50,1.6777835158113e-50,1.1543832236968e-50,7.92863734336699e-51,5.43602647919004e-51,3.72048052801896e-51,2.54185615701417e-51,1.73355396782247e-51,1.18020710210564e-51,8.02072344644495e-52,5.44130814965227e-52,3.68491573523638e-52,2.49107189041209e-52,1.6810453175346e-52,1.13241872350102e-52,7.61498621246523e-53,5.11170357016039e-53,3.42528458539485e-53,2.29119534748481e-53,1.52989644941042e-53,1.0197563397087e-53,6.78524057392038e-54,4.50680270111535e-54,2.98817687536549e-54,1.97778242875559e-54,1.30672796889348e-54,8.61839347869912e-55,5.67416432072834e-55,3.7291680762927e-55,2.44656335075985e-55,1.60226900851477e-55,1.04748752162602e-55,6.83591639128549e-56,4.4532705971775e-56,2.89598219166904e-56,1.87995367297801e-56,1.21824003105672e-56,7.88048676193668e-57,5.08870974755043e-57,3.28017319213882e-57,2.11066995657484e-57,1.35574602721575e-57,8.69302264907029e-58,5.56413604894811e-58,3.55515981421531e-58,2.26754009279808e-58,1.44372766839714e-58,9.17592897160228e-59,5.82169253800335e-59,3.68708326966538e-59,2.33104729504675e-59,1.47113891201079e-59,9.26810059922815e-60,5.82857318517521e-60,3.65904901663236e-60,2.29302431118425e-60,1.43444383956668e-60,8.95762544120732e-61,5.58388809561018e-61,3.47468126196169e-61,2.1583789499665e-61,1.33836595277183e-61,8.28431342683967e-62,5.11885257275832e-62,3.157353294755e-62,1.9440534333395e-62,1.19488930322294e-62,7.33131040130261e-63,4.49024461102283e-63,2.74531922652591e-63,1.67552210350965e-63,1.02080298132006e-63,6.20823512482286e-64,3.76902347132575e-64,2.28414666176441e-64,1.38182672650849e-64,8.34483298858415e-65,5.03055809398459e-65,3.02725598624792e-65,1.8185137248615e-65,1.09048194187318e-65,6.52761950844174e-66,3.90054815306988e-66,2.32664923596329e-66,1.38538551766186e-66,8.23464404655684e-67,4.88600016232102e-67,2.89398703856807e-67,1.71109508902493e-67,1.00991812487192e-67,5.95021483882695e-68,3.49956113998192e-68,2.05460803685925e-68,1.20414514314156e-68,7.04471053117113e-69,4.11416708477361e-69,2.39847478204392e-69,1.39579888278077e-69,8.10858352549862e-70,4.70220546074104e-70,2.72202849267737e-70,1.57296185418676e-70,9.07356956200938e-71,5.22483540847478e-71,3.003319344143e-71,1.72331580584783e-71,9.87103490708259e-72,5.6441034159923e-72,3.22152641070671e-72,1.83553592162335e-72,1.04399528822727e-72,5.92746021413388e-73,3.3594889360621e-73,1.90069416381516e-73,1.07345965310976e-73,6.05192683312508e-74,3.40593276439094e-74,1.91343154951222e-74,1.07306060037988e-74,6.00717143634957e-75,3.35699165720307e-75,1.87268596700719e-75,1.04283142245141e-75,5.79692551313957e-76,3.21673874221234e-76,1.78183841583147e-76,9.85270102807139e-77,5.43847015973743e-77,2.99662676180766e-77,1.64824974043237e-77,9.04998453014247e-78,4.96029055040995e-78,2.71394382433401e-78,1.48227590950416e-78,8.08149493770841e-79,4.39834020764092e-79,2.38957348430596e-79,1.29594455386839e-79,7.01595685844954e-80,3.79159426159766e-80,2.04546128204522e-80,1.1015269517073e-80,5.92152341275766e-81,3.17765125711784e-81,1.70221131202143e-81,9.10238437304822e-82,4.85882578872776e-82,2.58905897687039e-82,1.37716830030536e-82,7.31251129907929e-83,3.87597119873381e-83,2.05082683202175e-83,1.0832081003453e-83,5.71122494355377e-84,3.00594542148097e-84,1.57930996114649e-84,8.28300868647875e-85,4.33653960940915e-85,2.2663812928618e-85,1.18238005317341e-85,6.15765951070314e-86,3.20116975957321e-86,1.66125460916072e-86,8.60593676680526e-87,4.45035403160537e-87,2.29734082294844e-87,1.18383385940223e-87,6.08962491057958e-88,3.12697772498644e-88,1.60285224737537e-88,8.20156350309262e-89,4.18923064525602e-89,2.13602509316821e-89,1.08720862052795e-89,5.52400270751025e-90,2.80174971724238e-90,1.41853236585322e-90,7.16941335216293e-91,3.61711610982969e-91,1.82169530046807e-91,9.15848175418138e-92,4.59627166143445e-92,2.30262042803781e-92,1.1515252765417e-92,5.74855983324122e-93,2.86469965123353e-93,1.42506145303488e-93,7.07656579725727e-94,3.5078899790722e-94,1.73581659871278e-94,8.57425052533446e-95,4.22788298626833e-95,2.081058112064e-95,1.02253907978963e-95,5.0154520282218e-96,2.45569657857939e-96,1.20025573004136e-96,5.85608442720634e-97,2.85216948549171e-97,1.38668490362884e-97,6.7299944248587e-98,3.26051407913104e-98,1.57685556006482e-98,7.6125859000211e-99,3.66865571396448e-99,1.76488400296869e-99,8.47539279043661E-100,4.06291710083838E-100,1.94424300960219E-100,9.28747354467852E-101,4.42872885426964E-101,2.10811865935058E-101,1.0017179853208E-101,4.7514957918322E-102,2.24982990450393E-102,1.06341670848899E-102,5.01755027619916E-103,2.36327599966245E-103,1.11114724721106E-103,5.21510723949716E-104,2.44337052494349E-104,1.14274643808005E-104,5.33512845528767E-105,2.48641915719805E-105,1.156746687522E-105,5.37200792023852E-106,2.4904021499337E-106,1.15248897472161E-106,5.32400598151297E-107,2.45513144415073E-107,1.13017428347501E-107,5.19338538939085E-108,2.3822653895395E-108,1.09084787284522E-108,4.98623445662716E-109,2.27517947115299E-109,1.03631810102008E-109,4.71199657236704E-110,2.13870707612894E-110,9.69018582294858E-111,4.38275670523906E-111,1.97877802566247E-111,8.91828308027511E-112,4.01235994718043E-112,1.8019924956999E-112,8.07868227425931E-113,3.61545147287599E-113,1.61517284283572E-113,7.20294219509578E-114,3.20653004547219E-114,1.42493533580598E-114,6.32105337457363E-115,2.79909872996659E-115,1.23731829771348E-115,5.45982989479349E-116,2.40497877219704E-116,1.05749382755825E-116,4.64171951068406E-117,2.03382885311473E-117,8.89578695613304E-118,3.88408567803119E-118,1.69288589956563E-118,7.36547962582712E-119,3.19896019308702E-119,1.38691899994665E-119,6.00243987002154E-120,2.59321781861046E-120,1.1183677487997E-120,4.814650097509E-121,2.06908953865354E-121,8.87622490655713E-122,3.8011216545606E-122,1.62491145159714E-122,6.93397206875946E-123,2.95371735622109E-123,1.25600173841028E-123,5.33145815081098E-124,2.25910401359568E-124,9.55566483036721E-125,4.03478175087854E-125,1.70064491947109E-125,7.15552828281625E-126,3.00541339566285E-126,1.26008891612347E-126,5.27390890038036E-127,2.2034262266109E-127,9.1896477271067E-128,3.82590050158827E-128,1.59002128319292E-128,6.59639512978674E-129,2.73177449310406E-129,1.12932121693627E-129,4.66041496095433E-130,1.91984490957223E-130,7.89481875114408E-131,3.24080305678354E-131,1.32799846850337E-131,5.43221520836437E-132,2.21814952494445E-132,9.04147172349224E-133,3.67893315447989E-133,1.49430456711571E-133,6.05885848995738E-134,2.45231894524892E-134,9.90826368454389E-135,3.9962497009934E-135,1.60894847445012E-135,6.46645283649974E-136,2.59432601678909E-136,1.03900454183737E-136,4.1537925168314E-137,1.65770257357171E-137,6.60393640383295E-138,2.6262351606931E-138,1.04255457671942E-138,4.13141141672077E-139,1.63430289492042E-139,6.45358616928369E-140,2.54392401370021E-140,1.00101737363251E-140,3.93200040504722E-141,1.54177127913861E-141,6.03477117042588E-142,2.35795830444432E-142,9.19699380713359E-143,3.58088295098406E-143,1.39177430804173E-143,5.39985332792643E-144,2.0913637230705E-144,</v>
      </c>
      <c r="O24" s="31" t="s">
        <v>170</v>
      </c>
    </row>
    <row r="25" spans="1:15">
      <c r="A25" s="8"/>
      <c r="B25" s="3"/>
      <c r="C25" s="3"/>
      <c r="D25" s="3"/>
      <c r="H25" s="3" t="s">
        <v>104</v>
      </c>
      <c r="I25">
        <f>$D$8</f>
        <v>626.99282292543035</v>
      </c>
      <c r="J25">
        <f>$E$8</f>
        <v>0.54378773604345199</v>
      </c>
      <c r="M25" s="3" t="s">
        <v>174</v>
      </c>
      <c r="N25" s="3">
        <f>STupidExcelMean(N24)</f>
        <v>6.0978633386063669E+43</v>
      </c>
      <c r="O25" s="3">
        <f>STupidExcelVariance(N24,N25)</f>
        <v>6.8187542035070258E+99</v>
      </c>
    </row>
    <row r="26" spans="1:15">
      <c r="A26" s="33" t="s">
        <v>91</v>
      </c>
      <c r="B26" s="4">
        <f>B22+I6</f>
        <v>2.4555749510036843E+25</v>
      </c>
      <c r="C26" s="3"/>
      <c r="D26" s="3"/>
      <c r="H26" s="15" t="s">
        <v>58</v>
      </c>
      <c r="I26" s="14">
        <f>PRODUCT(I22:I25)</f>
        <v>7.1782326961446444E+27</v>
      </c>
      <c r="J26" s="14">
        <f>SUM(J22:J25)</f>
        <v>4.5326038702235341</v>
      </c>
      <c r="M26" s="3"/>
      <c r="N26" s="3"/>
      <c r="O26" s="3"/>
    </row>
    <row r="27" spans="1:15">
      <c r="A27" s="33" t="s">
        <v>92</v>
      </c>
      <c r="B27" s="4">
        <f>B23+I7</f>
        <v>7567.9357095192581</v>
      </c>
      <c r="D27" s="3"/>
      <c r="H27" s="3"/>
      <c r="I27" s="3"/>
      <c r="M27" s="3"/>
      <c r="N27" s="3"/>
      <c r="O27" s="3"/>
    </row>
    <row r="28" spans="1:15">
      <c r="D28" s="3"/>
      <c r="H28" s="3"/>
      <c r="I28" s="21"/>
      <c r="M28" s="3"/>
      <c r="N28" s="3"/>
      <c r="O28" s="3"/>
    </row>
    <row r="29" spans="1:15">
      <c r="H29" s="1" t="s">
        <v>90</v>
      </c>
      <c r="M29" s="3"/>
      <c r="N29" s="3"/>
      <c r="O29" s="3"/>
    </row>
    <row r="30" spans="1:15">
      <c r="I30" s="7" t="s">
        <v>179</v>
      </c>
      <c r="J30" s="7" t="s">
        <v>181</v>
      </c>
      <c r="M30" s="3"/>
      <c r="N30" s="21"/>
      <c r="O30" s="3"/>
    </row>
    <row r="31" spans="1:15">
      <c r="H31" s="3" t="s">
        <v>149</v>
      </c>
      <c r="I31" s="25">
        <f>VLOOKUP(H31,$A$10:$E$13,4,FALSE)</f>
        <v>2.2360679774997897E-2</v>
      </c>
      <c r="J31" s="25">
        <f>VLOOKUP(H31,$A$10:$E$13,5,FALSE)</f>
        <v>0.50759954989056688</v>
      </c>
      <c r="M31" s="13"/>
      <c r="N31" s="3"/>
      <c r="O31" s="3"/>
    </row>
    <row r="32" spans="1:15">
      <c r="H32" s="3" t="s">
        <v>206</v>
      </c>
      <c r="I32">
        <f>VLOOKUP($H32,'EV of Far Future'!$K$3:$N$14,2,FALSE)</f>
        <v>1.6190861620062103E+40</v>
      </c>
      <c r="J32">
        <f>VLOOKUP($H32,'EV of Far Future'!$K$3:$N$14,3,FALSE)</f>
        <v>4.1513686573257056</v>
      </c>
      <c r="M32" s="3"/>
      <c r="N32" s="29"/>
      <c r="O32" s="29"/>
    </row>
    <row r="33" spans="2:15">
      <c r="B33" s="3"/>
      <c r="H33" s="3" t="s">
        <v>72</v>
      </c>
      <c r="I33">
        <f>1/factory_farmed_animals</f>
        <v>5.0000000000000002E-11</v>
      </c>
      <c r="J33">
        <v>0</v>
      </c>
      <c r="M33" s="3"/>
      <c r="N33" s="25"/>
      <c r="O33" s="3"/>
    </row>
    <row r="34" spans="2:15">
      <c r="B34" s="3"/>
      <c r="H34" s="3" t="s">
        <v>104</v>
      </c>
      <c r="I34">
        <f>$D$8</f>
        <v>626.99282292543035</v>
      </c>
      <c r="J34">
        <f>$E$8</f>
        <v>0.54378773604345199</v>
      </c>
      <c r="M34" s="3"/>
      <c r="N34" s="3"/>
      <c r="O34" s="3"/>
    </row>
    <row r="35" spans="2:15">
      <c r="H35" s="15" t="s">
        <v>58</v>
      </c>
      <c r="I35" s="14">
        <f>PRODUCT(I31:I34)</f>
        <v>1.1349782447254221E+31</v>
      </c>
      <c r="J35" s="14">
        <f>SUM(J31:J34)</f>
        <v>5.2027559432597243</v>
      </c>
      <c r="M35" s="3"/>
      <c r="N35" s="3"/>
      <c r="O35" s="3"/>
    </row>
    <row r="36" spans="2:15">
      <c r="H36" s="3"/>
      <c r="I36" s="3"/>
      <c r="M36" s="3"/>
      <c r="N36" s="3"/>
      <c r="O36" s="3"/>
    </row>
    <row r="37" spans="2:15">
      <c r="H37" s="3"/>
      <c r="I37" s="21"/>
      <c r="M37" s="3"/>
      <c r="N37" s="3"/>
      <c r="O37" s="3"/>
    </row>
    <row r="38" spans="2:15">
      <c r="M38" s="3"/>
      <c r="N38" s="3"/>
      <c r="O38" s="3"/>
    </row>
    <row r="39" spans="2:15">
      <c r="M39" s="3"/>
      <c r="N39" s="3"/>
      <c r="O39" s="3"/>
    </row>
    <row r="40" spans="2:15">
      <c r="M40" s="3"/>
      <c r="N40" s="3"/>
      <c r="O40" s="3"/>
    </row>
    <row r="41" spans="2:15">
      <c r="M41" s="3"/>
      <c r="N41" s="3"/>
      <c r="O41" s="3"/>
    </row>
    <row r="42" spans="2:15">
      <c r="M42" s="3"/>
      <c r="N42" s="3"/>
      <c r="O42" s="3"/>
    </row>
    <row r="43" spans="2:15">
      <c r="M43" s="3"/>
      <c r="N43" s="3"/>
      <c r="O43" s="3"/>
    </row>
    <row r="44" spans="2:15">
      <c r="M44" s="3"/>
      <c r="N44" s="3"/>
      <c r="O44" s="3"/>
    </row>
    <row r="45" spans="2:15">
      <c r="N45" s="2"/>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O32"/>
  <sheetViews>
    <sheetView workbookViewId="0">
      <selection activeCell="E19" sqref="E19"/>
    </sheetView>
  </sheetViews>
  <sheetFormatPr baseColWidth="10" defaultRowHeight="15" x14ac:dyDescent="0"/>
  <cols>
    <col min="1" max="1" width="21.6640625" style="5" customWidth="1"/>
    <col min="2" max="2" width="12.83203125" bestFit="1" customWidth="1"/>
    <col min="3" max="3" width="12.1640625" bestFit="1" customWidth="1"/>
    <col min="4" max="4" width="12.83203125" bestFit="1" customWidth="1"/>
    <col min="7" max="7" width="21.6640625" style="5" customWidth="1"/>
    <col min="10" max="10" width="12.1640625" bestFit="1" customWidth="1"/>
    <col min="13" max="13" width="21.6640625" customWidth="1"/>
    <col min="14" max="15" width="12.1640625" bestFit="1" customWidth="1"/>
  </cols>
  <sheetData>
    <row r="1" spans="1:15" ht="20">
      <c r="A1" s="32" t="s">
        <v>119</v>
      </c>
      <c r="B1" t="s">
        <v>136</v>
      </c>
      <c r="G1" s="109" t="s">
        <v>116</v>
      </c>
      <c r="H1" t="s">
        <v>136</v>
      </c>
      <c r="M1" s="1"/>
    </row>
    <row r="2" spans="1:15">
      <c r="A2" s="57"/>
      <c r="B2" s="44" t="s">
        <v>0</v>
      </c>
      <c r="C2" s="44" t="s">
        <v>1</v>
      </c>
      <c r="D2" s="44" t="s">
        <v>179</v>
      </c>
      <c r="E2" s="44" t="s">
        <v>181</v>
      </c>
      <c r="H2" s="44" t="s">
        <v>0</v>
      </c>
      <c r="I2" s="44" t="s">
        <v>1</v>
      </c>
      <c r="J2" s="44" t="s">
        <v>179</v>
      </c>
      <c r="K2" s="44" t="s">
        <v>181</v>
      </c>
    </row>
    <row r="3" spans="1:15">
      <c r="A3" s="94" t="s">
        <v>112</v>
      </c>
      <c r="B3" s="95">
        <v>70000</v>
      </c>
      <c r="C3" s="95">
        <v>150000</v>
      </c>
      <c r="D3" s="44"/>
      <c r="E3" s="44"/>
      <c r="G3" s="42" t="s">
        <v>106</v>
      </c>
      <c r="H3" s="43">
        <v>0.03</v>
      </c>
      <c r="I3" s="43">
        <v>0.3</v>
      </c>
      <c r="J3" s="44">
        <f>GEOMEAN(H3,I3)</f>
        <v>9.4868329805051374E-2</v>
      </c>
      <c r="K3" s="44">
        <f>LogVariance(H3,I3)</f>
        <v>0.39015207303618948</v>
      </c>
      <c r="L3" t="s">
        <v>226</v>
      </c>
    </row>
    <row r="4" spans="1:15" ht="30">
      <c r="A4" s="57" t="s">
        <v>113</v>
      </c>
      <c r="B4" s="44">
        <f>1/C3</f>
        <v>6.6666666666666666E-6</v>
      </c>
      <c r="C4" s="44">
        <f>1/B3</f>
        <v>1.4285714285714285E-5</v>
      </c>
      <c r="D4" s="44">
        <f>GEOMEAN(B4,C4)</f>
        <v>9.7590007294853309E-6</v>
      </c>
      <c r="E4" s="44">
        <f>LogVariance(B4,C4)</f>
        <v>0.12913769056993327</v>
      </c>
      <c r="G4" s="46" t="s">
        <v>110</v>
      </c>
      <c r="H4" s="47">
        <v>200</v>
      </c>
      <c r="I4" s="47">
        <v>10000</v>
      </c>
      <c r="J4" s="44"/>
      <c r="K4" s="44"/>
      <c r="L4" t="s">
        <v>247</v>
      </c>
    </row>
    <row r="5" spans="1:15" ht="30">
      <c r="G5" s="90" t="s">
        <v>144</v>
      </c>
      <c r="H5" s="89">
        <f>1/I4</f>
        <v>1E-4</v>
      </c>
      <c r="I5" s="89">
        <f>1/H4</f>
        <v>5.0000000000000001E-3</v>
      </c>
      <c r="J5" s="44">
        <f>GEOMEAN(H5,I5)</f>
        <v>7.0710678118654762E-4</v>
      </c>
      <c r="K5" s="44">
        <f>LogVariance(H5,I5)</f>
        <v>0.66285666921800146</v>
      </c>
    </row>
    <row r="6" spans="1:15" ht="30">
      <c r="G6" s="46" t="s">
        <v>107</v>
      </c>
      <c r="H6" s="47">
        <v>0.5</v>
      </c>
      <c r="I6" s="47">
        <v>3</v>
      </c>
      <c r="J6" s="44">
        <f>GEOMEAN(H6,I6)</f>
        <v>1.2247448713915889</v>
      </c>
      <c r="K6" s="44">
        <f>LogVariance(H6,I6)</f>
        <v>0.30359732347288149</v>
      </c>
    </row>
    <row r="7" spans="1:15" ht="30">
      <c r="G7" s="46" t="s">
        <v>108</v>
      </c>
      <c r="H7" s="47">
        <v>0.1</v>
      </c>
      <c r="I7" s="47">
        <v>0.7</v>
      </c>
      <c r="J7" s="44">
        <f>GEOMEAN(H7,I7)</f>
        <v>0.26457513110645903</v>
      </c>
      <c r="K7" s="44">
        <f>LogVariance(H7,I7)</f>
        <v>0.32971675223038288</v>
      </c>
      <c r="M7" s="25"/>
      <c r="N7" s="3"/>
      <c r="O7" s="3"/>
    </row>
    <row r="8" spans="1:15">
      <c r="G8" s="63" t="s">
        <v>120</v>
      </c>
      <c r="H8" s="91"/>
      <c r="I8" s="91"/>
      <c r="J8" s="44">
        <f>J3*J5*J6*J7*D4*1000</f>
        <v>2.1213203435596419E-7</v>
      </c>
      <c r="K8" s="44">
        <f>K3+K5+K6+K7+E4</f>
        <v>1.8154605085273885</v>
      </c>
      <c r="M8" s="3"/>
      <c r="N8" s="3"/>
      <c r="O8" s="3"/>
    </row>
    <row r="9" spans="1:15" ht="20">
      <c r="A9" s="32" t="s">
        <v>65</v>
      </c>
      <c r="G9" s="57"/>
      <c r="H9" s="44"/>
      <c r="I9" s="44"/>
      <c r="J9" s="44"/>
      <c r="K9" s="44"/>
      <c r="M9" s="3"/>
      <c r="N9" s="3" t="s">
        <v>162</v>
      </c>
      <c r="O9" s="3"/>
    </row>
    <row r="10" spans="1:15">
      <c r="A10" s="10" t="s">
        <v>128</v>
      </c>
      <c r="G10" s="57"/>
      <c r="H10" s="44"/>
      <c r="I10" s="44"/>
      <c r="J10" s="44"/>
      <c r="K10" s="44"/>
      <c r="M10" s="3"/>
      <c r="O10" s="3"/>
    </row>
    <row r="11" spans="1:15">
      <c r="A11" s="37" t="s">
        <v>193</v>
      </c>
      <c r="B11" s="38">
        <f>ParetoPosterior(median,alpha,H26:I26)</f>
        <v>2.3746714983047666E+25</v>
      </c>
      <c r="G11" s="108" t="s">
        <v>117</v>
      </c>
      <c r="H11" s="54" t="s">
        <v>136</v>
      </c>
      <c r="I11" s="44"/>
      <c r="J11" s="44"/>
      <c r="K11" s="44"/>
      <c r="M11" s="3"/>
      <c r="N11" s="3"/>
      <c r="O11" s="3"/>
    </row>
    <row r="12" spans="1:15" ht="30">
      <c r="A12" s="37" t="s">
        <v>194</v>
      </c>
      <c r="B12" s="38">
        <f>LognormPosterior(mu_far_future,sigma_far_future,H26:I26)</f>
        <v>5097.3131733044966</v>
      </c>
      <c r="G12" s="82"/>
      <c r="H12" s="77" t="s">
        <v>0</v>
      </c>
      <c r="I12" s="77" t="s">
        <v>1</v>
      </c>
      <c r="J12" s="44" t="s">
        <v>179</v>
      </c>
      <c r="K12" s="44" t="s">
        <v>181</v>
      </c>
      <c r="M12" s="3"/>
      <c r="N12" s="26"/>
      <c r="O12" s="26"/>
    </row>
    <row r="13" spans="1:15">
      <c r="A13" s="35"/>
      <c r="B13" s="34"/>
      <c r="G13" s="42" t="s">
        <v>109</v>
      </c>
      <c r="H13" s="50">
        <v>1000000</v>
      </c>
      <c r="I13" s="50">
        <v>1000000000</v>
      </c>
      <c r="J13" s="44">
        <f>GEOMEAN(H13,I13)</f>
        <v>31622776.601683792</v>
      </c>
      <c r="K13" s="44">
        <f>LogVariance(H13,I13)</f>
        <v>1.1704562191085683</v>
      </c>
      <c r="M13" s="3"/>
      <c r="N13" s="3"/>
      <c r="O13" s="3"/>
    </row>
    <row r="14" spans="1:15">
      <c r="G14" s="46" t="s">
        <v>111</v>
      </c>
      <c r="H14" s="47">
        <v>2000</v>
      </c>
      <c r="I14" s="47">
        <v>2000</v>
      </c>
      <c r="J14" s="44">
        <f>GEOMEAN(H14,I14)</f>
        <v>2000</v>
      </c>
      <c r="K14" s="44">
        <f>LogVariance(H14,I14)</f>
        <v>0</v>
      </c>
      <c r="M14" s="3"/>
      <c r="N14" s="3"/>
      <c r="O14" s="3"/>
    </row>
    <row r="15" spans="1:15">
      <c r="A15" s="22"/>
      <c r="B15" s="3"/>
      <c r="G15" s="88" t="s">
        <v>121</v>
      </c>
      <c r="H15" s="92">
        <f>1/I13</f>
        <v>1.0000000000000001E-9</v>
      </c>
      <c r="I15" s="92">
        <f>1/H13</f>
        <v>9.9999999999999995E-7</v>
      </c>
      <c r="J15" s="44">
        <f>GEOMEAN(H15,I15)</f>
        <v>3.1622776601683792E-8</v>
      </c>
      <c r="K15" s="44">
        <f>LogVariance(H15,I15)</f>
        <v>1.1704562191085683</v>
      </c>
      <c r="M15" s="25"/>
      <c r="N15" s="3"/>
      <c r="O15" s="3"/>
    </row>
    <row r="16" spans="1:15">
      <c r="A16" s="8"/>
      <c r="B16" s="3"/>
      <c r="G16" s="93" t="s">
        <v>120</v>
      </c>
      <c r="H16" s="91"/>
      <c r="I16" s="91"/>
      <c r="J16" s="44">
        <f>J14*J15*D4*1000</f>
        <v>6.1721339984836745E-7</v>
      </c>
      <c r="K16" s="44">
        <f>K14+K15+E4</f>
        <v>1.2995939096785016</v>
      </c>
      <c r="M16" s="3"/>
      <c r="O16" s="3"/>
    </row>
    <row r="17" spans="1:15">
      <c r="A17" s="8"/>
      <c r="B17" s="3"/>
      <c r="M17" s="3"/>
      <c r="O17" s="3"/>
    </row>
    <row r="18" spans="1:15">
      <c r="A18" s="8"/>
      <c r="B18" s="3"/>
      <c r="M18" s="3"/>
      <c r="N18" s="3"/>
      <c r="O18" s="3"/>
    </row>
    <row r="19" spans="1:15">
      <c r="A19" s="8"/>
      <c r="B19" s="3"/>
      <c r="G19" s="10" t="s">
        <v>123</v>
      </c>
      <c r="M19" s="3"/>
      <c r="N19" s="3"/>
      <c r="O19" s="3"/>
    </row>
    <row r="20" spans="1:15">
      <c r="A20" s="22"/>
      <c r="B20" s="3"/>
      <c r="G20" s="5" t="s">
        <v>120</v>
      </c>
      <c r="J20">
        <f>GEOMEAN(J8,J16)</f>
        <v>3.6184352162446591E-7</v>
      </c>
      <c r="K20">
        <f>MAX(K8,K16)</f>
        <v>1.8154605085273885</v>
      </c>
      <c r="L20" t="s">
        <v>122</v>
      </c>
      <c r="M20" s="3"/>
      <c r="N20" s="3"/>
      <c r="O20" s="3"/>
    </row>
    <row r="21" spans="1:15">
      <c r="A21" s="8"/>
      <c r="B21" s="3"/>
    </row>
    <row r="22" spans="1:15">
      <c r="A22" s="8"/>
      <c r="B22" s="3"/>
    </row>
    <row r="23" spans="1:15">
      <c r="H23" s="7" t="s">
        <v>179</v>
      </c>
      <c r="I23" s="7" t="s">
        <v>180</v>
      </c>
    </row>
    <row r="24" spans="1:15">
      <c r="G24" s="5" t="s">
        <v>120</v>
      </c>
      <c r="H24">
        <f>J20</f>
        <v>3.6184352162446591E-7</v>
      </c>
      <c r="I24">
        <f>K20</f>
        <v>1.8154605085273885</v>
      </c>
      <c r="J24" s="3"/>
      <c r="K24" s="3"/>
      <c r="L24" s="3"/>
      <c r="M24" s="3"/>
    </row>
    <row r="25" spans="1:15">
      <c r="G25" s="8" t="s">
        <v>118</v>
      </c>
      <c r="H25">
        <f>'EV of Far Future'!L19</f>
        <v>3.9633594949292156E+46</v>
      </c>
      <c r="I25">
        <f>'EV of Far Future'!M19</f>
        <v>4.6038378589556039</v>
      </c>
      <c r="J25" s="3"/>
      <c r="K25" s="3"/>
      <c r="L25" s="3"/>
      <c r="M25" s="3"/>
    </row>
    <row r="26" spans="1:15">
      <c r="G26" s="16" t="s">
        <v>58</v>
      </c>
      <c r="H26" s="14">
        <f>PRODUCT(H24:H25)</f>
        <v>1.4341159571089519E+40</v>
      </c>
      <c r="I26" s="14">
        <f>SUM(I24:I25)</f>
        <v>6.4192983674829929</v>
      </c>
      <c r="J26" s="3"/>
      <c r="K26" s="3"/>
      <c r="L26" s="3"/>
      <c r="M26" s="3"/>
    </row>
    <row r="27" spans="1:15">
      <c r="G27" s="8"/>
      <c r="H27" s="3"/>
      <c r="I27" s="3"/>
      <c r="J27" s="3"/>
      <c r="K27" s="3"/>
      <c r="L27" s="3"/>
      <c r="M27" s="3"/>
    </row>
    <row r="28" spans="1:15">
      <c r="G28" s="8"/>
      <c r="H28" s="3"/>
      <c r="I28" s="3"/>
      <c r="J28" s="3"/>
      <c r="K28" s="3"/>
      <c r="L28" s="3"/>
      <c r="M28" s="3"/>
    </row>
    <row r="29" spans="1:15">
      <c r="G29" s="8"/>
      <c r="H29" s="3"/>
      <c r="I29" s="3"/>
      <c r="J29" s="3"/>
      <c r="K29" s="3"/>
      <c r="L29" s="3"/>
      <c r="M29" s="3"/>
    </row>
    <row r="30" spans="1:15">
      <c r="G30" s="8"/>
      <c r="H30" s="3"/>
      <c r="I30" s="3"/>
      <c r="J30" s="3"/>
      <c r="K30" s="3"/>
      <c r="L30" s="3"/>
      <c r="M30" s="3"/>
    </row>
    <row r="31" spans="1:15">
      <c r="G31" s="8"/>
      <c r="H31" s="3"/>
      <c r="I31" s="3"/>
      <c r="J31" s="3"/>
      <c r="K31" s="3"/>
      <c r="L31" s="3"/>
      <c r="M31" s="3"/>
    </row>
    <row r="32" spans="1:15">
      <c r="G32" s="8"/>
      <c r="H32" s="3"/>
      <c r="I32" s="3"/>
      <c r="J32" s="3"/>
      <c r="K32" s="3"/>
      <c r="L32" s="3"/>
      <c r="M32" s="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L24"/>
  <sheetViews>
    <sheetView workbookViewId="0">
      <selection activeCell="I17" sqref="I17"/>
    </sheetView>
  </sheetViews>
  <sheetFormatPr baseColWidth="10" defaultRowHeight="15" x14ac:dyDescent="0"/>
  <cols>
    <col min="1" max="1" width="21.6640625" customWidth="1"/>
    <col min="2" max="2" width="12.1640625" bestFit="1" customWidth="1"/>
    <col min="4" max="4" width="12.1640625" bestFit="1" customWidth="1"/>
    <col min="8" max="8" width="21.6640625" customWidth="1"/>
    <col min="9" max="9" width="12.83203125" bestFit="1" customWidth="1"/>
    <col min="10" max="10" width="12.1640625" bestFit="1" customWidth="1"/>
    <col min="12" max="12" width="12.1640625" bestFit="1" customWidth="1"/>
  </cols>
  <sheetData>
    <row r="1" spans="1:10" ht="20">
      <c r="A1" s="6" t="s">
        <v>135</v>
      </c>
      <c r="H1" s="1" t="s">
        <v>154</v>
      </c>
    </row>
    <row r="2" spans="1:10">
      <c r="B2" s="44" t="s">
        <v>0</v>
      </c>
      <c r="C2" s="44" t="s">
        <v>1</v>
      </c>
      <c r="D2" s="44" t="s">
        <v>179</v>
      </c>
      <c r="E2" s="44" t="s">
        <v>181</v>
      </c>
      <c r="I2" t="s">
        <v>179</v>
      </c>
      <c r="J2" s="44" t="s">
        <v>181</v>
      </c>
    </row>
    <row r="3" spans="1:10">
      <c r="A3" s="97" t="s">
        <v>138</v>
      </c>
      <c r="B3" s="43">
        <v>0.1</v>
      </c>
      <c r="C3" s="43">
        <v>0.5</v>
      </c>
      <c r="D3" s="77">
        <f>GEOMEAN(B3,C3)</f>
        <v>0.22360679774997896</v>
      </c>
      <c r="E3" s="77">
        <f>LogVariance(B3,C3)</f>
        <v>0.27270459618181209</v>
      </c>
      <c r="H3" t="s">
        <v>203</v>
      </c>
      <c r="I3">
        <f>VLOOKUP(H3,'EV of Far Future'!$K$3:$M$14,2,FALSE)</f>
        <v>6.3245553203367595E+46</v>
      </c>
      <c r="J3">
        <f>VLOOKUP(H3,'EV of Far Future'!$K$3:$M$14,3,FALSE)</f>
        <v>4.5113686573257059</v>
      </c>
    </row>
    <row r="4" spans="1:10" ht="30">
      <c r="A4" s="98" t="s">
        <v>143</v>
      </c>
      <c r="B4" s="47">
        <v>0.2</v>
      </c>
      <c r="C4" s="47">
        <v>0.8</v>
      </c>
      <c r="D4" s="77">
        <f>GEOMEAN(B4,C4)</f>
        <v>0.4</v>
      </c>
      <c r="E4" s="77">
        <f>LogVariance(B4,C4)</f>
        <v>0.23489495370875477</v>
      </c>
      <c r="H4" t="s">
        <v>204</v>
      </c>
      <c r="I4">
        <f>VLOOKUP(H4,'EV of Far Future'!$K$3:$M$14,2,FALSE)</f>
        <v>1.2649110640673518E+46</v>
      </c>
      <c r="J4">
        <f>VLOOKUP(H4,'EV of Far Future'!$K$3:$M$14,3,FALSE)</f>
        <v>4.5113686573257059</v>
      </c>
    </row>
    <row r="5" spans="1:10" ht="30" customHeight="1">
      <c r="A5" s="116" t="s">
        <v>243</v>
      </c>
      <c r="B5" s="117">
        <v>0.1</v>
      </c>
      <c r="C5" s="117">
        <v>0.6</v>
      </c>
      <c r="D5" s="77">
        <f>GEOMEAN(B5,C5)</f>
        <v>0.2449489742783178</v>
      </c>
      <c r="E5" s="77">
        <f>LogVariance(B5,C5)</f>
        <v>0.30359732347288149</v>
      </c>
      <c r="H5" t="s">
        <v>208</v>
      </c>
      <c r="I5">
        <f>VLOOKUP(H5,'EV of Far Future'!$K$3:$M$14,2,FALSE)</f>
        <v>1.517893276880822E+34</v>
      </c>
      <c r="J5">
        <f>VLOOKUP(H5,'EV of Far Future'!$K$3:$M$14,3,FALSE)</f>
        <v>2.8210645112533266</v>
      </c>
    </row>
    <row r="6" spans="1:10" ht="45">
      <c r="A6" s="46" t="s">
        <v>244</v>
      </c>
      <c r="B6" s="47">
        <v>5000</v>
      </c>
      <c r="C6" s="47">
        <v>100000</v>
      </c>
      <c r="D6" s="44"/>
      <c r="E6" s="44"/>
      <c r="F6" t="s">
        <v>246</v>
      </c>
      <c r="H6" t="s">
        <v>205</v>
      </c>
      <c r="I6">
        <f>VLOOKUP(H6,'EV of Far Future'!$K$3:$M$14,2,FALSE)</f>
        <v>5.1200000000000003E+36</v>
      </c>
      <c r="J6">
        <f>VLOOKUP(H6,'EV of Far Future'!$K$3:$M$14,3,FALSE)</f>
        <v>3.4812165842895157</v>
      </c>
    </row>
    <row r="7" spans="1:10" ht="30">
      <c r="A7" s="90" t="s">
        <v>245</v>
      </c>
      <c r="B7" s="89">
        <f>1/C6</f>
        <v>1.0000000000000001E-5</v>
      </c>
      <c r="C7" s="89">
        <f>1/B6</f>
        <v>2.0000000000000001E-4</v>
      </c>
      <c r="D7" s="77">
        <f>GEOMEAN(B7,C7)</f>
        <v>4.4721359549995795E-5</v>
      </c>
      <c r="E7" s="77">
        <f>LogVariance(B7,C7)</f>
        <v>0.50759954989056688</v>
      </c>
      <c r="H7" t="s">
        <v>206</v>
      </c>
      <c r="I7">
        <f>VLOOKUP(H7,'EV of Far Future'!$K$3:$M$14,2,FALSE)</f>
        <v>1.6190861620062103E+40</v>
      </c>
      <c r="J7">
        <f>VLOOKUP(H7,'EV of Far Future'!$K$3:$M$14,3,FALSE)</f>
        <v>4.1513686573257056</v>
      </c>
    </row>
    <row r="8" spans="1:10" ht="30">
      <c r="A8" s="46" t="s">
        <v>141</v>
      </c>
      <c r="B8" s="47">
        <v>0.5</v>
      </c>
      <c r="C8" s="47">
        <v>5</v>
      </c>
      <c r="D8" s="77">
        <f>GEOMEAN(B8,C8)</f>
        <v>1.5811388300841898</v>
      </c>
      <c r="E8" s="77">
        <f>LogVariance(B8,C8)</f>
        <v>0.39015207303618948</v>
      </c>
      <c r="H8" t="s">
        <v>207</v>
      </c>
      <c r="I8">
        <f>VLOOKUP(H8,'EV of Far Future'!$K$3:$M$14,2,FALSE)</f>
        <v>3.8399999999999992E+38</v>
      </c>
      <c r="J8">
        <f>VLOOKUP(H8,'EV of Far Future'!$K$3:$M$14,3,FALSE)</f>
        <v>5.3218248764342739</v>
      </c>
    </row>
    <row r="9" spans="1:10" ht="45">
      <c r="A9" s="46" t="s">
        <v>142</v>
      </c>
      <c r="B9" s="47">
        <v>1000</v>
      </c>
      <c r="C9" s="47">
        <v>100000</v>
      </c>
      <c r="D9" s="77"/>
      <c r="E9" s="77"/>
    </row>
    <row r="10" spans="1:10">
      <c r="A10" s="88" t="s">
        <v>146</v>
      </c>
      <c r="B10" s="89">
        <f>1000/C9</f>
        <v>0.01</v>
      </c>
      <c r="C10" s="89">
        <f>1000/B9</f>
        <v>1</v>
      </c>
      <c r="D10" s="77">
        <f>GEOMEAN(B10,C10)</f>
        <v>0.1</v>
      </c>
      <c r="E10" s="77">
        <f>LogVariance(B10,C10)</f>
        <v>0.78030414607237897</v>
      </c>
      <c r="H10" s="15" t="s">
        <v>202</v>
      </c>
      <c r="I10" s="14">
        <f t="shared" ref="I10:I15" si="0">D13*I3</f>
        <v>1.4142135623730952E+45</v>
      </c>
      <c r="J10" s="14">
        <f t="shared" ref="J10:J15" si="1">E13+J3</f>
        <v>4.7840732535075183</v>
      </c>
    </row>
    <row r="11" spans="1:10" ht="45">
      <c r="A11" s="88" t="s">
        <v>147</v>
      </c>
      <c r="B11" s="89"/>
      <c r="C11" s="89"/>
      <c r="D11" s="77">
        <f>PRODUCT(D3:D8)*D10</f>
        <v>1.5491933384829672E-7</v>
      </c>
      <c r="E11" s="77">
        <f>SUM(E3:E8)+E10</f>
        <v>2.489252642362584</v>
      </c>
      <c r="H11" s="15" t="s">
        <v>150</v>
      </c>
      <c r="I11" s="14">
        <f t="shared" si="0"/>
        <v>4.0000000000000004E+44</v>
      </c>
      <c r="J11" s="14">
        <f t="shared" si="1"/>
        <v>4.9015207303618951</v>
      </c>
    </row>
    <row r="12" spans="1:10">
      <c r="A12" s="88"/>
      <c r="B12" s="89"/>
      <c r="C12" s="89"/>
      <c r="D12" s="77"/>
      <c r="E12" s="77"/>
      <c r="H12" s="15" t="s">
        <v>214</v>
      </c>
      <c r="I12" s="14">
        <f t="shared" si="0"/>
        <v>1.517893276880822E+34</v>
      </c>
      <c r="J12" s="14">
        <f t="shared" si="1"/>
        <v>2.8210645112533266</v>
      </c>
    </row>
    <row r="13" spans="1:10" ht="45">
      <c r="A13" s="46" t="s">
        <v>197</v>
      </c>
      <c r="B13" s="47">
        <v>0.01</v>
      </c>
      <c r="C13" s="47">
        <v>0.05</v>
      </c>
      <c r="D13" s="77">
        <f t="shared" ref="D13:D18" si="2">GEOMEAN(B13,C13)</f>
        <v>2.2360679774997897E-2</v>
      </c>
      <c r="E13" s="77">
        <f t="shared" ref="E13:E18" si="3">LogVariance(B13,C13)</f>
        <v>0.27270459618181209</v>
      </c>
      <c r="H13" s="15" t="s">
        <v>151</v>
      </c>
      <c r="I13" s="14">
        <f t="shared" si="0"/>
        <v>1.0240000000000001E+36</v>
      </c>
      <c r="J13" s="14">
        <f t="shared" si="1"/>
        <v>3.7161115379982705</v>
      </c>
    </row>
    <row r="14" spans="1:10" ht="45">
      <c r="A14" s="46" t="s">
        <v>140</v>
      </c>
      <c r="B14" s="47">
        <v>0.01</v>
      </c>
      <c r="C14" s="47">
        <v>0.1</v>
      </c>
      <c r="D14" s="77">
        <f t="shared" si="2"/>
        <v>3.1622776601683791E-2</v>
      </c>
      <c r="E14" s="77">
        <f t="shared" si="3"/>
        <v>0.39015207303618948</v>
      </c>
      <c r="H14" s="15" t="s">
        <v>152</v>
      </c>
      <c r="I14" s="14">
        <f t="shared" si="0"/>
        <v>1.6190861620062104E+39</v>
      </c>
      <c r="J14" s="14">
        <f t="shared" si="1"/>
        <v>4.3862636110344599</v>
      </c>
    </row>
    <row r="15" spans="1:10" ht="60">
      <c r="A15" s="46" t="s">
        <v>213</v>
      </c>
      <c r="B15" s="47">
        <v>1</v>
      </c>
      <c r="C15" s="47">
        <v>1</v>
      </c>
      <c r="D15" s="77">
        <f t="shared" si="2"/>
        <v>1</v>
      </c>
      <c r="E15" s="77">
        <f t="shared" si="3"/>
        <v>0</v>
      </c>
      <c r="H15" s="15" t="s">
        <v>153</v>
      </c>
      <c r="I15" s="14">
        <f t="shared" si="0"/>
        <v>3.8399999999999994E+37</v>
      </c>
      <c r="J15" s="14">
        <f t="shared" si="1"/>
        <v>5.5567198301430283</v>
      </c>
    </row>
    <row r="16" spans="1:10" ht="30">
      <c r="A16" s="46" t="s">
        <v>148</v>
      </c>
      <c r="B16" s="47">
        <v>0.1</v>
      </c>
      <c r="C16" s="47">
        <v>0.4</v>
      </c>
      <c r="D16" s="77">
        <f t="shared" si="2"/>
        <v>0.2</v>
      </c>
      <c r="E16" s="77">
        <f t="shared" si="3"/>
        <v>0.23489495370875477</v>
      </c>
      <c r="H16" s="30" t="s">
        <v>191</v>
      </c>
      <c r="I16" s="31" t="str">
        <f>WriteArray(SumLognormDists(I10:J15))</f>
        <v>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1.38338380835549E-322,9.05128263181164E-321,5.51293269599038E-319,3.310477472712E-317,1.96117064663955E-315,1.14622569145884E-313,6.60929237979329E-312,3.75984534754052E-310,2.110159630188E-308,1.16839871770164E-306,6.38259647942113E-305,3.43980943674818E-303,1.82895147013018E-301,9.59402639350979E-300,4.96513076702849E-298,2.53507992440562E-296,1.2769795216731E-294,6.34611080895422E-293,3.11145082750065E-291,1.5050465675114E-289,7.18238649495886E-288,3.38157931275762E-286,1.57073345147405E-284,7.19809630853535E-283,3.25435702866889E-281,1.45159433022607E-279,6.38789829872868E-278,2.77334263662153E-276,1.18790582587478E-274,5.01988293179735E-273,2.09285145728499E-271,8.60828439654515E-270,3.49323934332031E-268,1.39853636521714E-266,5.52399173246264E-265,2.1526145166432E-263,8.27586984833201E-262,3.13902906913196E-260,1.17465810115283E-258,4.33672848530618E-257,1.57960231248757E-255,5.67633769591957E-254,2.01244391973825E-252,7.03905911501062E-251,2.42907468443544E-249,8.26994689766757E-248,2.77779595581133E-246,9.20521423312581E-245,3.00956391468554E-243,9.70754758278339E-242,3.08924212199883E-240,9.69909043631285E-239,3.00432485616367E-237,9.18120693544679E-236,2.76815145402088E-234,8.23412190455159E-233,2.41647494545277E-231,6.99656785379784E-230,1.99859936425203E-228,5.63254375144481E-227,1.56610808851604E-225,4.29613004096633E-224,1.16271113558388E-222,3.10459657327762E-221,8.1785751482069E-220,2.12563876747081E-218,5.45055621414246E-217,1.37889736591058E-215,3.44162091088628E-214,8.47489464089824E-213,2.05895088892092E-211,4.93512652820111E-210,1.16705531897962E-208,2.7228622105051E-207,6.26759876302098E-206,1.42337140678185E-204,3.18916545250701E-203,7.04981730211748E-202,1.53752048193016E-200,3.30831180568193E-199,7.02319425166283E-198,1.47097704043271E-196,3.03962722089128E-195,6.19695333856871E-194,1.2464643234405E-192,2.47357716672876E-191,4.84300949190733E-190,9.35512701318204E-189,1.78290759730166E-187,3.35237840096888E-186,6.21902865673367E-185,1.13825007169048E-183,2.05541111484596E-182,3.66189499280733E-181,6.43664463725925E-180,1.11624604220207E-178,1.90988571759527E-177,3.22405305455218E-176,5.36963335839548E-175,8.82338131064784E-174,1.43045347738019E-172,2.28802633288222E-171,3.61074825918835E-170,5.62189382141903E-169,8.63609941470569E-168,1.30888812201681E-166,1.95721104416612E-165,2.88750915314955E-164,4.20300599830542E-163,6.03598193057098E-162,8.55238987416244E-161,1.19558112846807E-159,1.64900882852832E-158,2.24398346256587E-157,3.01279403818809E-156,3.99091739292985E-155,5.21590805524748E-154,6.72576059387208E-153,8.55672493164651E-152,1.07406072132014E-150,1.33016528022111E-149,1.62531786856185E-148,1.95941923462939E-147,2.33062934870468E-146,2.73511934426027E-145,3.16691949042511E-144,3.6178944219001E-143,4.07786965141107E-142,4.5349222056767E-141,4.97583383847718E-140,5.38668903748767E-139,5.75358375834568E-138,6.06339652539892E-137,6.30456321826389E-136,6.46779214452515E-135,6.54665787634726E-134,6.53802096870442E-133,6.44223534298819E-132,6.26312424024941E-131,6.00772701974545E-130,5.68584017439112E-129,5.30939426929766E-128,4.89172199396074E-127,4.44677975021337E-126,3.98838563548701E-125,3.52953067978752E-124,3.08180890431161E-123,2.65499691591712E-122,2.25679735100422E-121,1.89274453699711E-120,1.56625696667241E-119,1.27881081412538E-118,1.03020240997577E-117,8.18865398145258E-117,6.4220977247057E-116,4.96954330718746E-115,3.79430285145938E-114,2.85840804653094E-113,2.12468217222134E-112,1.55826761836694E-111,1.12763687071228E-110,8.05149415221317E-110,5.67236995683565E-109,3.94306870392523E-108,2.70449863195964E-107,1.83030189069417E-106,1.22220249255142E-105,8.05283925952398E-105,5.23529669025299E-104,3.35831141585548E-103,2.12563674539903E-102,1.3275368598365E-101,8.18077874047585E-101,4.97432676811192E-100,2.98446639168874e-99,1.76682252800397e-98,1.03208194424941e-97,5.94883110668223e-97,3.38334684316497e-96,1.89871628139805e-95,1.05141355841995e-94,5.74497739222054e-94,3.09745970164813e-93,1.64788524891697e-92,8.65074742077786e-92,4.48112543708637e-91,2.29049236280678e-90,1.15526172496467e-89,5.74967453685664e-89,2.82370334907534e-88,1.36838856684757e-87,6.54358938679777e-87,3.08773907388591e-86,1.43775492069454e-85,6.60618385687735e-85,2.99529660057418e-84,1.34015275522324e-83,5.91692450170505e-83,2.57790567291699e-82,1.10833068887271e-81,4.70224407109255e-81,1.96868684533222e-80,8.13366024862905e-80,3.31616132726559e-79,1.33422137328126e-78,5.29742983058645e-78,2.07563094437035e-77,8.02574337914314e-77,3.06248022099892e-76,1.15323275865353e-75,4.28567418823412e-75,1.57174747654119e-74,5.68867154978187e-74,2.03191968247807e-73,7.16263840733459e-73,2.49180271145046e-72,8.55523315714494e-72,2.89888614266708e-71,9.69427284073276e-71,3.19954241235483e-70,1.04220454630223e-69,3.35053803102885e-69,1.06310659302657e-68,3.32923199151398e-68,1.02901276115936e-67,3.13914615395672e-67,9.45194461905714e-67,2.80901855330887e-66,8.2398058938195e-66,2.3856877412635e-65,6.81788958233198e-65,1.92323244386926e-64,5.35506750632867e-64,1.47182309250213e-63,3.99309940764671e-63,1.06938742698857e-62,2.82707488141552e-62,7.37775010346408e-62,1.90065081633891e-61,4.83370518521387e-61,1.2135714860904e-60,3.00791956573585e-60,7.36022878678998e-60,1.77807297123847e-59,4.24082450388414e-59,9.98626599075545e-59,2.32176418859694e-58,5.32973581112572e-58,1.20802721686707e-57,2.70360056542038e-57,5.97468318520175e-57,1.30378514671152e-56,2.80949799757672e-56,5.9785553498916e-56,1.25638411978202e-55,2.60748415090002e-55,5.34452317153516e-55,1.0819318679043e-54,2.16327027423315e-54,4.27226816260133e-54,8.33413842842506e-54,1.60596380920463e-53,3.05705145382423e-53,5.74885805184512e-53,1.06805340182965e-52,1.96046203541526e-52,3.55549768562833e-52,6.3715069559308e-52,1.12825676262644e-51,1.97434445896789e-51,3.41439097441771e-51,5.83587614819411e-51,9.85892460846446e-51,1.64631486857748e-50,2.71760546779014e-50,4.43487540009563e-50,7.15534196193605e-50,1.14147623423088e-49,1.80063432281761e-49,2.80893778521681e-49,4.33364715182962e-49,6.61298896606664e-49,9.98191699641661e-49,1.49053499006232e-48,2.20203224249267e-48,3.21884959678781e-48,4.65603709780383e-48,6.66522919898942e-48,9.4436900594245e-48,1.32447041472247e-47,1.83892240619165e-47,2.52785746939843e-47,3.4407877292429e-47,4.63797026836851e-47,6.19172966231269e-47,8.18765519071616e-47,1.07255744112317e-46,1.39201915687084e-46,1.79012703131038e-46,2.28132370995581e-46,2.88140860120083e-46,3.60734788765613e-46,4.47699572527742e-46,5.50872154449291e-46,6.72094255646131e-46,8.13156555929602e-46,9.75734772007548e-46,1.16131918880219e-45,1.37113978177213e-45,1.60608960506972e-45,1.86664957046679e-45,2.152818065303e-45,2.46404901915437e-45,2.7992020014701e-45,3.15650770000302e-45,3.53355168945697e-45,3.92727876267114e-45,4.33401928849547e-45,4.74953812017948e-45,5.16910555549233e-45,5.58758880255315e-45,5.99956139487166e-45,6.3994270861347e-45,6.78155399552799e-45,7.14041421444842e-45,7.47072375948143e-45,7.76757768382311e-45,8.02657534324532e-45,8.24393124061801e-45,8.41656751758706e-45,8.54218498351182e-45,8.6193105211244e-45,8.64731973081438e-45,8.6264347143313e-45,8.55769789926279e-45,8.44292371834167e-45,8.28463074090837e-45,8.08595747614683e-45,7.85056550866113e-45,7.58253387772026e-45,7.28624867431533e-45,6.96629171725372e-45,6.62733190137879e-45,6.27402241448005e-45,5.91090652548264e-45,5.54233408791238e-45,5.17239031207562e-45,4.80483776752372e-45,4.44307201135094e-45,4.09009072029581e-45,3.74847575283497e-45,3.42038719332238e-45,3.10756814018235e-45,2.81135879565428e-45,2.53271829269546e-45,2.27225264890214e-45,2.03024725855967e-45,1.80670241125581e-45,1.60137044704607e-45,1.41379331194621e-45,1.24333945203853e-45,1.08923916919657e-45,9.50617747190333e-46,8.26525836129366e-46,7.15966749887512e-46,6.17920481024196e-46,5.31364368000318e-46,4.55290458781297e-46,3.88719702991007e-46,3.3071317233709e-46,2.80380557496661e-46,2.36886220961296e-46,1.99453101729996e-46,1.67364771589692e-46,1.3996593642153e-46,1.16661661803209e-46,9.69155822507279e-47,8.02473296351712e-47,6.62293902421559e-47,5.44835729664133e-47,4.46772443419552e-47,3.65194603426981e-47,2.97571007680893e-47,2.41710899749662e-47,1.95727679843235e-47,1.58004586949148e-47,1.27162670789937e-47,1.02031247384175e-47,8.16209291919907e-48,6.50992383474399e-48,5.17687472234207e-48,4.10476423214944e-48,3.24525729997314e-48,2.55836236889517e-48,2.0111234974108e-48,1.57648933757854e-48,1.23234101933424e-48,9.60661490694609e-49,7.46829712649287e-49,5.79024186485418e-49,4.47721513011152e-49,3.4527697747268e-49,2.65575465819507e-49,2.03742305480045e-49,1.55904856362242e-49,1.18996834246962e-49,9.05984157052945e-50,6.88061439675402e-50,5.21275264695908e-50,3.93959884303659e-50,2.97025267556917e-50,2.2341000622929e-50,1.67645062219863e-50,1.2550720861714e-50,9.37447373637869e-51,6.98611470793326e-51,5.1945157823657e-51,3.85375934521183e-51,2.85274890267995e-51,2.10712766515009e-51,1.55301279805117e-51,1.14215293016289e-51,8.381973524642e-52,6.13830528737436e-52,4.48577854515117e-52,3.27130393212969e-52,2.38069556131551e-52,1.72899013949978e-52,1.25311884086333e-52,9.06375410586911e-53,6.54251513254376e-53,4.71309743797348e-53,3.38841903389998e-53,2.43119859592322e-53,1.74092350508037e-53,1.24416467880343e-53,8.87396441675502e-54,6.31686468614572e-54,4.4877817312978e-54,3.18207262959827e-54,2.25184444237821e-54,1.59044312449461e-54,1.12111636633324e-54,7.88746046802904e-55,5.53832777327365e-55,3.88128853857805e-55,2.71474942433149e-55,1.89513750860945e-55,1.32041172015145e-55,9.18197475631901e-56,6.37266709092784e-56,4.41433249085221e-56,3.05188187981657e-56,2.10585958611371e-56,1.45027447308465e-56,9.96850775757397e-57,6.83863260230692e-57,4.68238968448015e-57,3.19981566570783e-57,2.18243557966748e-57,1.48565134163628e-57,1.00937204398517e-57,6.84454296154494e-58,4.63229638678646e-58,3.12900902718436e-58,2.10948173561735e-58,1.41939437789423e-58,9.53210087137411e-59,6.38899127912755e-59,4.2739944869055e-59,2.85360263130984e-59,1.90156333326437e-59,1.2646948042358e-59,8.39495169629645e-60,5.56170672018599e-60,3.67752193031274e-60,2.42694344378174e-60,1.59853125623608e-60,1.05084726480792e-60,6.89469330493694e-61,4.51488919892759e-61,2.95077391117929e-61,1.92478122421163e-61,1.25309304712633e-61,8.14219848622484e-62,5.28027303862805e-62,3.41764790681996e-62,2.20777299275374e-62,1.42343483510002e-62,9.15960525810529e-63,5.8826341488756e-63,3.77070673842443e-63,2.41228953248547e-63,1.54025202811486e-63,9.81543955683656e-64,6.24285502481163e-64,3.96289172257674e-64,2.5107099954804e-64,1.58758217709954e-64,1.00191557089446e-64,6.31075350483936e-65,3.96722123831738e-65,2.48912478174399e-65,1.55869770726514e-65,9.74163916638576e-66,6.07654939085131e-66,3.78300410738681e-66,2.3505598764916e-66,1.45767427034285e-66,9.02202987018169e-67,5.57317366852874e-67,3.43601757703516e-67,2.1142804949048e-67,1.29844691404921e-67,7.95866282883882e-68,4.86866922782052e-68,2.97258741943684e-68,1.81139493071691e-68,1.10165536622776e-68,6.68701660258035e-69,4.05110068950494e-69,2.44944454494289e-69,1.47814171217462e-69,8.9026309657052e-70,5.35148679669335e-70,3.21058583576897e-70,1.92241791492356e-70,1.14885434265162e-70,6.85229000213257e-71,4.07905962378569e-71,2.4234713015538e-71,1.43704104949628e-71,8.50459993060677e-72,5.02333315270452e-72,2.96130685726004e-72,1.74232086740977e-72,1.02311892660153e-72,5.99621662350013e-73,3.50737082254247e-73,2.04757204758609e-73,1.19302569655468e-73,6.93766723370242e-74,4.02652274118946e-74,2.33238282988537e-74,1.34841156164725e-74,7.78032999011272e-75,4.48049967677193e-75,2.57518084405289e-75,1.47720861774694e-75,8.45724118953149e-76,4.83246094019484e-76,2.75588258047093e-76,1.56857669258161e-76,8.91052854765775e-77,5.05188906651403e-77,2.85862210112278e-77,1.61440414051075e-77,9.09955856928166e-78,5.11895021494512e-78,2.87404775139489e-78,1.61049551587609e-78,9.00694481078183e-79,5.0274516178762e-79,2.80072643254825e-79,1.55720521333892e-79,8.64118599684338e-80,4.78578495520823e-80,2.64536319980688e-80,1.45938445004674e-80,8.03537925498387e-81,4.41565650635384e-81,2.42178956205407e-81,1.32565258308816e-81,7.24227850081574e-82,3.94887041413073e-82,2.14893206710159e-82,1.16714447251179e-82,6.32672064113093e-83,3.42282576913456e-83,1.84817463497341e-83,9.95986108168705e-84,5.35692547767686e-84,2.87560985112222e-84,1.54062287270622e-84,8.23786607723343e-85,4.3962776055588e-85,2.34157176314948e-85,1.24474906177507e-85,6.60401579274302e-86,3.49692524590249e-86,1.84806198434192e-86,9.74762130680597e-87,5.13136236744655e-87,2.69599221389552e-87,1.41369748993096e-87,7.39854359399721e-88,3.8644516430016e-88,2.01456553876212e-88,1.04815811547232e-88,5.44282127287917e-89,2.82080595861924e-89,1.45906356671322e-89,7.53229068201523e-90,3.88089403251899e-90,1.99566825191101e-90,1.02422827462561e-90,5.24634708791426e-91,2.68206391075854e-91,1.36846302951921e-91,6.96865329890922e-92,3.54173848032541e-92,1.79653616668292e-92,9.09509589910675e-93,4.59547539888679e-93,2.31742375766506e-93,1.16635918325546e-93,5.85883170059074e-94,2.93725456246217e-94,1.46968414750974e-94,7.33936176392531e-95,3.65800628623772e-95,1.8196274188435e-95,9.03383960040466e-96,4.47624822997436e-96,2.21364431404774e-96,1.09258042685461e-96,5.38208927685234e-97,2.64606368556776e-97,1.29837938104244e-97,6.35850268380119e-98,3.10784999573983e-98,1.51606279472299e-98,7.3811884393269e-99,3.58663653980943e-99,1.73940385792064e-99,8.41909647140208E-100,4.06707847485803E-100,1.96088281759491E-100,9.43567048296186E-101,4.53154128431534E-101,2.17205681519565E-101,1.0390788410739E-101,4.96109927273298E-102,2.36406517655118E-102,1.12432819819898E-102,5.33677516090044E-103,2.52823170755394E-103,1.19538285729131E-103,5.64091264624092E-104,2.65670874937387E-104,1.24879387008777E-104,5.85854582885486E-105,2.74309713787789E-105,1.28187254551723E-105,5.97861835469101E-106,2.78297410004837E-106,1.29291468952251E-106,5.99491418120257E-107,2.77426850133672E-107,1.2813461144879E-107,5.90659089819478E-108,2.71743912290877E-108,1.24777212208434E-108,5.71825190178955E-109,2.61543460535079E-109,1.19392502286892E-109,5.43954881287852E-110,2.47343992608871E-110,1.12251602613322E-110,5.08436193767049E-111,2.29843975256289E-111,1.03700912655304E-111,4.66965562834923E-112,2.09864984569477E-112,9.413432256341E-113,4.21413982966903E-113,1.88288085521801E-113,8.39633447009358E-114,3.73688429203041E-114,1.65990272187293E-114,7.3588292724337E-115,3.25602671371216E-115,1.43787248184129E-115,6.33732537205782E-116,2.78769270634261E-116,1.22387508424074E-116,5.36268923781158E-117,2.34520900391797E-117,1.02360854484273E-117,4.45902311268553E-118,1.93864843808602E-118,8.41224583757779E-119,3.64316178712607E-119,1.57470284503981E-119,6.7931697228153E-120,2.92482620512766E-120,1.25684424292106E-120,5.39034670123757E-121,2.30730938641591E-121,9.85709429161508E-122,4.20287027315827E-122,1.78853361702918E-122,7.59630389758021E-123,3.22004327708395E-123,1.36230796340743E-123,5.75232143371107E-124,2.42418252633597E-124,1.01962825909488E-124,4.28028654923562E-125,1.79332216966532E-125,7.4989134573995E-126,3.12962985929034E-126,1.30359379106443E-126,5.41933905282766E-127,</v>
      </c>
      <c r="J16" s="31" t="s">
        <v>170</v>
      </c>
    </row>
    <row r="17" spans="1:12" ht="30">
      <c r="A17" s="46" t="s">
        <v>149</v>
      </c>
      <c r="B17" s="47">
        <v>0.05</v>
      </c>
      <c r="C17" s="47">
        <v>0.2</v>
      </c>
      <c r="D17" s="77">
        <f t="shared" si="2"/>
        <v>0.1</v>
      </c>
      <c r="E17" s="77">
        <f t="shared" si="3"/>
        <v>0.23489495370875477</v>
      </c>
      <c r="H17" s="3" t="s">
        <v>174</v>
      </c>
      <c r="I17" s="3">
        <f>STupidExcelMean(I16)</f>
        <v>6.3912320997153152E+50</v>
      </c>
      <c r="J17" s="3">
        <f>STupidExcelVariance(I16,I17)</f>
        <v>2.7823804772727724E+112</v>
      </c>
      <c r="K17" s="3"/>
      <c r="L17" s="3"/>
    </row>
    <row r="18" spans="1:12" ht="30">
      <c r="A18" s="46" t="s">
        <v>139</v>
      </c>
      <c r="B18" s="47">
        <v>0.05</v>
      </c>
      <c r="C18" s="47">
        <v>0.2</v>
      </c>
      <c r="D18" s="77">
        <f t="shared" si="2"/>
        <v>0.1</v>
      </c>
      <c r="E18" s="77">
        <f t="shared" si="3"/>
        <v>0.23489495370875477</v>
      </c>
      <c r="H18" s="15" t="s">
        <v>186</v>
      </c>
      <c r="I18" s="14">
        <f>EXP(MuFromParams(ABS(I17),J17))</f>
        <v>2.4488428730476846E+45</v>
      </c>
      <c r="J18" s="14">
        <f>(SigmaFromParams(I17,J17) / LN(10))^2</f>
        <v>4.7048195402722177</v>
      </c>
      <c r="K18" s="3"/>
      <c r="L18" s="3"/>
    </row>
    <row r="19" spans="1:12">
      <c r="K19" s="3"/>
      <c r="L19" s="3"/>
    </row>
    <row r="20" spans="1:12">
      <c r="K20" s="3"/>
      <c r="L20" s="3"/>
    </row>
    <row r="21" spans="1:12">
      <c r="K21" s="3"/>
      <c r="L21" s="3"/>
    </row>
    <row r="22" spans="1:12" ht="20">
      <c r="A22" s="6" t="s">
        <v>65</v>
      </c>
    </row>
    <row r="23" spans="1:12">
      <c r="A23" s="33" t="s">
        <v>193</v>
      </c>
      <c r="B23" s="110">
        <f>ParetoPosterior(median,alpha,I18:J18)</f>
        <v>3.5951215753374146E+34</v>
      </c>
    </row>
    <row r="24" spans="1:12" ht="30">
      <c r="A24" s="33" t="s">
        <v>194</v>
      </c>
      <c r="B24" s="110">
        <f>LognormPosterior(mu_far_future,sigma_far_future,I18:J18)</f>
        <v>29008.874887223537</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K17"/>
  <sheetViews>
    <sheetView workbookViewId="0">
      <selection activeCell="I3" sqref="I3"/>
    </sheetView>
  </sheetViews>
  <sheetFormatPr baseColWidth="10" defaultRowHeight="15" x14ac:dyDescent="0"/>
  <cols>
    <col min="1" max="1" width="21.6640625" customWidth="1"/>
    <col min="2" max="2" width="12.1640625" bestFit="1" customWidth="1"/>
    <col min="9" max="9" width="12.83203125" bestFit="1" customWidth="1"/>
    <col min="10" max="10" width="12.1640625" bestFit="1" customWidth="1"/>
  </cols>
  <sheetData>
    <row r="1" spans="1:11" ht="20">
      <c r="A1" s="6" t="s">
        <v>135</v>
      </c>
      <c r="H1" s="1" t="s">
        <v>154</v>
      </c>
      <c r="I1" t="s">
        <v>179</v>
      </c>
      <c r="J1" t="s">
        <v>181</v>
      </c>
    </row>
    <row r="2" spans="1:11">
      <c r="B2" t="s">
        <v>0</v>
      </c>
      <c r="C2" t="s">
        <v>1</v>
      </c>
      <c r="D2" s="44" t="s">
        <v>179</v>
      </c>
      <c r="E2" s="44" t="s">
        <v>181</v>
      </c>
      <c r="H2" t="s">
        <v>232</v>
      </c>
      <c r="I2">
        <f>GiveDirectly!B15*SIGN(GiveDirectly!B14)</f>
        <v>-4.4090704339543281E+30</v>
      </c>
      <c r="J2">
        <f>GiveDirectly!C15</f>
        <v>7.8789887111596535</v>
      </c>
    </row>
    <row r="3" spans="1:11">
      <c r="A3" t="s">
        <v>230</v>
      </c>
      <c r="H3" t="s">
        <v>231</v>
      </c>
      <c r="I3">
        <f>THL!B21</f>
        <v>4.5030094273653466E+37</v>
      </c>
      <c r="J3">
        <f>THL!C21</f>
        <v>5.3259050877002521</v>
      </c>
    </row>
    <row r="4" spans="1:11" ht="30">
      <c r="A4" s="42" t="s">
        <v>235</v>
      </c>
      <c r="B4" s="114">
        <v>3</v>
      </c>
      <c r="C4" s="114">
        <v>7</v>
      </c>
      <c r="D4" s="82">
        <f>GEOMEAN(B4,C4)</f>
        <v>4.5825756949558398</v>
      </c>
      <c r="E4" s="82">
        <f>LogVariance(B4,C4)</f>
        <v>0.14356690561187882</v>
      </c>
      <c r="F4" t="s">
        <v>236</v>
      </c>
      <c r="H4" t="s">
        <v>233</v>
      </c>
      <c r="I4">
        <f>'AI Safety'!H26+'AI Safety'!H26</f>
        <v>2.8682319142179038E+40</v>
      </c>
      <c r="J4">
        <f>'AI Safety'!I26+'AI Safety'!I26</f>
        <v>12.838596734965986</v>
      </c>
    </row>
    <row r="5" spans="1:11">
      <c r="A5" s="46" t="s">
        <v>227</v>
      </c>
      <c r="B5" s="104">
        <v>0.01</v>
      </c>
      <c r="C5" s="104">
        <v>0.1</v>
      </c>
      <c r="D5" s="82">
        <f t="shared" ref="D5:D6" si="0">GEOMEAN(B5,C5)</f>
        <v>3.1622776601683791E-2</v>
      </c>
      <c r="E5" s="82">
        <f t="shared" ref="E5:E6" si="1">LogVariance(B5,C5)</f>
        <v>0.39015207303618948</v>
      </c>
    </row>
    <row r="6" spans="1:11">
      <c r="A6" s="46" t="s">
        <v>228</v>
      </c>
      <c r="B6" s="104">
        <v>0.01</v>
      </c>
      <c r="C6" s="104">
        <v>0.1</v>
      </c>
      <c r="D6" s="82">
        <f t="shared" si="0"/>
        <v>3.1622776601683791E-2</v>
      </c>
      <c r="E6" s="82">
        <f t="shared" si="1"/>
        <v>0.39015207303618948</v>
      </c>
      <c r="H6" s="15" t="s">
        <v>237</v>
      </c>
      <c r="I6" s="14">
        <f>I3*D5*D$8*D$10</f>
        <v>1.4239766115685042E+43</v>
      </c>
      <c r="J6" s="14">
        <f>J3+E5+E$8+E$10</f>
        <v>6.7312562605175748</v>
      </c>
    </row>
    <row r="7" spans="1:11">
      <c r="A7" s="88"/>
      <c r="B7" s="88"/>
      <c r="C7" s="88"/>
      <c r="D7" s="57"/>
      <c r="E7" s="57"/>
      <c r="H7" s="15" t="s">
        <v>238</v>
      </c>
      <c r="I7" s="14">
        <f>I4*D6*D$8*D$10</f>
        <v>9.0701457065132639E+45</v>
      </c>
      <c r="J7" s="14">
        <f>J4+E6+E$8+E$10</f>
        <v>14.243947907783308</v>
      </c>
    </row>
    <row r="8" spans="1:11">
      <c r="A8" s="46" t="s">
        <v>229</v>
      </c>
      <c r="B8" s="104">
        <v>5000</v>
      </c>
      <c r="C8" s="104">
        <v>20000</v>
      </c>
      <c r="D8" s="82">
        <f>GEOMEAN(B8,C8)</f>
        <v>10000</v>
      </c>
      <c r="E8" s="82">
        <f>LogVariance(B8,C8)</f>
        <v>0.23489495370875477</v>
      </c>
      <c r="H8" s="30" t="s">
        <v>175</v>
      </c>
      <c r="I8" s="31" t="str">
        <f>WriteArray(SumLognormDists(I6:J7))</f>
        <v>0,0,0,0,2.6033906763195E-175,3.38849279772654E-174,1.34191837813212E-173,5.9341305430958E-173,2.04630405782376E-172,6.66822338797743E-172,2.10680399728947E-171,6.94395924136702E-171,2.1723816028157E-170,6.68811325392445E-170,2.03746716754764E-169,6.16167080293936E-169,1.85343809563989E-168,5.55208778615484E-168,1.65753891074322E-167,4.93411632520691E-167,1.46496171326618E-166,4.33909668766335E-166,1.28228014410926E-165,3.78104570064794E-165,1.1125224087617E-164,3.26653906904087E-164,9.57102561716106E-164,2.79850840919545E-163,8.16575094086745E-163,2.37776817917878E-162,6.90952782324901E-162,2.00370484741223E-161,5.79864233143402E-161,1.67465953146293E-160,4.82652593877289E-160,1.38819623766456E-159,3.98451349072213E-159,1.14132160668779E-158,3.26248953654634E-158,9.30676185596931E-158,2.64945460849687E-157,7.52701514486309E-157,2.13401531356761E-156,6.03782771271046E-156,1.70479573538847E-155,4.8036619583368E-155,1.35076868125826E-154,3.79051297772688E-154,1.06150845207934E-153,2.96658906148748E-153,8.27370046456393E-153,2.3027705547927E-152,6.39602296166139E-152,1.77287385785229E-151,4.90404148737363E-151,1.35375138777677E-150,3.72934168994997E-150,1.02525978231356E-149,2.81283432960518E-149,7.70127931139741E-149,2.10421487681602E-148,5.73754086927514E-148,1.56124116272448E-147,4.23957860738994E-147,1.14890439640545E-146,3.10708828264545E-146,8.38555477215869E-146,2.25849177922244E-145,6.07035008159684E-145,1.62823645380447E-144,4.35842647516872E-144,1.16426137879862E-143,3.1037002955685E-143,8.25691066295636E-143,2.19211794848375E-142,5.80789527578237E-142,1.53561436040895E-141,4.0518567637912E-141,1.0669265878609E-140,2.80364826677028E-140,7.3522633958729E-140,1.92409773439473E-139,5.02506568861391E-139,1.3096791244678E-138,3.40640762603774E-138,8.84172248326995E-138,2.29026479422068E-137,5.9202912446077E-137,1.52724603656669E-136,3.93172834880919E-136,1.01010510542504E-135,2.58975211429942E-135,6.62610627135869E-135,1.69187070577205E-134,4.31106450044606E-134,1.09625212744436E-133,2.78192206532654E-133,7.04511446157479E-133,1.78049080322587E-132,4.49055485444585E-132,1.13023530635425E-131,2.83887538367883E-131,7.11594178764308E-131,1.78002886766791E-130,4.44355242726166E-130,1.10698612790111E-129,2.75209016657881E-129,6.82797231308635E-129,1.69055560555784E-128,4.17710880220258E-128,1.02998461316436E-127,2.53451176166725E-127,6.22395598694893E-127,1.5252721678556E-126,3.73024032218274E-126,9.10405590627096E-126,2.21738783074357E-125,5.38960635850235E-125,1.30731751578571E-124,3.16456312221869E-124,7.6446058460129E-124,1.84291408580523E-123,4.43367382319474E-123,1.0644641814721E-122,2.5503925455637E-122,6.09805977508456E-122,1.45507371653622E-121,3.46487036223576E-121,8.23374974526033E-121,1.95261678320966E-120,4.62109671593705E-120,1.09139456568338E-119,2.57233311145735E-119,6.05036151158393E-119,1.42018244609612E-118,3.32671547494042E-118,7.77670961294498E-118,1.81419855170418E-117,4.2235968989417E-117,9.81270686329327E-117,2.27511790494384E-116,5.26414344435358E-116,1.21551479391279E-115,2.80092521872447E-115,6.44097351399527E-115,1.47812189791388E-114,3.3851485428697E-114,7.73666791662913E-114,1.76457015938362E-113,4.01636023412123E-113,9.12294682175346E-113,2.06798026054486E-112,4.67806658733689E-112,1.05607601185259E-111,2.37920974009855E-111,5.34907954843359E-111,1.20014622702693E-110,2.68718802797327E-110,6.00441547988939E-110,1.33891253686942E-109,2.97949373415035E-109,6.61670153606189E-109,1.46638975608221E-108,3.24314300800699E-108,7.15799834424499E-108,1.57661590861944E-107,3.46552500066212E-107,7.60187971102365E-107,1.6641090392342E-106,3.63539327714034E-106,7.92555817021585E-106,1.72431719203828E-105,3.74380573639673E-105,8.11181997007978E-105,1.75401037223612E-104,3.78490401919292E-104,8.15054123070519E-104,1.75156756926261E-103,3.75643791808347E-103,8.03959948893735E-103,1.71712335276508E-102,3.65996946852389E-102,7.7850664203541E-102,1.65255559321753E-101,3.50073096280141E-101,7.40065738758365E-101,1.56131586624046E-100,3.28715484576748E-100,6.90650725596532E-100,1.44812385402999e-99,3.03013426577485e-99,6.32742451424185e-99,1.31856338863873e-98,2.74210447838186e-98,5.69083420528188e-98,1.17862818802655e-97,2.43605266949609e-97,5.0246462274694e-97,1.03426844743956e-96,2.12456507359582e-96,4.35527698705225e-96,8.90985239762811e-96,1.81900641209416e-95,3.70601307593945e-95,7.53509386765433e-95,1.52890110330363e-94,3.09584447011094e-94,6.25587256316308e-94,1.26155350994034e-93,2.53882337917739e-93,5.09880422404406e-93,1.02191135735574e-92,2.04393538078758e-92,4.07971804408998e-92,8.12647484504861e-92,1.61541200235589e-91,3.20459746681476e-91,6.34413973962892e-91,1.2533751427104e-90,2.47114655088626e-90,4.86211268626166e-90,9.54686184249052e-90,1.87070523310257e-89,3.65813051686256e-89,7.13874961497519e-89,1.39025423706922e-88,2.70193834979831e-88,5.24041619956131e-88,1.01429729837199e-87,1.95917805062241e-87,3.77651923065807e-87,7.26471626789336e-87,1.39461644743568e-86,2.67177624495343e-86,5.10804327553233e-86,9.74581674369507e-86,1.85562882222778e-85,3.52592589791961e-85,6.68597058366643e-85,1.26521682487166e-84,2.38932198302258e-84,4.50291376017294e-84,8.46879884307046e-84,1.58949530557435e-83,2.97718576249359e-83,5.56495780859235e-83,1.03807106225042e-82,1.93242019070288e-82,3.58992461664525e-82,6.65546463042139e-82,1.23134776381543e-81,2.27348647731757e-81,4.18902869591509e-81,7.70271117738635e-81,1.41345900867631e-80,2.58840456058277e-80,4.73031907375443e-80,8.6269655831543e-80,1.57012797743758e-79,2.8518153634183e-79,5.1691261374634e-79,9.35022878011957e-79,1.68786121732994e-78,3.04060936975411e-78,5.466305891993e-78,9.8070106561003e-78,1.75585555783937e-77,3.1372588835695e-77,5.59398592259644e-77,9.95409610406058e-77,1.76763156127776e-76,3.13250037500761e-76,5.53987532739902e-76,9.7772863562386e-76,1.72205164440311e-75,3.02679850583989e-75,5.30921559424298e-75,9.29365897570411e-75,1.62350127149742e-74,2.83027133631171e-74,4.92394350746625e-74,8.54884825505769e-74,1.48119324444867e-73,2.56109338427368e-73,4.41925124588567e-73,7.60994588815719e-73,1.30774795947196e-72,2.24272565053693e-72,3.8382908097304e-72,6.5555515832236e-72,1.11735261335543e-71,1.90055707641579e-71,3.22612545578568e-71,5.46501383450514e-71,9.2387021996816e-71,1.5586204510512e-70,2.6240945717155e-70,4.40888038512087e-70,7.39242423182262e-70,1.23695867451559e-69,2.06553830502432e-69,3.4420809630296e-69,5.72425122964115e-69,9.50005410799571e-69,1.57341494537285e-68,2.60058033628055e-68,4.28950423054922e-68,7.06079757778981e-68,1.15987254413022e-67,1.90141376518195e-67,3.11066232753002e-67,5.078541295815e-67,8.27437123435188e-67,1.34536747100566e-66,2.18301522080217e-66,3.53494399221281e-66,5.71239533584707e-66,9.21221218771438e-66,1.48258492696453e-65,2.38114154461234e-65,3.8164611131224e-65,6.10444916427812e-65,9.74410926570775e-65,1.55220059900147e-64,2.46753657854517e-64,3.91461825466379e-64,6.19762526698425e-64,9.791997705339e-64,1.54392926622181e-63,2.42936973982246e-63,3.81478416668417e-63,5.97800777533637e-63,9.34874135772346e-63,1.45901579596602e-62,2.27235948599462e-62,3.53186659667729e-62,5.47824902562734e-62,8.47987576155467e-62,1.30992811878685e-61,2.01936912426547e-61,3.10666372271107e-61,4.76961235712006e-61,7.30772576141879e-61,1.11735643404972e-60,1.70494973317283e-60,2.59622180485095e-60,3.94532143792938e-60,5.98319825935534e-60,9.05513260761337e-60,1.36762386953718e-59,2.06133692677861e-59,3.10057160819139e-59,4.65419995482938e-59,6.97202308277185e-59,1.04227691769496e-58,1.55495550733539e-58,2.3150659925018e-58,3.43969047743096e-58,5.10018525950888e-58,7.5468054995321e-58,1.11442539440447e-57,1.64228867727192e-57,2.4152309946899e-57,3.54469231416881e-57,5.19169450404633e-57,7.58840410794334e-57,1.10688506468838e-56,1.6112590915541e-56,2.34066376112088e-56,3.39330970884238e-56,4.90929135461618e-56,7.08802066641889e-56,1.0212734109523e-55,1.46848656947177e-55,2.10721504552337e-55,3.0175792601223e-55,4.31240443833804e-55,6.15022884431372e-55,8.75334575580463e-55,1.24327708826154e-54,1.7622715905631e-54,2.49280803720206e-54,3.51897306582947e-54,4.95740252721567e-54,6.96953147696988e-54,9.77831824151403e-54,1.36910248845677e-53,1.91301768948881e-53,2.66755431700274e-53,3.71209294567028e-53,5.1550837280105e-53,7.14437007082014e-53,9.88105975250443e-53,1.36381197548022e-52,1.87852462225185e-52,2.58220507122976e-52,3.5422241613921e-52,4.84923078885549e-52,6.62492852033983e-52,9.03235708033893e-52,1.22894539851774e-51,1.66869011919603e-51,2.26115559340893e-51,3.05771411602627e-51,4.12643507070134e-51,5.55731343219394e-51,7.46907011916777e-51,1.00179758891087e-50,1.34092738444907e-50,1.79119307917358e-50,2.38776423124276e-50,3.17652598125413e-50,4.21721113808781e-50,5.58740658030727e-50,7.38766572091359e-50,9.74801666505157e-50,1.28362270487036e-49,1.68682742597755e-49,2.212157723859e-49,2.89516773977505e-49,3.78132161938377e-49,4.92862511751239e-49,6.41091875389347e-49,8.32198860790554e-49,1.07806849850951e-48,1.39372801289119e-48,1.79813450789596e-48,2.31514840552527e-48,2.97473339279142e-48,3.81443181693632e-48,4.88117411570143e-48,6.23349220078854e-48,7.94421997358156e-48,1.01037796132685e-47,1.28241702347265e-47,1.62437962880223e-47,2.05332970082066e-47,2.59025656901318e-47,3.26091789436905e-47,4.09684917793625e-47,5.13656947888775e-47,6.42701752269807e-47,8.02525748623083e-47,1.00004994418845e-46,1.24364857605487e-46,1.54343017403283e-46,1.91156763642282e-46,2.36268474043314e-46,2.91430740783765e-46,3.58738901067414e-46,4.40692002737093e-46,5.40263344032219e-46,6.60981839255164e-46,8.07025578150815e-46,9.83329064645722e-46,1.1957057382612e-45,1.45098749659215e-45,1.75718304683489e-45,2.12365701504293e-45,2.56133182963805e-45,3.08291446619136e-45,3.70315018852925e-45,4.43910544116092e-45,5.3104820336671e-45,6.33996470232744e-45,7.55360403074147e-45,8.98123655199957e-45,1.06569436323178e-44,1.26195504420851e-44,1.49131659471663e-44,1.75877643935015e-44,2.06998082044786e-44,2.43129115569311e-44,2.8498543142668e-44,3.33367657543004e-44,3.89170093546145e-44,4.53388731977367e-44,5.27129513701751e-44,6.11616748155918e-44,7.08201615071342e-44,8.18370649470189e-44,9.43754096203196e-44,1.08613400428021e-43,1.24745191497006e-43,1.42981598139681e-43,1.63550734145534e-43,1.86698555067463e-43,2.12689286757339e-43,2.41805717151776e-43,2.74349328257206e-43,3.10640244482139e-43,3.5101697296445e-43,3.95835911393703e-43,4.45470599083255e-43,5.00310687752473e-43,5.60760609681095e-43,6.27237922635535e-43,7.00171313274671e-43,7.79998243646137e-43,8.67162228899383e-43,9.62109738473844e-43,1.06528671776176e-42,1.17713473257408e-42,1.29808674461785e-42,1.42856253257249e-42,1.56896378016138e-42,1.71966885977016e-42,1.88102734756163e-42,2.05335431356367e-42,2.23692443772995e-42,2.43196601034914e-42,2.63865488225397e-42,2.85710843689369e-42,3.08737966231596e-42,3.32945140628821e-42,3.58323090200854e-42,3.84854465495147e-42,4.12513378321624e-42,4.41264990415997e-42,4.71065165898948e-42,5.01860196426271e-42,5.33586607484742e-42,5.66171053676771e-42,5.99530310053683e-42,6.33571365606101e-42,6.68191623907832e-42,7.03279214647511e-42,7.38713418385104e-42,7.74365205356436e-42,8.10097887540068e-42,8.45767881522161e-42,8.81225577974052e-42,9.16316311824111e-42,9.50881425491683e-42,9.84759415889141e-42,1.0177871543212e-41,1.04980116695141e-41,1.08063896219518e-41,1.11014039026676e-41,1.13814901918069e-41,1.16451351081011e-41,1.18908898015453e-41,1.21173832078299e-41,1.23233347950532e-41,1.2507566636888e-41,1.26690146527958e-41,1.28067388650041e-41,1.29199325336733e-41,1.30079300457998e-41,1.30702134497e-41,1.31064175451332e-41,1.31163334589225e-41,1.30999106569821e-41,1.30572573655761e-41,1.29886393970191e-41,1.28944773974893e-41,1.27753425567363e-41,1.26319508408488e-41,1.24651558295044e-41,1.22759402579069e-41,1.20654063806023e-41,1.18347652892566e-41,1.15853253290596e-41,1.1318479768471e-41,1.10356938844401e-41,1.07384916299077e-41,1.04284420523201e-41,1.01071456310866e-41,9.77622069846623e-42,9.43729010241916e-42,9.09196826168037e-42,8.74184875292687e-42,8.38849255767186e-42,8.03341708271026e-42,7.67808605286542e-42,7.32390035876128e-42,6.97218992569134e-42,6.62420665269589e-42,6.28111845400683e-42,5.94400441837057e-42,5.61385108569585e-42,5.29154982524452e-42,4.97789528541518e-42,4.67358487225123e-42,4.37921920229375e-42,4.09530346541351e-42,3.8222496248797e-42,3.56037937520062e-42,3.30992777321609e-42,3.07104745451011e-42,2.84381334539431e-42,2.6282277804079e-42,2.42422593638512e-42,2.23168149653578e-42,2.05041246152701e-42,1.88018702909813e-42,1.72072946912606e-42,1.5717259271257e-42,1.43283009575765e-42,1.30366870086624e-42,1.18384675573473e-42,1.07295254447781e-42,9.70562302666095e-43,8.76244570273773e-43,7.89564198756844e-43,7.10086000417072e-43,6.37378034113098e-43,5.71014526788335e-43,5.10578435153119e-43,4.55663656158739e-43,4.05876898619553e-43,3.60839231474958e-43,3.20187326745194e-43,2.8357441724338e-43,2.50670990588388e-43,2.21165242053752e-43,1.94763309326497e-43,1.7118931238021e-43,1.50185221434982e-43,1.31510575430435e-43,1.14942072624417e-43,1.00273053895789e-43,8.73128981199662e-44,7.58863476430667e-44,6.58327804442222e-44,5.70054440819479e-44,4.92706650019502e-44,4.25070452689186e-44,3.66046572984141e-44,3.14642457276507e-44,2.69964441927972e-44,2.31210134887665e-44,1.97661063853464e-44,1.68675632679084e-44,1.4368241765966e-44,1.22173826302606e-44,1.03700133184118e-44,8.78639004826053e-45,7.43147847316509e-45,6.2744726197905e-45,5.28835130058408e-45,4.44947086372246e-45,3.73719286600442e-45,3.13354504189653e-45,2.62291378762063e-45,2.19176627582521e-45,1.82840025725364e-45,1.5227195844902e-45,1.26603350330435e-45,1.05087779375344e-45,8.70855900954459e-46,7.20498269710981e-46,5.95138183898633e-46,4.90802507085623e-46,4.04115822187099e-46,3.32216572370316e-46,2.72683910713373e-46,2.23474070436145e-46,1.82865169385337e-46,1.49409460701972e-46,1.21892135346556e-46,9.92958707675525e-47,8.07704030474217e-47,6.56064771012576e-47,5.3213600839536e-47,4.31010946646002e-47,3.48619873740302e-47,2.81593636929876e-47,2.27148175092198e-47,1.82987087366282e-47,1.47219609110216e-47,1.18291714648951e-47,9.49283748234924e-48,7.60852694396617e-48,6.090849369655e-48,4.87010067730178e-48,3.88947530230435e-48,3.10275445485245e-48,2.47239309510994e-48,1.96794002738851e-48,1.56473567809853e-48,1.24284083317717e-48,9.86157053292902e-49,7.81705824826148e-49,6.19038888920611e-49,4.89756750594849e-49,3.87116220423063e-49,3.05711084000844e-49,2.41212717916022e-49,1.90159752373178e-49,1.49787786823954e-49,1.17891753648683e-49,9.27148457537459e-50,7.28590194234012e-50,5.72129902066386e-50,4.48943879249257e-50,3.52033532563736e-50,2.75853649327796e-50,2.16015020404291e-50,1.69046859211872e-50,1.32207238592344e-50,1.0333203078713e-50,8.07146770368659e-51,6.30106083209721e-51,4.91613503610347e-51,3.83343261681467e-51,2.98751609372275e-51,2.32699321884309e-51,1.81153216093922e-51,1.40950377014421e-51,1.096120938276e-51,8.51971588272162e-52,6.6186303662385e-52,5.13912413531828e-52,3.98831337461316e-52,3.09363803427407e-52,2.39844806016679e-52,1.85854020447791e-52,1.43944262933187e-52,1.11428730186303e-52,8.62144054650826e-53,6.66716977371324e-53,5.15324973280928e-53,3.98105021784961e-53,3.07389863073485e-53,2.37222200191172e-53,1.8297568388522e-53,1.41059371045341e-53,1.08687396936399e-53,8.36995663601522e-54,6.44216799609792e-54,4.95568512493601e-54,3.81009812761282e-54,2.92770545461868e-54,2.24840909435015e-54,1.7257504365365e-54,1.32383346396057e-54,1.01493784943506e-54,7.77668191273964e-55,5.95519684204596e-55,4.55767087368424e-55,3.48604556788257e-55,2.66480040351633e-55,2.03580493484149e-55,1.55433948699275e-55,1.18602075902999e-55,9.04427820892013e-56,6.89269930962086e-56,5.24973283633741e-56,3.99591497934814e-56,3.03966153329936e-56,2.310803495473e-56,1.75561189930031e-56,1.33297099987611e-56,1.01143646048218e-56,7.66975197411485e-57,5.81229961137091e-57,4.40187622618568e-57,3.33157867974691e-57,2.51990424757277e-57,1.90475477148351e-57,1.43884682921463e-57,1.08620039912871e-57,8.19454284226328e-58,6.17814926242115e-58,4.65490164802678e-58,3.50494053796167e-58,2.63735413657403e-58,1.98323209471881e-58,1.49037517197542e-58,1.11926866635764e-58,8.40019725128286e-59,6.30029332821184e-59,4.72223908800111e-59,3.53712883442398e-59,2.64770317939029e-59,1.98062861853196e-59,1.48064851839581e-59,1.10615485314607e-59,8.25837831878233e-60,6.16152747890226e-60,4.59406002048094e-60,3.42309931171386e-60,2.54892350004285e-60,1.89674299446435e-60,1.41050453360667e-60,1.04822551506255e-60,7.78483027623572e-61,5.77773603718003e-61,4.28529102493318e-61,3.17626681734497e-61,2.35270581004713e-61,1.74153508172369e-61,1.28828144594346e-61,9.52364437075484e-62,7.0357346872405e-62,5.19433053218691e-62,3.83233558194006e-62,2.82560392025775e-62,2.08196212146716e-62,1.5330211078479e-62,1.12807299650928e-62,8.29545129983972e-63,6.09616296358617e-63,4.47699741933341e-63,3.28572216464949e-63,2.40984184193572e-63,1.76628161065807e-63,1.293734177708e-63,9.46986630506084e-64,6.92717774795333e-64,5.06386942868124e-64,3.69932379662152e-64,2.70069705043137e-64,1.97034859234664e-64,1.43656055428711e-64,1.04669096578071e-64,7.62125830839414e-65,5.54560015133906e-65,4.03259018198386e-65,2.93044305698488e-65,2.12812016474746e-65,1.54444578431111e-65,1.12011560613135e-65,8.11832975412698e-66,5.88009287420442e-66,4.25613447627055e-66,3.0786488374776e-66,2.22545401230025e-66,1.60764720776607e-66,1.16058387684227e-66,8.3729012874952e-67,6.0365536508586e-67,4.34926443866807e-67,3.13152741512606e-67,2.25325465668634e-67,1.62023493202624e-67,1.16428515457986e-67,8.36092606893207e-68,6.00016317182376e-68,4.30313918121229e-68,3.08404978196307e-68,2.20887439289472e-68,1.58100890309622e-68,1.13086630674537e-68,8.08354514656898e-69,5.7743901739366e-69,4.12215233595591e-69,2.94073305308382e-69,2.09652875150904e-69,1.49368732722054e-69,1.0634870945462e-69,7.56690716476196e-70,5.38044556034812e-70,3.82324149622615e-70,2.71493149025872e-70,1.92663600670873e-70,1.36632534381577e-70,9.68327419397796e-71,6.85810277435366e-71,4.85399587030957e-71,3.43327404129906e-71,2.42678438116959e-71,1.71422398116929e-71,1.21008978692448e-71,8.53652818608638e-72,6.01808913199711e-72,4.23984135489549e-72,2.98506815564299e-72,2.10025752916214e-72,1.47674157898751e-72,1.03764813457047e-72,7.28633895179827e-73,5.11307643182007e-73,3.58565790891568e-73,2.51286452633996e-73,1.75987957848048e-73,1.23171571368343e-73,8.61492827717332e-74,6.02152514391744e-74,4.20605547207227e-74,2.93600737411691e-74,2.04810841449528e-74,1.42778362097013e-74,9.94684849922537e-75,6.92503965769053e-75,4.81806528406934e-75,3.34993784945592e-75,2.32763282493522e-75,1.61623999833246e-75,1.12152996510082e-75,7.77731280472307e-76,5.38966665948798e-76,3.73256946321227e-76,2.58325658776118e-76,1.78665560603928e-76,1.23488865607313e-76,8.52959498401644e-77,5.88765932085493e-77,4.06135159936093e-77,2.79970426753467e-77,1.92871200470729e-77,1.32781099920462e-77,9.13521544230563e-78,6.28080022917645e-78,4.31543739149013e-78,2.96311368451337e-78,2.03322509848121e-78,1.39423590878025e-78,9.55434060729426e-79,6.54302875988209e-79,4.47786084080255e-79,3.06249938603495e-79,2.09312459918668e-79,1.42964367449943e-79,9.75830046725249e-80,6.65632041653466e-80,4.53740877501648e-80,3.09097325738798e-80,2.10424470289961e-80,1.4315644052543e-80,9.73283126576569e-81,6.61273548593309e-81,4.48990096347609e-81,3.04653397796141e-81,2.06580319442685e-81,1.39986294288362e-81,9.47972509694327e-82,6.41533919636866e-82,4.33867538418006e-82,2.93229963230159e-82,1.98049243542273e-82,1.33675458960613e-82,9.0166213860839e-83,6.07784524105315e-83,4.09420038924217e-83,2.75614591976071e-83,1.85416753403531e-83,1.24654910693952e-83,8.37497395869852e-84,5.62304025528672e-84,3.77287636519921e-84,2.52980827630963e-84,1.69518186684947e-84,1.13516408224946e-84,7.59651916915767e-85,5.08024069355779e-85,3.395217445309e-85,2.26759010089542e-85,1.5134746985286e-85,1.00948398068439e-85,6.72879584922444e-86,4.4821762130011e-86,2.9836931330946e-86,1.98487443004368e-86,1.31954915577325e-86,8.76661154866667e-87,5.82038358553408e-87,3.8617584471416e-87,2.56054408226693e-87,1.6966531306969e-87,1.12348563150492e-87,7.43456625486993e-88,4.91651539801272e-88,3.24917292110151e-88,2.14586255036133e-88,1.41626534961823e-88,9.34116434690456e-89,6.15702688838439e-89,4.05559651584146e-89,2.66963622214508e-89,1.75615597320337e-89,1.15448352054245e-89,7.58448409276552e-90,4.97941135687429e-90,3.26695851817632e-90,2.14201687855231e-90,1.40351096876395e-90,9.19014550437827e-91,6.01371189082483e-91,3.93257036368838e-91,2.56994624949444e-91,1.67836043162558e-91,1.0953680728193e-91,7.14411732386853e-92,4.65640483969665e-92,3.03295900152534e-92,1.97422206443593e-92,1.28421907684157e-92,8.34825846518254e-93,5.4233334800784e-93,3.52087322090957e-93,2.28427359004335e-93,1.481015159215e-93,9.59587413742578e-94,6.21331305714851e-94,4.02045849475151e-94,2.59980984453935e-94,1.68004625456746e-94,1.08496204974481e-94,7.00199038702561e-95,</v>
      </c>
      <c r="J8" s="31" t="s">
        <v>170</v>
      </c>
    </row>
    <row r="9" spans="1:11">
      <c r="A9" s="46" t="s">
        <v>234</v>
      </c>
      <c r="B9" s="104">
        <v>100</v>
      </c>
      <c r="C9" s="104">
        <v>10000</v>
      </c>
      <c r="D9" s="57"/>
      <c r="E9" s="57"/>
      <c r="H9" s="3" t="s">
        <v>178</v>
      </c>
      <c r="I9" s="3">
        <f>STupidExcelMean(I8)</f>
        <v>8.7239933769225697E+61</v>
      </c>
      <c r="J9" s="3">
        <f>STupidExcelVariance(I8,I9)</f>
        <v>4.0250241960277311E+138</v>
      </c>
    </row>
    <row r="10" spans="1:11">
      <c r="A10" s="63" t="s">
        <v>146</v>
      </c>
      <c r="B10" s="93">
        <f>1000/C9</f>
        <v>0.1</v>
      </c>
      <c r="C10" s="93">
        <f>1000/B9</f>
        <v>10</v>
      </c>
      <c r="D10" s="83">
        <f>GEOMEAN(B9,C9)</f>
        <v>1000</v>
      </c>
      <c r="E10" s="83">
        <f>LogVariance(B9,C9)</f>
        <v>0.78030414607237897</v>
      </c>
    </row>
    <row r="11" spans="1:11">
      <c r="H11" s="15" t="s">
        <v>239</v>
      </c>
      <c r="I11" s="14">
        <f>ABS(I2*D4*D$8*D$10)</f>
        <v>2.0204899007987497E+38</v>
      </c>
      <c r="J11" s="14">
        <f>J2+E4+E$8+E$10</f>
        <v>9.0377547165526657</v>
      </c>
    </row>
    <row r="12" spans="1:11">
      <c r="H12" s="30" t="s">
        <v>176</v>
      </c>
      <c r="I12" s="31" t="str">
        <f>WriteArray(SumLognormDists(I11:J11))</f>
        <v>0,2.7716530446504e-62,4.10741141871493e-62,6.08059743961479e-62,8.99234587445547e-62,1.32845992547197e-61,1.96052605079488e-61,2.89031702700162e-61,4.25664125340576e-61,6.26234979814468e-61,9.20356957438657e-61,1.3512135178781e-60,1.98171121639246e-60,2.90339054371502e-60,4.24931819577219e-60,6.212719591865e-60,9.07387842674253e-60,1.32389293486276e-59,1.92957417152624e-59,2.80943374369747e-59,4.08624889315127e-59,5.93717078799496e-59,8.61753334246958e-59,1.24949668233564e-58,1.80982234800667e-58,2.61869844557988e-58,3.78515561275987e-58,5.4655099750133e-58,7.88363208506572e-58,1.13598006426872e-57,1.63517325737769e-57,2.35128647744221e-57,3.37750515850222e-57,4.84657792926699e-57,6.94741247172914e-57,9.94854736755399e-57,1.4231312807032e-56,2.033662880066e-56,2.90309777602288e-56,4.13993067705854e-56,5.89757101700108e-56,8.39270569332797e-56,1.19310732812686e-55,1.69436018185691e-55,2.40370222150142e-55,3.40646787254949e-55,4.82254883590013e-55,6.82020887651889e-55,9.63534837085983e-55,1.35983392479562e-54,1.91713645847194e-54,2.70003183894134e-54,3.79868646157797e-54,5.33883768000633e-54,7.49563946888214e-54,1.05128233329682e-53,1.47291860342711e-53,2.06151658562267e-53,2.88232947803476e-53,4.02577147177334e-53,5.61698568388071e-53,7.8289986909512e-53,1.09007863645444e-52,1.51620575481665e-52,2.10672164562665e-52,2.92418522665979e-52,4.05463069966791e-52,5.61625003619391e-52,7.77123905859814e-52,1.07419421175997e-51,1.48328310924335e-51,2.04603943084424e-51,2.81937374648907e-51,3.88096751934067e-51,5.33674029746678e-51,7.33095974493001e-51,1.00599148504707e-50,1.37903878015037e-50,1.88845812037477e-50,2.58337195987457e-50,3.53032939759918e-50,4.81939165521297e-50,6.5723081551533e-50,8.9534893017345e-50,1.21847163749991e-49,1.65648395829832e-49,2.24961266735124e-49,3.0519468609597e-49,4.13613676698395e-49,5.59965819759387e-49,7.57315508744215e-49,1.02315371903865e-48,1.38087265081479e-48,1.86172304064234e-48,2.50740924876838e-48,3.37352612512987e-48,4.53410566042227e-48,6.08762510880028e-48,8.16493754786142e-48,1.09397283837396e-47,1.46422870219417e-47,1.95776245994699e-47,2.61492828058674e-47,3.48905866546253e-47,4.65056229303338e-47,6.19229110420891e-47,8.23656192147742e-47,1.09443324090266e-46,1.45271789804293e-46,1.92629147948042e-46,2.5515931317605e-46,3.37636624461881e-46,4.46309755122845e-46,5.89348135066368e-46,7.77420793031377e-46,1.02444605688973e-45,1.348561455782e-45,1.7733770938361e-45,2.32959352664774e-45,3.05708779784292e-45,4.00760008175634e-45,5.24818996407571e-45,6.86567783109978e-45,8.97234571262796e-45,1.17132464735482e-44,1.52755645346776e-44,1.99005904047646e-44,2.589902157202e-44,3.36704916602433e-44,4.37284680804351e-44,5.67319580027091e-44,7.35258386267575e-44,9.51920994298855e-44,1.23114874866255e-43,1.59062885041394e-43,2.05293825260915e-43,2.64686397604988e-43,3.4090711377075e-43,4.38620786062338e-43,5.63755845897565e-43,7.23838388895278e-43,9.28412268104081e-43,1.1895667961333e-42,1.52259886119239e-42,1.94684274150678e-42,2.48670889816658e-42,3.1729828805548e-42,4.04444760780187e-42,5.1499072007185e-42,6.55070884614828e-42,8.32388162482731e-42,1.05660387266409e-41,1.33982231038895e-41,1.69719176898538e-41,2.14764914228744e-41,2.71484133746784e-41,3.42826415807928e-41,4.32466834650535e-41,5.44979343408988e-41,6.86050333103603e-41,8.62741366893645e-41,1.08381203499839e-40,1.36011622299666e-40,1.70508791659728e-40,2.1353360743478e-40,2.67137219872095e-40,3.3384991589655e-40,4.1678957237929e-40,5.19793833470013e-40,6.47581011119114e-40,8.05945718600691e-40,1.00199645257662e-39,1.24444377570164e-39,1.54394946078157e-39,1.91354898798977e-39,2.36916219577921e-39,2.93020974055911e-39,3.62035639755175e-39,4.46840622573548e-39,5.50937932812578e-39,6.78580548616264e-39,8.34927647399423e-39,1.02623065269878e-38,1.2600559435645e-38,1.5455511276153e-38,1.89376301189364e-38,2.31801684598178e-38,2.83436809187766e-38,3.46213993188257e-38,4.22456200143745e-38,5.14952847648942e-38,6.27049670914931e-38,7.62755115298422e-38,9.26866142029338e-38,1.12511680471957e-37,1.36435349974304e-37,1.65274142126369e-37,2.00000747280071e-37,2.41772571435209e-37,2.91965237132231e-37,3.52211851449905e-37,4.24448975655233e-37,5.10970371934115e-37,6.14489762913214e-37,7.38214021732916e-37,8.85928416852093e-37,1.0620957694191e-36,1.27197164506389e-36,1.52173799977261e-36,1.81865803482729e-36,2.17125539266865e-36,2.5895212483453e-36,3.08515332466221e-36,3.67183138830105e-36,4.36553437447066e-36,5.18490494483972e-36,6.15166801372562e-36,7.29111058724556e-36,8.63263115616763e-36,1.02103678726517e-35,1.20639158313143e-35,1.42391449737139e-35,1.6789131450233e-35,1.97752167123552e-35,2.32682101794662e-35,2.73497530354802e-35,3.21138625695473e-35,3.76686784893897e-35,4.41384348124228e-35,5.16656832853582e-35,6.04137968030631e-35,7.05697839969534e-35,8.23474490455907e-35,9.59909338276586e-35,1.11778682790426e-34,1.3002787434369e-34,1.51099366205942e-34,1.75403205919704e-34,2.03404761706767e-34,2.35631532938589e-34,2.7268070373537e-34,3.15227507558244e-34,3.64034475096842e-34,4.199616422484e-34,4.8397779949815e-34,5.57172868501892e-34,6.40771496091479e-34,7.36147960217232e-34,8.44842486446152e-34,9.68579077479908e-34,1.10928496166668e-33,1.26911176956835e-33,1.45045855021769e-33,1.65599674065642e-33,1.88869720357626e-33,2.15185944827184e-33,2.44914314953548e-33,2.78460207744321e-33,3.16272054806447e-33,3.58845250082845e-33,4.0672633024512e-33,4.60517436981338e-33,5.20881069483103e-33,5.88545134301868e-33,6.64308298395531e-33,7.49045649608029e-33,8.4371466700158e-33,9.49361501380925e-33,1.06712756399706e-32,1.19825641878489e-32,1.34410097056432e-32,1.50613093840976e-32,1.68594059986433e-32,1.885256787839e-32,2.10594711789376e-32,2.35002841915173e-32,2.61967533735717e-32,2.91722907356053e-32,3.245206216626e-32,3.60630762221303e-32,4.00342728513157e-32,4.43966114601818e-32,4.91831576718779e-32,5.44291680630803e-32,6.01721721028165e-32,6.64520504545468e-32,7.33111087406035e-32,8.07941458072584e-32,8.89485154698266e-32,9.78241806611518e-32,1.07473758854332e-31,1.17952557582596e-31,1.29318598836575e-31,1.41632631083224e-31,1.5495812762154e-31,1.69361269970081e-31,1.84910914969935e-31,2.01678544286281e-31,2.19738195002266e-31,2.39166370021936e-31,2.60041927035282e-31,2.82445944848708e-31,3.06461565949522e-31,3.3217381425386e-31,3.5966938708429e-31,3.89036420536975e-31,4.20364227528762e-31,4.53743007961753e-31,4.89263530608126e-31,5.27016786498534e-31,5.67093613796328e-31,6.09584294352601e-31,6.54578122366669e-31,7.02162945818886e-31,7.52424681598384e-31,8.05446805515011e-31,8.6130981866074e-31,9.20090691869534e-31,9.81862290313409e-31,1.04669278056405e-30,1.11464502274135e-30,1.18577595065934e-30,1.26013594316398e-30,1.33776819013198e-30,1.41870805686346e-30,1.50298245084882e-30,1.5906091951201e-30,1.68159641260444e-30,1.77594192607973e-30,1.87363267848639e-30,1.97464417847176e-30,2.07893997613078e-30,2.18647117395711e-30,2.29717597802933e-30,2.41097929442401e-30,2.52779237577194e-30,2.64751252275148e-30,2.77002284514369e-30,2.89519208685752e-30,3.02287451906851e-30,3.1529099053017e-30,3.2851235419309e-30,3.4193263771601e-30,3.55531521110477e-30,3.69287297910051e-30,3.83176911983601e-30,3.97176002934535e-30,4.112589601297e-30,4.25398985339655e-30,4.39568163907541e-30,4.53737544297781e-30,4.67877225808639e-30,4.8195645416518e-30,4.95943724641565e-30,5.09806892295074e-30,5.23513288828937e-30,5.37029845537899e-30,5.50323221730177e-30,5.63359937962454e-30,5.76106513371686e-30,5.88529606339227e-30,6.00596157679868e-30,6.12273535511012e-30,6.23529680926336e-30,6.34333253573876e-30,6.44653776221291e-30,6.54461777381146e-30,6.63728931066592e-30,6.72428192753472e-30,6.80533930637875e-30,6.88022051299432e-30,6.94870118909263e-30,7.01057467157964e-30,7.0656530312268e-30,7.11376802342963e-30,7.15477194432435e-30,7.1885383861669e-30,7.21496288656812e-30,7.23396346691873e-30,7.24548105612004e-30,7.2494797965556e-30,7.24594723008534e-30,7.23489436271284e-30,7.21635560745433e-30,7.19038860582658e-30,7.15707392924767e-30,7.116514662517e-30,7.06883587238673e-30,7.01418396505986e-30,6.95272593723344e-30,6.88464852604867e-30,6.81015726400276e-30,6.72947544551485e-30,6.64284301241498e-30,6.55051536613656e-30,6.45276211483364e-30,6.34986576401298e-30,6.24212035956336e-30,6.12983009227968e-30,6.01330787311742e-30,5.89287388847121e-30,5.76885414475312e-30,5.64157901145195e-30,5.51138177168583e-30,5.37859718902331e-30,5.24356009903982e-30,5.10660403370984e-30,4.96805988630732e-30,4.82825462400784e-30,4.68751005486009e-30,4.54614165522653e-30,4.40445746319243e-30,4.26275704281127e-30,4.12133052340492e-30,3.98045771746935e-30,3.84040732006368e-30,3.701436191883e-30,3.56378872754455e-30,3.42769630995496e-30,3.29337685098176e-30,3.16103441802832e-30,3.03085894551428e-30,2.90302602969778e-30,2.77769680474387e-30,2.65501789745095e-30,2.5351214575952e-30,2.41812526044542e-30,2.30413287763799e-30,2.19323391228654e-30,2.0855042939333e-30,1.98100662872914e-30,1.87979060005765e-30,1.78189341469326e-30,1.68734028950468e-30,1.59614497368019e-30,1.50831030145853e-30,1.42382877039754e-30,1.34268314029762e-30,1.26484704801765e-30,1.19028563357271e-30,1.11895617308407e-30,1.05080871435756e-30,9.85786711095247e-31,9.23827651991719e-31,8.64863681229133e-31,8.08822207159311e-31,7.55626496244526e-31,7.05196249617765e-31,6.57448159914854e-31,6.12296446322818e-31,5.69653366077669e-31,5.29429700929033e-31,4.91535217365456e-31,4.55879099661675e-31,4.22370355065316e-31,3.90918190684104e-31,3.61432361864353e-31,3.3382349206627e-31,3.08003364440441e-31,2.83885185492405e-31,2.613838213878e-31,2.40416007599158e-31,2.20900532726943e-31,2.02758397441948e-31,1.85912949594171e-31,1.70289996615029e-31,1.55817896405952e-31,1.42427627957658e-31,1.30052842981485e-31,1.18629899857997e-31,1.08097881219449e-31,9.83985964827107e-32,8.94765706387641e-32,8.12790205849964e-32,7.37558202581574e-32,6.68594557901073e-32,6.05449718662716e-32,5.47699104190469e-32,4.94942427361851e-32,4.46802960082965e-32,4.02926752809166e-32,3.62981817158468e-32,3.26657280044553e-32,2.93662517129756e-32,2.63726272771874e-32,2.36595773017677e-32,2.12035837585456e-32,1.89827996183296e-32,1.6976961393263e-32,1.51673030111408e-32,1.35364713900371e-32,1.20684440311757e-32,1.07484489003809e-32,9.56288682380286e-33,8.49925658199276e-33,7.54608284785014e-33,6.69284707848787e-33,5.92992143862903e-33,5.24850580371751e-33,4.64056786441266e-33,4.09878633045301e-33,3.61649721090256e-33,3.18764312941015e-33,2.8067256171795e-33,2.46876031272193e-33,2.16923498599293e-33,1.90407029504571e-33,1.66958317571274e-33,1.46245275889717e-33,1.27968870566644e-33,1.11860184734137e-33,9.7677701602218e-34,8.52047950348369e-34,7.42474161620999e-34,6.46319646597941e-34,5.62033335187347e-34,4.8823116380248e-34,4.23679668199744e-34,3.67280993107706e-34,3.18059219782147e-34,2.75147916712691e-34,2.37778822990205e-34,2.05271578257832e-34,1.7702441765673e-34,1.52505754691053e-34,1.31246579432961e-34,1.12833603930692e-34,9.69030910398346e-35,8.31353071438179e-35,7.12495433429686e-35,6.09996536550524e-35,5.21700625708212e-35,4.45721979358323e-35,3.80413085779388e-35,3.2433629364261e-35,2.76238594504312e-35,2.35029223787214e-35,1.99759793923851e-35,1.69606698646242e-35,1.43855550967542e-35,1.21887439270591e-35,1.03166806159394e-35,8.72307734133406e-36,7.36797535848653e-36,6.2169204577001e-36,5.24023980069785e-36,4.4124085385368e-36,3.71149581965533e-36,3.11868089336815e-36,2.61783100959556e-36,2.19513371722336e-36,1.83877697836171e-36,1.53867125072648e-36,1.28620835189828e-36,1.0740525134732e-36,8.95959565901306e-37,7.466206715574e-37,6.21527449388885e-37,5.16855714074622e-37,4.29365390401143e-37,3.5631446358117e-37,2.95385092248844e-37,2.44620246306111e-37,2.02369439816e-37,1.67242312618405e-37,1.38068975902816e-37,1.13866178990324e-37,9.3808479210186e-38,7.7203705952466e-38,6.34721054940199e-38,5.21286366093426e-38,4.27679597074714e-38,3.50517255492548e-38,2.86978246284983e-38,2.34713060551383e-38,1.91767161562651e-38,1.56516428080869e-38,1.27612824342526e-38,1.03938732768377e-38,8.45686151573778e-39,6.87368656441756e-39,5.58108883039042e-39,4.52685777062431e-39,3.66795052193595e-39,2.96892202980414e-39,2.40061668487301e-39,1.93907922150653e-39,1.56464922550588e-39,1.26120920198132e-39,1.01556091096558e-39,8.16908710091046e-40,6.56432056203226e-40,5.26932202215031e-40,4.22540560168183e-40,3.38478253653566e-40,2.70858110158743e-40,2.16521795963363e-40,1.7290601512275e-40,1.37932715907388e-40,1.0991910351133e-40,8.75039730323482e-41,6.95874738541406e-41,5.52819144487722e-41,4.38716312057168e-41,3.4780289660468e-41,2.7544272820065e-41,2.17910487580852e-41,1.72216063528049e-41,1.35962107566351e-41,1.07228646091343e-41,8.4479719138881e-42,6.64879288645963e-42,5.22735328487724e-42,4.1055335414559e-42,3.22111374627661e-42,2.52459211969285e-42,1.97662865845689e-42,1.54599347885161e-42,1.20792211367443e-42,9.42798560724068e-43,7.35101982661414e-43,5.72565243920174e-43,4.45503452358613e-43,3.46278773362676e-43,2.68874348709692e-43,2.08555466066466e-43,1.61600420562887e-43,1.25086978153376e-43,9.67231472996076e-44,7.47132180688537e-44,5.7651839707006e-44,4.444036349036e-44,3.42208457718992e-44,2.6324042293069e-44,2.0228474168541e-44,1.55282450143342e-44,1.19077670281866e-44,9.12193530664296e-45,6.98059353907312e-45,5.33637595322285e-45,4.07520246620626e-45,3.10885643338528e-45,2.36919521955486e-45,1.80363947957271e-45,1.37166268021694e-45,1.0420621383324e-45,7.90839978015745e-46,5.9955954089558e-46,4.54072003692235e-46,3.43530924150567e-46,2.59630466710556e-46,1.96017197086808e-46,1.47836407347662e-46,1.1138259441322e-46,8.38304820860887e-47,6.30282577224248e-47,4.73388109428667e-47,3.55179664351067e-47,2.66211948563223e-47,1.99322213095121e-47,1.49084523378183e-47,1.11393057957232e-47,8.31442836505148e-48,6.19948152189825e-48,4.61771418186436e-48,3.43595471395202e-48,2.55397427482922e-48,1.89641905411782e-48,1.40669779395117e-48,1.04235584725848e-48,7.71578134873964e-49,5.70548439017921e-49,4.2145754730011e-49,3.11002481127941e-49,2.2925698496571e-49,1.68822374274523e-49,1.24189859411314e-49,9.12622079249141e-50,6.69953271301837e-50,4.91299991969708e-50,3.5991314325141e-50,2.63388834344901e-50,1.92550973448249e-50,1.40618603719022e-50,1.02586106801054e-50,7.47623630707944e-51,5.44284787319773e-51,3.95838540331328e-51,2.87579988075867e-51,2.0871225515602e-51,1.51316380526087e-51,1.09590432948643e-51,7.92881062851091e-52,5.73049519050558e-52,4.13737574282531e-52,2.9840526387006e-52,2.14999128847144e-52,1.54744643576122e-52,1.1126107564435e-52,7.99133962072732e-53,5.7338275378438e-53,4.10977805348162e-53,2.94266494481318e-53,2.10480548625048e-53,1.50394454554608e-53,1.07349588314958e-53,7.65451446342438e-54,5.45234862742583e-54,3.87970130397182e-54,2.75779302497101e-54,1.95827532343247e-54,1.38910328468586e-54,9.84337497748978e-55,6.96790507234671e-55,4.92730136619768e-55,3.48068506925235e-55,2.45623004490133e-55,1.73149823402217e-55,1.21933705202232e-55,8.57776597519421e-56,6.02800106228398e-56,4.23176119176037e-56,2.96768421821358e-56,2.07904039373816e-56,1.45497949186662e-56,1.01718400168125e-56,7.10380243029339e-57,4.95599583033892e-57,3.45397901510217e-57,2.4046792807642e-57,1.67241222167248e-57,1.16192530013417e-57,8.06420925075753e-58,5.59105897000236e-58,3.87235408346807e-58,2.6791976599518e-58,1.85175340983348e-58,1.27852803445029e-58,8.81832421329376e-59,6.07589938022484e-59,4.18199769101159e-59,2.87544926154766e-59,1.97504198930732e-59,1.35517587601585e-59,9.28888733465753e-60,6.36034147995402e-60,4.35056713986985e-60,2.97276118548862e-60,2.02919074539263e-60,1.38367606473204e-60,9.42528927926989e-61,6.4136263185417e-61,4.35974734164904e-61,2.96051792386729e-61,2.00827310623393e-61,1.36090106693524e-61,9.21253267247742e-62,6.22988790016948e-62,4.20852709447847e-62,2.84006792700956e-62,1.91459108189546e-62,1.28935360946654e-62,8.67394678767587e-63,5.82921630682955e-63,3.91338245126894e-63,2.62447910619965e-63,1.75825819611843e-63,1.17671390618906e-63,7.8669760075868e-64,5.25404115005546e-64,3.50532119268879e-64,2.33620458335475e-64,1.55540191440599e-64,1.03448236390911e-64,6.87309358731007e-65,4.56173579485847e-65,3.02452169183341e-65,2.00323538670719e-65,1.32542747055898e-65,8.76049520055341e-66,5.78428987359261e-66,3.81522492319281e-66,2.5138476172653e-66,1.6546511850983e-66,1.08798439286379e-66,7.14640427283086e-67,4.68922638820034e-67,3.07371448914615e-67,2.01267917418906e-67,1.31654068846835e-67,8.60285738032427e-68,5.61564783743589e-68,3.66189351499811e-68,2.38539476539958e-68,1.55225660685055e-68,1.00905648195262e-68,6.55263746430243e-69,4.2507494663932e-69,2.75463195906133e-69,1.78324230702266e-69,1.15320320540275e-69,7.4498928602313e-70,4.80776152529991e-70,3.09944912885151e-70,1.99606560938526e-70,1.28414426361531e-70,8.25280387603316e-71,5.29831698170267e-71,3.39799749552822e-71,2.17699221553354e-71,1.39328320548058e-71,8.90780359215829e-72,5.68919169894359e-72,3.62977083755226e-72,2.31343100052285e-72,1.47293166669871e-72,9.36822584398544e-73,5.95224513970552e-73,3.77792185677051e-73,2.39537678739494e-73,1.51720200210447e-73,9.59978887876962e-74,6.06776372589941e-74,3.83128399266259e-74,2.41662204726809e-74,1.52272621992987e-74,9.58481253261443e-75,6.02690192807535e-75,3.78576219906156e-75,2.37553394630461e-75,1.48907940017972e-75,9.32444893554885e-76,5.8328015228195e-76,3.64485223789743e-76,2.27526171569369e-76,1.41883370343934e-76,8.83853605198745e-77,5.50019242480843e-77,3.41919707977534e-77,2.1233377875016e-77,1.31723344123817e-77,8.16309990017302e-78,5.05354549099918e-78,3.12525854992607e-78,1.93074282188558e-78,1.1915481871558e-78,7.34594201694571e-79,4.52409885764816e-79,2.7833343598941e-79,1.71059571597323e-79,1.05021467753414e-79,6.44106217760236e-80,3.94625916898363e-80,2.4152518354214e-80,1.47668526762869e-80,9.01907851815826e-81,5.50281735078621e-81,3.35395114773733e-81,2.04210031158784e-81,1.24207012228533e-81,7.54681776252919e-82,4.58068381464754e-82,2.77744502828165e-82,1.68232280946023e-82,1.01793934040149e-82,6.15294692624264e-83,3.71529363471399e-83,2.24105142568154e-83,1.35038997705177e-83,8.12859140476062e-84,4.88787494347298e-84,2.93611852137324e-84,1.761877801445e-84,1.05615264090694e-84,6.32450149152444e-85,3.78333339399304e-85,2.26084939282745e-85,1.34963818131535e-85,8.04844135126189e-86,4.79462798471605e-86,2.85329550695471e-86,1.69623997357875e-86,1.00734106597789e-86,5.97605366781867e-87,3.54161332821887e-87,2.09670099921791e-87,1.23999680285685e-87,7.32577090497111e-88,4.32349344820375e-88,2.54897151216302e-88,1.50121834440639e-88,8.8322519261328e-89,5.19096066501657e-89,3.047703629717e-89,1.78750156620556e-89,1.04729452743411e-89,6.1297101901455e-90,3.5839319409716e-90,2.09328456073503e-90,1.22136505815638e-90,7.11887580762224e-91,4.14501442524251e-91,2.41095653263126e-91,1.40088156166509e-91,8.13134077553047e-92,4.71489048658394e-92,2.73105069466148e-92,1.58028936761683e-92,9.1346556206081e-93,5.2746839701133e-93,3.04263189776941e-93,1.75327923019019e-93,1.00925629440609e-93,5.80364112731724e-94,3.33386751312788e-94,1.91313152863057e-94,1.09670550969428e-94,6.2803511379834e-95,3.59274613835951e-95,2.05313658072697e-95,1.17208161822777e-95,6.68415594170198e-96,3.80788651147155e-96,2.16705594746468e-96,1.23198368219037e-96,6.99662329678993e-97,3.96936222632666e-97,2.24958121919748e-97,1.27359494652366e-97,7.2029380762315e-98,4.06945958358912e-98,2.29674353431452e-98,1.29490220303577e-98,7.29306596074975e-99,4.10328816547278e-99,2.30622989912021e-99,1.29485722172202e-99,7.26256233133563E-100,4.06917686500435E-100,2.27757121330061E-100,1.27346222765787E-100,7.11293557376736E-101,3.96881071649317E-101,2.21218071914682E-101,1.23176971856229E-101,6.85152344706053E-102,3.8070929278477E-102,2.11323848667675E-102,1.1717966438576E-102,6.49089662462635E-103,3.59174784338954E-103,1.9854350810714E-103,1.09636268874234E-103,6.04785691494197E-104,3.33270960096446E-104,1.83460317996498E-104,1.00887071494859E-104,5.54214129669285E-105,3.04136382886349E-105,1.66727740108304E-105,9.13053141620058E-106,4.99497076933262E-106,2.72972282665991E-106,1.49022847057201E-106,8.12710490198169E-107,4.4275918484804E-107,2.40961688251476E-107,1.31001756826588E-107,7.11467304541331E-108,3.85994821587464E-108,2.09197607885324E-108,1.13261068518422E-108,6.12566580097922E-109,3.3095934502727E-109,1.78626011892939E-109,9.63082430439395E-110,5.18717526880049E-110,2.79091808238354E-110,1.50007150313849E-110,8.05425799065222E-111,4.32004048565776E-111,2.31472179835192E-111,1.23896343846742E-111,6.62471019226536E-112,3.5385389641617E-112,1.88812083476308E-112,1.00643166275922E-112,5.35904621972649E-113,2.8506205944897E-113,1.51474678208063E-113,8.04061676593459E-114,4.26370738925625E-114,2.25857296647518E-114,1.19516967022317E-114,6.3179139405926E-115,3.33631119419098E-115,1.7599815044028E-115,9.27466772492044E-116,4.88244454857674E-116,2.56758591190742E-116,1.34884284653651E-116,</v>
      </c>
      <c r="J12" s="31" t="s">
        <v>170</v>
      </c>
    </row>
    <row r="13" spans="1:11">
      <c r="H13" s="3" t="s">
        <v>177</v>
      </c>
      <c r="I13" s="3">
        <f>STupidExcelMean(I12)</f>
        <v>5.1458484026042197E+48</v>
      </c>
      <c r="J13" s="3">
        <f>STupidExcelVariance(I12,I13)</f>
        <v>3.7896031187726169E+117</v>
      </c>
    </row>
    <row r="15" spans="1:11" ht="20">
      <c r="A15" s="6" t="s">
        <v>65</v>
      </c>
      <c r="H15" s="3" t="s">
        <v>174</v>
      </c>
      <c r="I15" s="3">
        <f>I9-I13</f>
        <v>8.7239933769220548E+61</v>
      </c>
      <c r="J15">
        <f>DifferenceVariance(I9:J9,I13:J13)</f>
        <v>4.0250241960277311E+138</v>
      </c>
    </row>
    <row r="16" spans="1:11">
      <c r="A16" s="111" t="s">
        <v>193</v>
      </c>
      <c r="B16" s="112">
        <f>ParetoPosterior(median,alpha,I16:J16)</f>
        <v>7.1731277528124158E+39</v>
      </c>
      <c r="H16" s="115" t="s">
        <v>186</v>
      </c>
      <c r="I16" s="14">
        <f>EXP(MuFromParams(I15,J15))</f>
        <v>3.7935551897041715E+54</v>
      </c>
      <c r="J16" s="14">
        <f>(SigmaFromParams(I15,J15) / LN(10))^2</f>
        <v>6.3942643795569909</v>
      </c>
      <c r="K16" t="s">
        <v>241</v>
      </c>
    </row>
    <row r="17" spans="1:3" ht="30">
      <c r="A17" s="111" t="s">
        <v>194</v>
      </c>
      <c r="B17" s="113">
        <f>LognormPosterior(mu_global_poverty,sigma_global_poverty,I16:J16)</f>
        <v>214.09595830539936</v>
      </c>
      <c r="C17" t="s">
        <v>240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Summary</vt:lpstr>
      <vt:lpstr>Globals</vt:lpstr>
      <vt:lpstr>EV of Far Future</vt:lpstr>
      <vt:lpstr>GiveDirectly</vt:lpstr>
      <vt:lpstr>THL</vt:lpstr>
      <vt:lpstr>AI Safety</vt:lpstr>
      <vt:lpstr>AI Targeted Values Spreading</vt:lpstr>
      <vt:lpstr>EA Outreach (INCOMPLETE)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Dickens</dc:creator>
  <cp:lastModifiedBy>Michael Dickens</cp:lastModifiedBy>
  <dcterms:created xsi:type="dcterms:W3CDTF">2016-03-23T01:55:09Z</dcterms:created>
  <dcterms:modified xsi:type="dcterms:W3CDTF">2016-04-10T04:48:33Z</dcterms:modified>
</cp:coreProperties>
</file>