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-20" windowWidth="25600" windowHeight="28320" tabRatio="500" activeTab="4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nable_calculations">Globals!$N$2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Globals!$O$18</definedName>
    <definedName name="interest_rate">Globals!$O$19</definedName>
    <definedName name="measurement">Globals!$B$4</definedName>
    <definedName name="median">Globals!$B$2</definedName>
    <definedName name="mu_factory_farming">Globals!$G$2</definedName>
    <definedName name="mu_far_future">Globals!$J$2</definedName>
    <definedName name="mu_far_future_humans">Globals!$J$2</definedName>
    <definedName name="mu_global_poverty">Globals!$F$2</definedName>
    <definedName name="mu_sentient_simulations">Globals!$I$2</definedName>
    <definedName name="mu_wild_animals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_factory_farming">Globals!$G$3</definedName>
    <definedName name="sigma_far_future">Globals!$J$3</definedName>
    <definedName name="sigma_far_future_humans">Globals!$J$3</definedName>
    <definedName name="sigma_global_poverty">Globals!$F$3</definedName>
    <definedName name="sigma_sentient_simulations">Globals!$I$3</definedName>
    <definedName name="sigma_wild_animals">Globals!$H$3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31" i="1" l="1"/>
  <c r="N31" i="1"/>
  <c r="K5" i="7"/>
  <c r="K6" i="7"/>
  <c r="K7" i="7"/>
  <c r="K4" i="7"/>
  <c r="I7" i="7"/>
  <c r="I5" i="7"/>
  <c r="J5" i="7"/>
  <c r="J6" i="7"/>
  <c r="J7" i="7"/>
  <c r="J4" i="7"/>
  <c r="I4" i="7"/>
  <c r="H4" i="7"/>
  <c r="I59" i="1"/>
  <c r="I58" i="1"/>
  <c r="F59" i="1"/>
  <c r="F58" i="1"/>
  <c r="H52" i="1"/>
  <c r="K52" i="1"/>
  <c r="O54" i="1"/>
  <c r="O52" i="1"/>
  <c r="O53" i="1"/>
  <c r="G3" i="2"/>
  <c r="I61" i="1"/>
  <c r="I60" i="1"/>
  <c r="G3" i="3"/>
  <c r="G4" i="3"/>
  <c r="G14" i="3"/>
  <c r="G15" i="3"/>
  <c r="G16" i="3"/>
  <c r="L4" i="3"/>
  <c r="M5" i="1"/>
  <c r="P4" i="3"/>
  <c r="M3" i="1"/>
  <c r="M6" i="1"/>
  <c r="D8" i="1"/>
  <c r="M7" i="1"/>
  <c r="M8" i="1"/>
  <c r="P30" i="2"/>
  <c r="H3" i="3"/>
  <c r="P31" i="2"/>
  <c r="H4" i="3"/>
  <c r="P33" i="2"/>
  <c r="H14" i="3"/>
  <c r="H15" i="3"/>
  <c r="H16" i="3"/>
  <c r="M4" i="3"/>
  <c r="N5" i="1"/>
  <c r="E4" i="1"/>
  <c r="E5" i="1"/>
  <c r="E6" i="1"/>
  <c r="E7" i="1"/>
  <c r="E8" i="1"/>
  <c r="N7" i="1"/>
  <c r="N8" i="1"/>
  <c r="M10" i="1"/>
  <c r="I3" i="1"/>
  <c r="I4" i="1"/>
  <c r="I5" i="1"/>
  <c r="H7" i="1"/>
  <c r="G5" i="5"/>
  <c r="M9" i="1"/>
  <c r="L30" i="2"/>
  <c r="C3" i="3"/>
  <c r="L31" i="2"/>
  <c r="C4" i="3"/>
  <c r="L32" i="2"/>
  <c r="C5" i="3"/>
  <c r="L33" i="2"/>
  <c r="C6" i="3"/>
  <c r="C10" i="3"/>
  <c r="C11" i="3"/>
  <c r="M8" i="3"/>
  <c r="C15" i="3"/>
  <c r="C16" i="3"/>
  <c r="M9" i="3"/>
  <c r="C20" i="3"/>
  <c r="C21" i="3"/>
  <c r="M10" i="3"/>
  <c r="M12" i="3"/>
  <c r="P32" i="2"/>
  <c r="H8" i="3"/>
  <c r="H9" i="3"/>
  <c r="H10" i="3"/>
  <c r="M3" i="3"/>
  <c r="P34" i="2"/>
  <c r="H20" i="3"/>
  <c r="H21" i="3"/>
  <c r="H22" i="3"/>
  <c r="M5" i="3"/>
  <c r="P35" i="2"/>
  <c r="H26" i="3"/>
  <c r="H27" i="3"/>
  <c r="H28" i="3"/>
  <c r="M6" i="3"/>
  <c r="H32" i="3"/>
  <c r="P36" i="2"/>
  <c r="H33" i="3"/>
  <c r="H34" i="3"/>
  <c r="H35" i="3"/>
  <c r="M7" i="3"/>
  <c r="M11" i="3"/>
  <c r="M13" i="3"/>
  <c r="O3" i="6"/>
  <c r="K3" i="6"/>
  <c r="K5" i="6"/>
  <c r="K6" i="6"/>
  <c r="K7" i="6"/>
  <c r="E4" i="6"/>
  <c r="K8" i="6"/>
  <c r="K14" i="6"/>
  <c r="K15" i="6"/>
  <c r="K16" i="6"/>
  <c r="K20" i="6"/>
  <c r="O4" i="6"/>
  <c r="G8" i="3"/>
  <c r="G9" i="3"/>
  <c r="G10" i="3"/>
  <c r="L3" i="3"/>
  <c r="G20" i="3"/>
  <c r="G21" i="3"/>
  <c r="G22" i="3"/>
  <c r="L5" i="3"/>
  <c r="G26" i="3"/>
  <c r="G27" i="3"/>
  <c r="G28" i="3"/>
  <c r="L6" i="3"/>
  <c r="G32" i="3"/>
  <c r="G33" i="3"/>
  <c r="G34" i="3"/>
  <c r="G35" i="3"/>
  <c r="L7" i="3"/>
  <c r="B3" i="3"/>
  <c r="B4" i="3"/>
  <c r="B5" i="3"/>
  <c r="B6" i="3"/>
  <c r="B10" i="3"/>
  <c r="B11" i="3"/>
  <c r="L8" i="3"/>
  <c r="B15" i="3"/>
  <c r="B16" i="3"/>
  <c r="L9" i="3"/>
  <c r="B20" i="3"/>
  <c r="B21" i="3"/>
  <c r="L10" i="3"/>
  <c r="P3" i="3"/>
  <c r="P5" i="3"/>
  <c r="P6" i="3"/>
  <c r="P7" i="3"/>
  <c r="P8" i="3"/>
  <c r="P9" i="3"/>
  <c r="P10" i="3"/>
  <c r="L13" i="3"/>
  <c r="N3" i="6"/>
  <c r="N4" i="6"/>
  <c r="J3" i="2"/>
  <c r="B12" i="6"/>
  <c r="C8" i="7"/>
  <c r="O17" i="6"/>
  <c r="O18" i="6"/>
  <c r="L12" i="3"/>
  <c r="N17" i="6"/>
  <c r="N18" i="6"/>
  <c r="N20" i="6"/>
  <c r="O9" i="6"/>
  <c r="O10" i="6"/>
  <c r="L11" i="3"/>
  <c r="N9" i="6"/>
  <c r="N10" i="6"/>
  <c r="N12" i="6"/>
  <c r="B15" i="5"/>
  <c r="D21" i="2"/>
  <c r="N30" i="2"/>
  <c r="N31" i="2"/>
  <c r="N32" i="2"/>
  <c r="D20" i="2"/>
  <c r="O30" i="2"/>
  <c r="O32" i="2"/>
  <c r="O31" i="2"/>
  <c r="D18" i="2"/>
  <c r="D17" i="2"/>
  <c r="J30" i="2"/>
  <c r="J31" i="2"/>
  <c r="J32" i="2"/>
  <c r="J33" i="2"/>
  <c r="B24" i="2"/>
  <c r="D24" i="2"/>
  <c r="K32" i="2"/>
  <c r="K31" i="2"/>
  <c r="K30" i="2"/>
  <c r="K33" i="2"/>
  <c r="D23" i="2"/>
  <c r="C22" i="2"/>
  <c r="D22" i="2"/>
  <c r="H3" i="2"/>
  <c r="I3" i="2"/>
  <c r="J25" i="6"/>
  <c r="J26" i="6"/>
  <c r="J27" i="6"/>
  <c r="J28" i="6"/>
  <c r="J29" i="6"/>
  <c r="J30" i="6"/>
  <c r="J31" i="6"/>
  <c r="J32" i="6"/>
  <c r="K25" i="6"/>
  <c r="K26" i="6"/>
  <c r="K27" i="6"/>
  <c r="K28" i="6"/>
  <c r="K29" i="6"/>
  <c r="K30" i="6"/>
  <c r="K31" i="6"/>
  <c r="K32" i="6"/>
  <c r="N33" i="2"/>
  <c r="O33" i="2"/>
  <c r="H4" i="1"/>
  <c r="H5" i="1"/>
  <c r="H6" i="1"/>
  <c r="I12" i="11"/>
  <c r="G4" i="5"/>
  <c r="C14" i="1"/>
  <c r="N34" i="2"/>
  <c r="I17" i="1"/>
  <c r="I19" i="1"/>
  <c r="I20" i="1"/>
  <c r="C15" i="1"/>
  <c r="N35" i="2"/>
  <c r="I29" i="1"/>
  <c r="I31" i="1"/>
  <c r="I32" i="1"/>
  <c r="C16" i="1"/>
  <c r="N36" i="2"/>
  <c r="I41" i="1"/>
  <c r="I43" i="1"/>
  <c r="I44" i="1"/>
  <c r="C17" i="1"/>
  <c r="O35" i="2"/>
  <c r="O36" i="2"/>
  <c r="H41" i="1"/>
  <c r="H39" i="1"/>
  <c r="H42" i="1"/>
  <c r="H43" i="1"/>
  <c r="H44" i="1"/>
  <c r="B17" i="1"/>
  <c r="H29" i="1"/>
  <c r="H27" i="1"/>
  <c r="H30" i="1"/>
  <c r="H31" i="1"/>
  <c r="H32" i="1"/>
  <c r="B16" i="1"/>
  <c r="O34" i="2"/>
  <c r="H17" i="1"/>
  <c r="H15" i="1"/>
  <c r="H18" i="1"/>
  <c r="H19" i="1"/>
  <c r="H20" i="1"/>
  <c r="B15" i="1"/>
  <c r="B14" i="1"/>
  <c r="B13" i="1"/>
  <c r="M39" i="1"/>
  <c r="M41" i="1"/>
  <c r="M42" i="1"/>
  <c r="D4" i="1"/>
  <c r="B5" i="1"/>
  <c r="C5" i="1"/>
  <c r="D5" i="1"/>
  <c r="D6" i="1"/>
  <c r="D7" i="1"/>
  <c r="M43" i="1"/>
  <c r="M44" i="1"/>
  <c r="N41" i="1"/>
  <c r="N43" i="1"/>
  <c r="N44" i="1"/>
  <c r="N17" i="1"/>
  <c r="N19" i="1"/>
  <c r="N20" i="1"/>
  <c r="M15" i="1"/>
  <c r="M17" i="1"/>
  <c r="M18" i="1"/>
  <c r="M19" i="1"/>
  <c r="M20" i="1"/>
  <c r="H3" i="1"/>
  <c r="C13" i="1"/>
  <c r="M27" i="1"/>
  <c r="M29" i="1"/>
  <c r="M30" i="1"/>
  <c r="M32" i="1"/>
  <c r="N29" i="1"/>
  <c r="N32" i="1"/>
  <c r="G24" i="5"/>
  <c r="G22" i="5"/>
  <c r="B4" i="5"/>
  <c r="C4" i="5"/>
  <c r="G23" i="5"/>
  <c r="G25" i="5"/>
  <c r="H21" i="5"/>
  <c r="H22" i="5"/>
  <c r="H23" i="5"/>
  <c r="K21" i="5"/>
  <c r="G12" i="5"/>
  <c r="G11" i="5"/>
  <c r="K22" i="5"/>
  <c r="O21" i="5"/>
  <c r="O22" i="5"/>
  <c r="O10" i="5"/>
  <c r="O11" i="5"/>
  <c r="H10" i="5"/>
  <c r="H11" i="5"/>
  <c r="H12" i="5"/>
  <c r="K10" i="5"/>
  <c r="K11" i="5"/>
  <c r="G13" i="5"/>
  <c r="G14" i="5"/>
  <c r="J15" i="6"/>
  <c r="J14" i="6"/>
  <c r="J13" i="6"/>
  <c r="D4" i="6"/>
  <c r="J7" i="6"/>
  <c r="J6" i="6"/>
  <c r="J5" i="6"/>
  <c r="J3" i="6"/>
  <c r="G10" i="5"/>
  <c r="P16" i="3"/>
  <c r="M16" i="3"/>
  <c r="O16" i="3"/>
  <c r="M17" i="3"/>
  <c r="O17" i="3"/>
  <c r="M18" i="3"/>
  <c r="O18" i="3"/>
  <c r="M19" i="3"/>
  <c r="O19" i="3"/>
  <c r="M20" i="3"/>
  <c r="O20" i="3"/>
  <c r="M21" i="3"/>
  <c r="O21" i="3"/>
  <c r="M22" i="3"/>
  <c r="O22" i="3"/>
  <c r="M23" i="3"/>
  <c r="O23" i="3"/>
  <c r="L17" i="3"/>
  <c r="N17" i="3"/>
  <c r="L18" i="3"/>
  <c r="N18" i="3"/>
  <c r="L19" i="3"/>
  <c r="N19" i="3"/>
  <c r="L20" i="3"/>
  <c r="N20" i="3"/>
  <c r="L21" i="3"/>
  <c r="N21" i="3"/>
  <c r="L22" i="3"/>
  <c r="N22" i="3"/>
  <c r="L23" i="3"/>
  <c r="N23" i="3"/>
  <c r="L16" i="3"/>
  <c r="N16" i="3"/>
  <c r="J5" i="11"/>
  <c r="C8" i="11"/>
  <c r="B8" i="11"/>
  <c r="D8" i="11"/>
  <c r="D4" i="11"/>
  <c r="B9" i="11"/>
  <c r="C9" i="11"/>
  <c r="D9" i="11"/>
  <c r="I4" i="11"/>
  <c r="J7" i="11"/>
  <c r="E7" i="11"/>
  <c r="J10" i="11"/>
  <c r="I5" i="11"/>
  <c r="D3" i="11"/>
  <c r="I3" i="11"/>
  <c r="I7" i="11"/>
  <c r="D7" i="11"/>
  <c r="I10" i="11"/>
  <c r="I14" i="11"/>
  <c r="I17" i="11"/>
  <c r="C7" i="7"/>
  <c r="G21" i="5"/>
  <c r="H3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I18" i="11"/>
  <c r="I16" i="11"/>
  <c r="I25" i="6"/>
  <c r="J8" i="6"/>
  <c r="J16" i="6"/>
  <c r="J20" i="6"/>
  <c r="H25" i="6"/>
  <c r="I26" i="6"/>
  <c r="H26" i="6"/>
  <c r="I27" i="6"/>
  <c r="H27" i="6"/>
  <c r="I28" i="6"/>
  <c r="H28" i="6"/>
  <c r="I29" i="6"/>
  <c r="H29" i="6"/>
  <c r="I30" i="6"/>
  <c r="H30" i="6"/>
  <c r="I31" i="6"/>
  <c r="H31" i="6"/>
  <c r="I32" i="6"/>
  <c r="H32" i="6"/>
  <c r="B22" i="6"/>
  <c r="C23" i="7"/>
  <c r="B21" i="6"/>
  <c r="B23" i="7"/>
  <c r="B28" i="1"/>
  <c r="C22" i="7"/>
  <c r="B14" i="5"/>
  <c r="B27" i="1"/>
  <c r="B22" i="7"/>
  <c r="I5" i="6"/>
  <c r="H5" i="6"/>
  <c r="C4" i="6"/>
  <c r="B4" i="6"/>
  <c r="I15" i="6"/>
  <c r="H15" i="6"/>
  <c r="I6" i="7"/>
  <c r="H6" i="7"/>
  <c r="C15" i="7"/>
  <c r="B15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5" i="7"/>
  <c r="D13" i="10"/>
  <c r="D14" i="10"/>
  <c r="D12" i="10"/>
  <c r="D11" i="10"/>
  <c r="C8" i="10"/>
  <c r="B8" i="10"/>
  <c r="D8" i="10"/>
  <c r="D6" i="10"/>
  <c r="D4" i="10"/>
  <c r="D3" i="10"/>
  <c r="D19" i="2"/>
  <c r="K13" i="6"/>
  <c r="B19" i="5"/>
  <c r="B14" i="7"/>
  <c r="B20" i="5"/>
  <c r="C14" i="7"/>
  <c r="D14" i="7"/>
  <c r="D15" i="7"/>
  <c r="B17" i="6"/>
  <c r="C16" i="7"/>
  <c r="D16" i="7"/>
  <c r="N19" i="6"/>
  <c r="N11" i="6"/>
  <c r="B16" i="6"/>
  <c r="B16" i="7"/>
  <c r="B11" i="6"/>
  <c r="B8" i="7"/>
  <c r="D8" i="7"/>
  <c r="H13" i="5"/>
  <c r="H14" i="5"/>
  <c r="L10" i="5"/>
  <c r="L11" i="5"/>
  <c r="P10" i="5"/>
  <c r="P11" i="5"/>
  <c r="P21" i="5"/>
  <c r="P22" i="5"/>
  <c r="L21" i="5"/>
  <c r="L22" i="5"/>
  <c r="H24" i="5"/>
  <c r="H25" i="5"/>
</calcChain>
</file>

<file path=xl/sharedStrings.xml><?xml version="1.0" encoding="utf-8"?>
<sst xmlns="http://schemas.openxmlformats.org/spreadsheetml/2006/main" count="528" uniqueCount="248">
  <si>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</si>
  <si>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</si>
  <si>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</si>
  <si>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</si>
  <si>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</si>
  <si>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</si>
  <si>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</si>
  <si>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</si>
  <si>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</si>
  <si>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</si>
  <si>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</si>
  <si>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</si>
  <si>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</si>
  <si>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</si>
  <si>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</si>
  <si>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</si>
  <si>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</si>
  <si>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</si>
  <si>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</si>
  <si>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</si>
  <si>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</si>
  <si>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</si>
  <si>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</si>
  <si>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</si>
  <si>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</si>
  <si>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</si>
  <si>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</si>
  <si>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</si>
  <si>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</si>
  <si>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</si>
  <si>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</si>
  <si>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</si>
  <si>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</si>
  <si>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</si>
  <si>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</si>
  <si>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</si>
  <si>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</si>
  <si>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</si>
  <si>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</si>
  <si>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</si>
  <si>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</si>
  <si>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</si>
  <si>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</si>
  <si>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</si>
  <si>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</si>
  <si>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</si>
  <si>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</si>
  <si>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</si>
  <si>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</si>
  <si>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</si>
  <si>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</si>
  <si>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</si>
  <si>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</si>
  <si>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</si>
  <si>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</si>
  <si>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</si>
  <si>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</si>
  <si>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</si>
  <si>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</si>
  <si>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</si>
  <si>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</si>
  <si>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</si>
  <si>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</si>
  <si>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</si>
  <si>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</si>
  <si>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</si>
  <si>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</si>
  <si>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Results</t>
  </si>
  <si>
    <t>Utility estimate</t>
  </si>
  <si>
    <t>Sign</t>
  </si>
  <si>
    <t>Probability</t>
  </si>
  <si>
    <t>we have factory farming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</si>
  <si>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</si>
  <si>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</si>
  <si>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</si>
  <si>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</si>
  <si>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</si>
  <si>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</si>
  <si>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</si>
  <si>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</si>
  <si>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</si>
  <si>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</si>
  <si>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</si>
  <si>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</si>
  <si>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</si>
  <si>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</si>
  <si>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</si>
  <si>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</si>
  <si>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</si>
  <si>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</si>
  <si>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</si>
  <si>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</si>
  <si>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</si>
  <si>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</si>
  <si>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</si>
  <si>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</si>
  <si>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</si>
  <si>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</si>
  <si>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</si>
  <si>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</si>
  <si>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</si>
  <si>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</si>
  <si>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</si>
  <si>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</si>
  <si>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</si>
  <si>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</si>
  <si>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</si>
  <si>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</si>
  <si>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</si>
  <si>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</si>
  <si>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</si>
  <si>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</si>
  <si>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</si>
  <si>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</si>
  <si>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</si>
  <si>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</si>
  <si>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</si>
  <si>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</si>
  <si>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</si>
  <si>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</si>
  <si>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</si>
  <si>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</si>
  <si>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</si>
  <si>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</si>
  <si>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</si>
  <si>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</si>
  <si>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</si>
  <si>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</si>
  <si>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</si>
  <si>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</si>
  <si>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</si>
  <si>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</si>
  <si>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</si>
  <si>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</si>
  <si>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</si>
  <si>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</si>
  <si>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</si>
  <si>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</si>
  <si>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</si>
  <si>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</si>
  <si>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</si>
  <si>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</si>
  <si>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</si>
  <si>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</t>
  </si>
  <si>
    <t>Biological condition (negative)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</si>
  <si>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</si>
  <si>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</si>
  <si>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</si>
  <si>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</si>
  <si>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</si>
  <si>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</si>
  <si>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</si>
  <si>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</si>
  <si>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</si>
  <si>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utiliy estimate</t>
  </si>
  <si>
    <t>Computronium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</si>
  <si>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</si>
  <si>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</si>
  <si>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</si>
  <si>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</si>
  <si>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</si>
  <si>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animals per year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</si>
  <si>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</si>
  <si>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</si>
  <si>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</si>
  <si>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</si>
  <si>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</si>
  <si>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</si>
  <si>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</si>
  <si>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</si>
  <si>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</si>
  <si>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</si>
  <si>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</si>
  <si>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</si>
  <si>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</si>
  <si>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</si>
  <si>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</si>
  <si>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</si>
  <si>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</si>
  <si>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</si>
  <si>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</si>
  <si>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</si>
  <si>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</si>
  <si>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</si>
  <si>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</si>
  <si>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</si>
  <si>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</si>
  <si>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</si>
  <si>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</si>
  <si>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</si>
  <si>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</si>
  <si>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</si>
  <si>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</si>
  <si>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</si>
  <si>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</si>
  <si>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</si>
  <si>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</si>
  <si>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</si>
  <si>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</si>
  <si>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Fully split condition</t>
  </si>
  <si>
    <t>Negative effect on suffering simulations</t>
  </si>
  <si>
    <t>from looking at random articles I found on Google, adjusting for overconfidence</t>
  </si>
  <si>
    <t>Pareto posterior (weighted)</t>
  </si>
  <si>
    <t>Log-normal posterior (weighted)</t>
  </si>
  <si>
    <t>weighted by sign and probability from "EV of Far Future"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</si>
  <si>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</si>
  <si>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</si>
  <si>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</si>
  <si>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</si>
  <si>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</si>
  <si>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</si>
  <si>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</si>
  <si>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</si>
  <si>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</si>
  <si>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</si>
  <si>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</si>
  <si>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</si>
  <si>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</si>
  <si>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</si>
  <si>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</si>
  <si>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</si>
  <si>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</si>
  <si>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</si>
  <si>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</si>
  <si>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</si>
  <si>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</si>
  <si>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</si>
  <si>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</si>
  <si>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</si>
  <si>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</si>
  <si>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</si>
  <si>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</si>
  <si>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sentience adjustment lower than for just chickens b/c includes fish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</si>
  <si>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</si>
  <si>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</si>
  <si>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</si>
  <si>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</si>
  <si>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(positive only for now)</t>
  </si>
  <si>
    <t>global poverty</t>
  </si>
  <si>
    <t>factory farming</t>
  </si>
  <si>
    <t>wild animals</t>
  </si>
  <si>
    <t>sentient simulations</t>
  </si>
  <si>
    <t>far future</t>
  </si>
  <si>
    <t>TODO: I don't know what's a reasonable way to calculate variance here, should use something like Metropolis-Hastings</t>
  </si>
  <si>
    <t>should be 43.27</t>
  </si>
  <si>
    <t>should be 829.78</t>
  </si>
  <si>
    <t>Enable calculations?</t>
  </si>
  <si>
    <t>0 for false, 1 for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</si>
</sst>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41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4" borderId="0" xfId="0" applyFont="1" applyFill="1"/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2" fontId="5" fillId="0" borderId="0" xfId="0" applyNumberFormat="1" applyFont="1"/>
    <xf numFmtId="0" fontId="0" fillId="5" borderId="0" xfId="0" applyNumberFormat="1" applyFill="1"/>
    <xf numFmtId="0" fontId="3" fillId="0" borderId="0" xfId="0" applyFont="1" applyFill="1" applyAlignment="1">
      <alignment wrapText="1"/>
    </xf>
    <xf numFmtId="0" fontId="0" fillId="0" borderId="0" xfId="0" applyFont="1" applyFill="1" applyAlignment="1">
      <alignment wrapText="1"/>
    </xf>
    <xf numFmtId="0" fontId="0" fillId="0" borderId="0" xfId="0" applyNumberFormat="1"/>
    <xf numFmtId="0" fontId="0" fillId="17" borderId="0" xfId="0" applyFill="1"/>
    <xf numFmtId="0" fontId="0" fillId="0" borderId="0" xfId="0" applyFont="1" applyFill="1"/>
  </cellXfs>
  <cellStyles count="14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K4" sqref="K4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196</v>
      </c>
      <c r="G1" s="7" t="s">
        <v>198</v>
      </c>
    </row>
    <row r="2" spans="1:12">
      <c r="J2" t="s">
        <v>195</v>
      </c>
    </row>
    <row r="3" spans="1:12">
      <c r="A3" s="1" t="s">
        <v>153</v>
      </c>
      <c r="H3" t="s">
        <v>164</v>
      </c>
      <c r="I3" t="s">
        <v>34</v>
      </c>
      <c r="J3" s="30" t="s">
        <v>148</v>
      </c>
      <c r="K3" s="30" t="s">
        <v>149</v>
      </c>
    </row>
    <row r="4" spans="1:12">
      <c r="B4" s="30" t="s">
        <v>148</v>
      </c>
      <c r="C4" s="30" t="s">
        <v>149</v>
      </c>
      <c r="D4" s="30" t="s">
        <v>197</v>
      </c>
      <c r="G4" s="47" t="s">
        <v>150</v>
      </c>
      <c r="H4" s="4">
        <f>GiveDirectly!G3</f>
        <v>1</v>
      </c>
      <c r="I4">
        <f>GiveDirectly!H3</f>
        <v>6.25E-2</v>
      </c>
      <c r="J4" s="5">
        <f>ParetoPosterior(median,alpha,H4:I4)</f>
        <v>0.99999999999999978</v>
      </c>
      <c r="K4" s="5" t="e">
        <f>LognormPosterior(mu,sigma,H4:I4)</f>
        <v>#VALUE!</v>
      </c>
    </row>
    <row r="5" spans="1:12">
      <c r="A5" s="30" t="s">
        <v>150</v>
      </c>
      <c r="B5" s="5">
        <f>GiveDirectly!B14</f>
        <v>0.99999999999999978</v>
      </c>
      <c r="C5" s="5" t="e">
        <f>GiveDirectly!B15</f>
        <v>#VALUE!</v>
      </c>
      <c r="D5" s="5" t="e">
        <f>C5/$C$5</f>
        <v>#VALUE!</v>
      </c>
      <c r="G5" s="4" t="s">
        <v>162</v>
      </c>
      <c r="H5" s="4">
        <v>11</v>
      </c>
      <c r="I5">
        <f>0.5^2</f>
        <v>0.25</v>
      </c>
      <c r="J5" s="5">
        <f>ParetoPosterior(median,alpha,H5:I5)</f>
        <v>3.8986159354811023</v>
      </c>
      <c r="K5" s="5" t="e">
        <f>LognormPosterior(mu,sigma,H5:I5)</f>
        <v>#VALUE!</v>
      </c>
    </row>
    <row r="6" spans="1:12">
      <c r="A6" s="30" t="s">
        <v>151</v>
      </c>
      <c r="B6" s="5"/>
      <c r="C6" s="5">
        <f>MAX('Veg Ads'!H7,'Veg Ads'!M10,'Veg Ads'!H22,'Veg Ads'!H34,'Veg Ads'!H46)</f>
        <v>0</v>
      </c>
      <c r="D6" s="5" t="e">
        <f>C6/C5</f>
        <v>#VALUE!</v>
      </c>
      <c r="E6" t="s">
        <v>229</v>
      </c>
      <c r="G6" s="4" t="s">
        <v>151</v>
      </c>
      <c r="H6" s="19">
        <f>'Veg Ads'!H5</f>
        <v>4524.9309386995064</v>
      </c>
      <c r="I6">
        <f>'Veg Ads'!I5</f>
        <v>0.59504262895320126</v>
      </c>
      <c r="J6" s="5">
        <f>ParetoPosterior(median,alpha,H6:I6)</f>
        <v>61.184929894216673</v>
      </c>
      <c r="K6" s="5" t="e">
        <f>LognormPosterior(mu,sigma,H6:I6)</f>
        <v>#VALUE!</v>
      </c>
    </row>
    <row r="7" spans="1:12">
      <c r="A7" s="30" t="s">
        <v>230</v>
      </c>
      <c r="B7" s="5"/>
      <c r="C7" s="5" t="e">
        <f>ACE!I17</f>
        <v>#VALUE!</v>
      </c>
      <c r="D7" s="5" t="e">
        <f>C7/$C$5</f>
        <v>#VALUE!</v>
      </c>
      <c r="G7" s="4" t="s">
        <v>163</v>
      </c>
      <c r="H7" s="19">
        <v>22000</v>
      </c>
      <c r="I7">
        <f>1^2</f>
        <v>1</v>
      </c>
      <c r="J7" s="5">
        <f>ParetoPosterior(median,alpha,H7:I7)</f>
        <v>31.180318497090159</v>
      </c>
      <c r="K7" s="5" t="e">
        <f>LognormPosterior(mu,sigma,H7:I7)</f>
        <v>#VALUE!</v>
      </c>
    </row>
    <row r="8" spans="1:12">
      <c r="A8" s="30" t="s">
        <v>152</v>
      </c>
      <c r="B8" s="5">
        <f>'AI Safety'!B11</f>
        <v>1.1699032688722896E+16</v>
      </c>
      <c r="C8" s="5" t="str">
        <f>'AI Safety'!B12</f>
        <v>disabled</v>
      </c>
      <c r="D8" s="5" t="e">
        <f>C8/$C$5</f>
        <v>#VALUE!</v>
      </c>
      <c r="G8" s="4"/>
      <c r="H8" s="19"/>
      <c r="I8" s="4"/>
      <c r="K8" s="4"/>
      <c r="L8" s="4"/>
    </row>
    <row r="9" spans="1:12">
      <c r="A9" s="30" t="s">
        <v>194</v>
      </c>
      <c r="B9" s="5" t="e">
        <f>'AI Targeted Values Spreading'!B25</f>
        <v>#VALUE!</v>
      </c>
      <c r="C9" s="5" t="e">
        <f>'AI Targeted Values Spreading'!C25</f>
        <v>#VALUE!</v>
      </c>
      <c r="D9" s="5" t="e">
        <f>C9/$C$5</f>
        <v>#VALUE!</v>
      </c>
    </row>
    <row r="12" spans="1:12">
      <c r="A12" s="1" t="s">
        <v>158</v>
      </c>
    </row>
    <row r="13" spans="1:12">
      <c r="B13" s="30" t="s">
        <v>148</v>
      </c>
      <c r="C13" s="30" t="s">
        <v>149</v>
      </c>
      <c r="D13" s="30" t="s">
        <v>197</v>
      </c>
    </row>
    <row r="14" spans="1:12">
      <c r="A14" s="30" t="s">
        <v>150</v>
      </c>
      <c r="B14" s="5">
        <f>GiveDirectly!B19</f>
        <v>0.99999999999999978</v>
      </c>
      <c r="C14" s="5" t="e">
        <f>GiveDirectly!B20</f>
        <v>#VALUE!</v>
      </c>
      <c r="D14" s="5" t="e">
        <f>C14/$C$14</f>
        <v>#VALUE!</v>
      </c>
    </row>
    <row r="15" spans="1:12">
      <c r="A15" s="30" t="s">
        <v>151</v>
      </c>
      <c r="B15" s="5">
        <f>'Veg Ads'!B27</f>
        <v>551196598527200</v>
      </c>
      <c r="C15" s="5" t="e">
        <f>'Veg Ads'!B28</f>
        <v>#VALUE!</v>
      </c>
      <c r="D15" s="5" t="e">
        <f>C15/$C$14</f>
        <v>#VALUE!</v>
      </c>
    </row>
    <row r="16" spans="1:12">
      <c r="A16" s="30" t="s">
        <v>152</v>
      </c>
      <c r="B16" s="5">
        <f>'AI Safety'!B16</f>
        <v>2.4116564674346573E+18</v>
      </c>
      <c r="C16" s="5" t="e">
        <f>'AI Safety'!B17</f>
        <v>#VALUE!</v>
      </c>
      <c r="D16" s="5" t="e">
        <f>C16/$C$14</f>
        <v>#VALUE!</v>
      </c>
    </row>
    <row r="19" spans="1:4">
      <c r="A19" s="1" t="s">
        <v>205</v>
      </c>
    </row>
    <row r="20" spans="1:4">
      <c r="B20" s="30" t="s">
        <v>148</v>
      </c>
      <c r="C20" s="30" t="s">
        <v>149</v>
      </c>
      <c r="D20" s="30" t="s">
        <v>197</v>
      </c>
    </row>
    <row r="21" spans="1:4">
      <c r="A21" s="30" t="s">
        <v>150</v>
      </c>
      <c r="B21" s="5"/>
      <c r="C21" s="5"/>
      <c r="D21" s="5"/>
    </row>
    <row r="22" spans="1:4">
      <c r="A22" s="30" t="s">
        <v>151</v>
      </c>
      <c r="B22" s="5">
        <f>'Veg Ads'!B27</f>
        <v>551196598527200</v>
      </c>
      <c r="C22" s="5" t="e">
        <f>'Veg Ads'!B28</f>
        <v>#VALUE!</v>
      </c>
      <c r="D22" s="5"/>
    </row>
    <row r="23" spans="1:4">
      <c r="A23" s="30" t="s">
        <v>152</v>
      </c>
      <c r="B23" s="5" t="e">
        <f>'AI Safety'!B21</f>
        <v>#VALUE!</v>
      </c>
      <c r="C23" s="5" t="e">
        <f>'AI Safety'!B22</f>
        <v>#VALUE!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N3" sqref="N3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8" width="10.83203125" customWidth="1"/>
    <col min="10" max="10" width="10.83203125" customWidth="1"/>
    <col min="13" max="13" width="10.83203125" customWidth="1"/>
    <col min="14" max="14" width="21.6640625" customWidth="1"/>
  </cols>
  <sheetData>
    <row r="1" spans="1:15" ht="20">
      <c r="A1" s="7" t="s">
        <v>6</v>
      </c>
      <c r="E1" s="7" t="s">
        <v>100</v>
      </c>
      <c r="F1" t="s">
        <v>238</v>
      </c>
      <c r="G1" t="s">
        <v>239</v>
      </c>
      <c r="H1" t="s">
        <v>240</v>
      </c>
      <c r="I1" t="s">
        <v>241</v>
      </c>
      <c r="J1" t="s">
        <v>242</v>
      </c>
      <c r="M1" s="1"/>
      <c r="N1" s="7" t="s">
        <v>246</v>
      </c>
    </row>
    <row r="2" spans="1:15">
      <c r="A2" s="5" t="s">
        <v>5</v>
      </c>
      <c r="B2" s="24">
        <v>1</v>
      </c>
      <c r="D2" t="s">
        <v>131</v>
      </c>
      <c r="E2" s="5" t="s">
        <v>101</v>
      </c>
      <c r="F2" s="11">
        <v>1</v>
      </c>
      <c r="G2" s="11">
        <v>1</v>
      </c>
      <c r="H2" s="42">
        <v>1</v>
      </c>
      <c r="I2" s="11">
        <v>1</v>
      </c>
      <c r="J2" s="11">
        <v>1</v>
      </c>
      <c r="N2" s="46">
        <v>0</v>
      </c>
      <c r="O2" t="s">
        <v>247</v>
      </c>
    </row>
    <row r="3" spans="1:15">
      <c r="A3" s="5" t="s">
        <v>4</v>
      </c>
      <c r="B3" s="11">
        <v>2</v>
      </c>
      <c r="D3" t="s">
        <v>236</v>
      </c>
      <c r="E3" s="5" t="s">
        <v>102</v>
      </c>
      <c r="F3" s="11">
        <v>0.6</v>
      </c>
      <c r="G3" s="11">
        <f>sigma_global_poverty</f>
        <v>0.6</v>
      </c>
      <c r="H3" s="11">
        <f>sigma_global_poverty</f>
        <v>0.6</v>
      </c>
      <c r="I3" s="11">
        <f>sigma_global_poverty</f>
        <v>0.6</v>
      </c>
      <c r="J3" s="11">
        <f>sigma_global_poverty</f>
        <v>0.6</v>
      </c>
    </row>
    <row r="5" spans="1:15" ht="20">
      <c r="A5" s="7" t="s">
        <v>17</v>
      </c>
      <c r="N5" s="7" t="s">
        <v>113</v>
      </c>
    </row>
    <row r="6" spans="1:15">
      <c r="A6" s="14" t="s">
        <v>7</v>
      </c>
      <c r="B6" s="12">
        <v>0.2</v>
      </c>
      <c r="C6" s="14" t="s">
        <v>16</v>
      </c>
      <c r="D6" s="12">
        <v>0.7</v>
      </c>
      <c r="N6" s="30" t="s">
        <v>115</v>
      </c>
    </row>
    <row r="7" spans="1:15">
      <c r="N7" s="34" t="s">
        <v>114</v>
      </c>
    </row>
    <row r="8" spans="1:15">
      <c r="A8" s="14" t="s">
        <v>8</v>
      </c>
      <c r="B8" s="12">
        <v>0.7</v>
      </c>
      <c r="C8" s="14" t="s">
        <v>9</v>
      </c>
      <c r="D8" s="12">
        <v>0.8</v>
      </c>
      <c r="E8" s="14" t="s">
        <v>71</v>
      </c>
      <c r="F8" s="12">
        <v>0.3</v>
      </c>
      <c r="N8" s="28" t="s">
        <v>60</v>
      </c>
    </row>
    <row r="9" spans="1:15">
      <c r="A9" s="14"/>
      <c r="B9" s="12"/>
      <c r="C9" s="14"/>
      <c r="D9" s="12"/>
      <c r="E9" s="14" t="s">
        <v>11</v>
      </c>
      <c r="F9" s="13">
        <v>0.4</v>
      </c>
      <c r="N9" t="s">
        <v>147</v>
      </c>
    </row>
    <row r="10" spans="1:15">
      <c r="E10" s="14" t="s">
        <v>10</v>
      </c>
      <c r="F10" s="13">
        <v>0.3</v>
      </c>
      <c r="N10" s="29" t="s">
        <v>177</v>
      </c>
    </row>
    <row r="11" spans="1:15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5">
      <c r="C12" s="14" t="s">
        <v>14</v>
      </c>
      <c r="D12" s="12">
        <v>0.75</v>
      </c>
    </row>
    <row r="13" spans="1:15">
      <c r="C13" s="14" t="s">
        <v>15</v>
      </c>
      <c r="D13" s="12">
        <v>0.05</v>
      </c>
    </row>
    <row r="15" spans="1:15" ht="20">
      <c r="A15" s="7" t="s">
        <v>41</v>
      </c>
    </row>
    <row r="16" spans="1:15" ht="20">
      <c r="B16" t="s">
        <v>50</v>
      </c>
      <c r="C16" s="4" t="s">
        <v>51</v>
      </c>
      <c r="D16" t="s">
        <v>53</v>
      </c>
      <c r="E16" t="s">
        <v>34</v>
      </c>
      <c r="F16" t="s">
        <v>31</v>
      </c>
      <c r="N16" s="7" t="s">
        <v>83</v>
      </c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15">
        <v>0</v>
      </c>
      <c r="O17" t="s">
        <v>2</v>
      </c>
    </row>
    <row r="18" spans="1:16" ht="30">
      <c r="A18" s="20" t="s">
        <v>43</v>
      </c>
      <c r="B18" s="15">
        <v>-5</v>
      </c>
      <c r="C18" s="15">
        <v>0.3</v>
      </c>
      <c r="D18">
        <f t="shared" ref="D18:D24" si="0">ABS(B18)*C18</f>
        <v>1.5</v>
      </c>
      <c r="E18" s="15">
        <v>0.1</v>
      </c>
      <c r="F18" t="s">
        <v>232</v>
      </c>
      <c r="L18" s="3"/>
      <c r="N18" s="29" t="s">
        <v>30</v>
      </c>
      <c r="O18" s="27">
        <v>20000000000</v>
      </c>
      <c r="P18" s="3"/>
    </row>
    <row r="19" spans="1:16">
      <c r="A19" s="29" t="s">
        <v>159</v>
      </c>
      <c r="B19" s="15">
        <v>1</v>
      </c>
      <c r="C19" s="15">
        <v>0.5</v>
      </c>
      <c r="D19">
        <f t="shared" si="0"/>
        <v>0.5</v>
      </c>
      <c r="E19" s="15">
        <v>0.2</v>
      </c>
      <c r="F19" t="s">
        <v>233</v>
      </c>
      <c r="L19" s="3"/>
      <c r="N19" s="29" t="s">
        <v>120</v>
      </c>
      <c r="O19" s="15">
        <v>0.05</v>
      </c>
      <c r="P19" s="3"/>
    </row>
    <row r="20" spans="1:16" ht="30">
      <c r="A20" s="20" t="s">
        <v>44</v>
      </c>
      <c r="B20" s="15">
        <v>-1</v>
      </c>
      <c r="C20" s="15">
        <v>0.2</v>
      </c>
      <c r="D20">
        <f t="shared" si="0"/>
        <v>0.2</v>
      </c>
      <c r="E20" s="15">
        <v>0.4</v>
      </c>
      <c r="F20" t="s">
        <v>231</v>
      </c>
      <c r="L20" s="3"/>
      <c r="N20" s="3"/>
      <c r="P20" s="3"/>
    </row>
    <row r="21" spans="1:16">
      <c r="A21" s="20" t="s">
        <v>45</v>
      </c>
      <c r="B21" s="15">
        <v>-2</v>
      </c>
      <c r="C21" s="15">
        <v>0.01</v>
      </c>
      <c r="D21">
        <f t="shared" si="0"/>
        <v>0.02</v>
      </c>
      <c r="E21" s="15">
        <v>0.5</v>
      </c>
      <c r="F21" t="s">
        <v>234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15">
        <v>0.8</v>
      </c>
      <c r="F22" t="s">
        <v>52</v>
      </c>
    </row>
    <row r="23" spans="1:16">
      <c r="A23" s="20" t="s">
        <v>48</v>
      </c>
      <c r="B23" s="15">
        <v>-1</v>
      </c>
      <c r="C23" s="15">
        <v>0.1</v>
      </c>
      <c r="D23">
        <f t="shared" si="0"/>
        <v>0.1</v>
      </c>
      <c r="E23" s="15">
        <v>1</v>
      </c>
      <c r="F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15">
        <v>0.8</v>
      </c>
      <c r="F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1">A31</f>
        <v>years of future</v>
      </c>
      <c r="K31">
        <f t="shared" ref="K31:K33" si="2">SQRT(B31*C31)</f>
        <v>316227766016.83789</v>
      </c>
      <c r="L31" s="3">
        <f t="shared" ref="L31:L33" si="3">LogVariance(B31,C31)</f>
        <v>0.39015207303618948</v>
      </c>
      <c r="M31" s="3"/>
      <c r="N31" s="16" t="str">
        <f t="shared" ref="N31:N35" si="4">E31</f>
        <v>years of future</v>
      </c>
      <c r="O31">
        <f t="shared" ref="O31:O35" si="5">SQRT(F31*G31)</f>
        <v>316227766016.83789</v>
      </c>
      <c r="P31" s="3">
        <f t="shared" ref="P31:P36" si="6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1"/>
        <v>usable wattage</v>
      </c>
      <c r="K32">
        <f t="shared" si="2"/>
        <v>3.1622776601683796E+22</v>
      </c>
      <c r="L32" s="3">
        <f t="shared" si="3"/>
        <v>1.9507603651809475</v>
      </c>
      <c r="N32" s="16" t="str">
        <f t="shared" si="4"/>
        <v>humans per star</v>
      </c>
      <c r="O32">
        <f t="shared" si="5"/>
        <v>100000000000</v>
      </c>
      <c r="P32" s="3">
        <f t="shared" si="6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2"/>
        <v>0.1</v>
      </c>
      <c r="L33" s="3">
        <f t="shared" si="3"/>
        <v>0</v>
      </c>
      <c r="N33" s="16" t="str">
        <f t="shared" si="4"/>
        <v>factory farmed animals per star</v>
      </c>
      <c r="O33">
        <f t="shared" si="5"/>
        <v>100000000000</v>
      </c>
      <c r="P33" s="3">
        <f t="shared" si="6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4"/>
        <v>wild vertebrates per star</v>
      </c>
      <c r="O34">
        <f t="shared" si="5"/>
        <v>316227766016837.94</v>
      </c>
      <c r="P34" s="3">
        <f t="shared" si="6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4"/>
        <v>insects per star</v>
      </c>
      <c r="O35">
        <f t="shared" si="5"/>
        <v>1E+19</v>
      </c>
      <c r="P35" s="3">
        <f t="shared" si="6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6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169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63"/>
  <sheetViews>
    <sheetView workbookViewId="0">
      <selection activeCell="L10" sqref="L10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67</v>
      </c>
    </row>
    <row r="2" spans="1:18" ht="15" customHeight="1">
      <c r="B2" t="s">
        <v>2</v>
      </c>
      <c r="C2" t="s">
        <v>3</v>
      </c>
      <c r="F2" s="6"/>
      <c r="G2" t="s">
        <v>2</v>
      </c>
      <c r="H2" t="s">
        <v>3</v>
      </c>
      <c r="L2" s="28" t="s">
        <v>68</v>
      </c>
      <c r="M2" s="28" t="s">
        <v>34</v>
      </c>
      <c r="N2" t="s">
        <v>69</v>
      </c>
      <c r="P2" t="s">
        <v>70</v>
      </c>
      <c r="Q2" s="4"/>
      <c r="R2" s="4"/>
    </row>
    <row r="3" spans="1:18" ht="15" customHeight="1">
      <c r="A3" s="6" t="s">
        <v>18</v>
      </c>
      <c r="B3" s="4">
        <f>VLOOKUP($A3,Globals!$J$30:$L$34,2,FALSE)</f>
        <v>3162277660168.3794</v>
      </c>
      <c r="C3" s="4">
        <f>VLOOKUP($A3,Globals!$J$30:$L$34,3,FALSE)</f>
        <v>1.1704562191085683</v>
      </c>
      <c r="F3" s="6" t="s">
        <v>18</v>
      </c>
      <c r="G3">
        <f>VLOOKUP($F3,Globals!$N$30:$P$36,2,FALSE)</f>
        <v>1000000000000</v>
      </c>
      <c r="H3">
        <f>VLOOKUP($F3,Globals!$N$30:$P$36,3,FALSE)</f>
        <v>1.5606082921447579</v>
      </c>
      <c r="K3" t="s">
        <v>73</v>
      </c>
      <c r="L3" s="26">
        <f>G10</f>
        <v>3.1622776601683788E+34</v>
      </c>
      <c r="M3" s="26">
        <f>H10</f>
        <v>2.7310645112533267</v>
      </c>
      <c r="N3">
        <v>1</v>
      </c>
      <c r="O3" t="s">
        <v>91</v>
      </c>
      <c r="P3">
        <f>p_biological</f>
        <v>0.7</v>
      </c>
      <c r="Q3" s="4"/>
      <c r="R3" s="4"/>
    </row>
    <row r="4" spans="1:18" ht="15" customHeight="1">
      <c r="A4" s="6" t="s">
        <v>20</v>
      </c>
      <c r="B4" s="4">
        <f>VLOOKUP($A4,Globals!$J$30:$L$34,2,FALSE)</f>
        <v>316227766016.83789</v>
      </c>
      <c r="C4" s="4">
        <f>VLOOKUP($A4,Globals!$J$30:$L$34,3,FALSE)</f>
        <v>0.39015207303618948</v>
      </c>
      <c r="F4" s="6" t="s">
        <v>20</v>
      </c>
      <c r="G4">
        <f>VLOOKUP($F4,Globals!$N$30:$P$36,2,FALSE)</f>
        <v>316227766016.83789</v>
      </c>
      <c r="H4">
        <f>VLOOKUP($F4,Globals!$N$30:$P$36,3,FALSE)</f>
        <v>0.39015207303618948</v>
      </c>
      <c r="K4" t="s">
        <v>72</v>
      </c>
      <c r="L4" s="26">
        <f>G16</f>
        <v>4.7434164902525682E+34</v>
      </c>
      <c r="M4" s="26">
        <f>H16</f>
        <v>2.8310645112533264</v>
      </c>
      <c r="N4">
        <v>-1</v>
      </c>
      <c r="O4" t="s">
        <v>80</v>
      </c>
      <c r="P4">
        <f>p_biological*p_not_care_about_animals*p_factory_farming</f>
        <v>0.16799999999999998</v>
      </c>
      <c r="Q4" s="4"/>
      <c r="R4" s="4"/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K5" t="s">
        <v>74</v>
      </c>
      <c r="L5" s="26">
        <f>G22</f>
        <v>1.9999999999999997E+37</v>
      </c>
      <c r="M5" s="26">
        <f>H22</f>
        <v>3.5212165842895158</v>
      </c>
      <c r="N5">
        <v>-1</v>
      </c>
      <c r="O5" t="s">
        <v>92</v>
      </c>
      <c r="P5">
        <f>p_biological*p_not_care_about_animals*p_spread_was</f>
        <v>0.22399999999999998</v>
      </c>
      <c r="Q5" s="4"/>
      <c r="R5" s="4"/>
    </row>
    <row r="6" spans="1:18" ht="15" customHeight="1">
      <c r="A6" s="6" t="s">
        <v>46</v>
      </c>
      <c r="B6" s="4">
        <f>VLOOKUP($A6,Globals!$J$30:$L$34,2,FALSE)</f>
        <v>0.1</v>
      </c>
      <c r="C6" s="4">
        <f>VLOOKUP($A6,Globals!$J$30:$L$34,3,FALSE)</f>
        <v>0</v>
      </c>
      <c r="K6" t="s">
        <v>75</v>
      </c>
      <c r="L6" s="26">
        <f>G28</f>
        <v>6.324555320336757E+40</v>
      </c>
      <c r="M6" s="26">
        <f>H28</f>
        <v>4.0113686573257059</v>
      </c>
      <c r="N6">
        <v>-1</v>
      </c>
      <c r="O6" t="s">
        <v>93</v>
      </c>
      <c r="P6">
        <f>p_biological*p_not_care_about_animals*p_spread_was</f>
        <v>0.22399999999999998</v>
      </c>
      <c r="Q6" s="4"/>
      <c r="R6" s="4"/>
    </row>
    <row r="7" spans="1:18" ht="15" customHeight="1">
      <c r="F7" s="21" t="s">
        <v>58</v>
      </c>
      <c r="K7" t="s">
        <v>76</v>
      </c>
      <c r="L7" s="26">
        <f>G35</f>
        <v>1.9999999999999993E+39</v>
      </c>
      <c r="M7" s="26">
        <f>H35</f>
        <v>5.1818248764342734</v>
      </c>
      <c r="N7">
        <v>-1</v>
      </c>
      <c r="O7" t="s">
        <v>94</v>
      </c>
      <c r="P7">
        <f>p_biological*p_not_care_about_animals*p_suffering_simulations</f>
        <v>0.16799999999999998</v>
      </c>
      <c r="Q7" s="4"/>
      <c r="R7" s="4"/>
    </row>
    <row r="8" spans="1:18" ht="15" customHeight="1">
      <c r="F8" s="6" t="s">
        <v>21</v>
      </c>
      <c r="G8">
        <f>VLOOKUP($F8,Globals!$N$30:$P$36,2,FALSE)</f>
        <v>100000000000</v>
      </c>
      <c r="H8">
        <f>VLOOKUP($F8,Globals!$N$30:$P$36,3,FALSE)</f>
        <v>0.78030414607237897</v>
      </c>
      <c r="K8" t="s">
        <v>77</v>
      </c>
      <c r="L8" s="26">
        <f>B11</f>
        <v>3.1622776601683793E+48</v>
      </c>
      <c r="M8" s="26">
        <f>C11</f>
        <v>4.3113686573257057</v>
      </c>
      <c r="N8">
        <v>1</v>
      </c>
      <c r="O8" t="s">
        <v>95</v>
      </c>
      <c r="P8">
        <f>p_computronium*p_hedonium</f>
        <v>2.0000000000000004E-2</v>
      </c>
      <c r="Q8" s="4"/>
      <c r="R8" s="4"/>
    </row>
    <row r="9" spans="1:18" ht="15" customHeight="1">
      <c r="A9" s="21" t="s">
        <v>55</v>
      </c>
      <c r="F9" s="6" t="s">
        <v>42</v>
      </c>
      <c r="G9">
        <f>VLOOKUP($F9,Globals!$A$17:$E$24,4,FALSE)</f>
        <v>1</v>
      </c>
      <c r="H9">
        <f>VLOOKUP($F9,Globals!$A$17:$E$24,5,FALSE)</f>
        <v>0</v>
      </c>
      <c r="K9" t="s">
        <v>78</v>
      </c>
      <c r="L9" s="26">
        <f>B16</f>
        <v>3.1622776601683798E+44</v>
      </c>
      <c r="M9" s="26">
        <f>C16</f>
        <v>4.5113686573257059</v>
      </c>
      <c r="N9">
        <v>-1</v>
      </c>
      <c r="O9" t="s">
        <v>96</v>
      </c>
      <c r="P9">
        <f>p_computronium*p_paperclip</f>
        <v>7.5000000000000011E-2</v>
      </c>
      <c r="Q9" s="4"/>
      <c r="R9" s="4"/>
    </row>
    <row r="10" spans="1:18" ht="15" customHeight="1">
      <c r="A10" s="6" t="s">
        <v>47</v>
      </c>
      <c r="B10" s="4">
        <f>VLOOKUP($A10,Globals!$A$17:$E$24,4,FALSE)</f>
        <v>1000</v>
      </c>
      <c r="C10" s="4">
        <f>VLOOKUP($A10,Globals!$A$17:$E$24,5,FALSE)</f>
        <v>0.8</v>
      </c>
      <c r="F10" s="32" t="s">
        <v>60</v>
      </c>
      <c r="G10" s="26">
        <f>PRODUCT(G$3:G$4)*PRODUCT(G8:G9)</f>
        <v>3.1622776601683788E+34</v>
      </c>
      <c r="H10" s="26">
        <f>SUM(H$3:H$4)+SUM(H8:H9)</f>
        <v>2.7310645112533267</v>
      </c>
      <c r="K10" t="s">
        <v>79</v>
      </c>
      <c r="L10" s="26">
        <f>B21</f>
        <v>3.1622776601683793E+48</v>
      </c>
      <c r="M10" s="26">
        <f>C21</f>
        <v>4.3113686573257057</v>
      </c>
      <c r="N10">
        <v>-1</v>
      </c>
      <c r="O10" t="s">
        <v>97</v>
      </c>
      <c r="P10">
        <f>p_computronium*p_dolorium</f>
        <v>5.000000000000001E-3</v>
      </c>
      <c r="Q10" s="4"/>
      <c r="R10" s="4"/>
    </row>
    <row r="11" spans="1:18" ht="15" customHeight="1">
      <c r="A11" s="31" t="s">
        <v>60</v>
      </c>
      <c r="B11" s="26">
        <f>PRODUCT($B$3:$B$6)*B10</f>
        <v>3.1622776601683793E+48</v>
      </c>
      <c r="C11" s="26">
        <f>SUM(C$3:C$6)+C10</f>
        <v>4.3113686573257057</v>
      </c>
      <c r="K11" s="30" t="s">
        <v>137</v>
      </c>
      <c r="L11" s="5">
        <f>SUMPRODUCT(L3:L7,N3:N7,P3:P7)</f>
        <v>-1.4507469750550415E+40</v>
      </c>
      <c r="M11" s="5">
        <f>MAX(M3:M7)</f>
        <v>5.1818248764342734</v>
      </c>
      <c r="Q11" s="4"/>
      <c r="R11" s="4"/>
    </row>
    <row r="12" spans="1:18" ht="15" customHeight="1">
      <c r="B12" s="4"/>
      <c r="K12" s="30" t="s">
        <v>138</v>
      </c>
      <c r="L12" s="5">
        <f>SUMPRODUCT(L8:L10,N8:N10,P8:P10)</f>
        <v>4.7410447820074434E+46</v>
      </c>
      <c r="M12" s="5">
        <f>MAX(M8:M10)</f>
        <v>4.5113686573257059</v>
      </c>
      <c r="Q12" s="4"/>
      <c r="R12" s="4"/>
    </row>
    <row r="13" spans="1:18" ht="15" customHeight="1">
      <c r="F13" s="1" t="s">
        <v>61</v>
      </c>
      <c r="K13" s="33" t="s">
        <v>136</v>
      </c>
      <c r="L13" s="5">
        <f>SUMPRODUCT(L3:L10,P3:P10,N3:N10)</f>
        <v>4.7410433312604684E+46</v>
      </c>
      <c r="M13" s="5">
        <f>MAX(M3:M10)</f>
        <v>5.1818248764342734</v>
      </c>
      <c r="Q13" s="4"/>
      <c r="R13" s="4"/>
    </row>
    <row r="14" spans="1:18" ht="15" customHeight="1">
      <c r="A14" s="21" t="s">
        <v>56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M14" t="s">
        <v>243</v>
      </c>
    </row>
    <row r="15" spans="1:18" ht="15" customHeight="1">
      <c r="A15" s="6" t="s">
        <v>48</v>
      </c>
      <c r="B15" s="4">
        <f>VLOOKUP($A15,Globals!$A$17:$E$24,4,FALSE)</f>
        <v>0.1</v>
      </c>
      <c r="C15" s="4">
        <f>VLOOKUP($A15,Globals!$A$17:$E$24,5,FALSE)</f>
        <v>1</v>
      </c>
      <c r="F15" s="6" t="s">
        <v>43</v>
      </c>
      <c r="G15">
        <f>VLOOKUP($F15,Globals!$A$17:$E$24,4,FALSE)</f>
        <v>1.5</v>
      </c>
      <c r="H15">
        <f>VLOOKUP($F15,Globals!$A$17:$E$24,5,FALSE)</f>
        <v>0.1</v>
      </c>
    </row>
    <row r="16" spans="1:18" ht="15" customHeight="1">
      <c r="A16" s="31" t="s">
        <v>60</v>
      </c>
      <c r="B16" s="26">
        <f>PRODUCT($B$3:$B$6)*B15</f>
        <v>3.1622776601683798E+44</v>
      </c>
      <c r="C16" s="26">
        <f>SUM(C$3:C$6)+C15</f>
        <v>4.5113686573257059</v>
      </c>
      <c r="F16" s="32" t="s">
        <v>60</v>
      </c>
      <c r="G16" s="26">
        <f>PRODUCT(G$3:G$4)*PRODUCT(G14:G15)</f>
        <v>4.7434164902525682E+34</v>
      </c>
      <c r="H16" s="26">
        <f>SUM(H$3:H$4)+SUM(H14:H15)</f>
        <v>2.8310645112533264</v>
      </c>
      <c r="K16" t="s">
        <v>73</v>
      </c>
      <c r="L16">
        <f>_xlfn.NORM.INV(0.05,LOG10(L3),M3)</f>
        <v>30.007798633226514</v>
      </c>
      <c r="M16">
        <f>_xlfn.NORM.INV(0.95,LOG10(L3),M3)</f>
        <v>38.992201366773486</v>
      </c>
      <c r="N16">
        <f>10^L16</f>
        <v>1.0181192132372111E+30</v>
      </c>
      <c r="O16">
        <f>10^M16</f>
        <v>9.822032498732871E+38</v>
      </c>
      <c r="P16">
        <f>SQRT(M3)</f>
        <v>1.6525932685489575</v>
      </c>
    </row>
    <row r="17" spans="1:23" ht="15" customHeight="1">
      <c r="K17" t="s">
        <v>72</v>
      </c>
      <c r="L17">
        <f t="shared" ref="L17:L23" si="0">_xlfn.NORM.INV(0.05,LOG10(L4),M4)</f>
        <v>30.01940452958705</v>
      </c>
      <c r="M17">
        <f t="shared" ref="M17:M23" si="1">_xlfn.NORM.INV(0.95,LOG10(L4),M4)</f>
        <v>39.332777988524313</v>
      </c>
      <c r="N17">
        <f t="shared" ref="N17:O23" si="2">10^L17</f>
        <v>1.0456937916361456E+30</v>
      </c>
      <c r="O17">
        <f t="shared" si="2"/>
        <v>2.151681513265531E+39</v>
      </c>
    </row>
    <row r="18" spans="1:23" ht="15" customHeight="1">
      <c r="K18" t="s">
        <v>74</v>
      </c>
      <c r="L18">
        <f t="shared" si="0"/>
        <v>31.509144125713696</v>
      </c>
      <c r="M18">
        <f t="shared" si="1"/>
        <v>43.092915865614266</v>
      </c>
      <c r="N18">
        <f t="shared" si="2"/>
        <v>3.2295657131247585E+31</v>
      </c>
      <c r="O18">
        <f t="shared" si="2"/>
        <v>1.238556621945895E+43</v>
      </c>
    </row>
    <row r="19" spans="1:23" ht="15" customHeight="1">
      <c r="A19" s="21" t="s">
        <v>57</v>
      </c>
      <c r="F19" s="1" t="s">
        <v>63</v>
      </c>
      <c r="K19" t="s">
        <v>75</v>
      </c>
      <c r="L19">
        <f t="shared" si="0"/>
        <v>34.202915710622335</v>
      </c>
      <c r="M19">
        <f t="shared" si="1"/>
        <v>47.39914428070562</v>
      </c>
      <c r="N19">
        <f t="shared" si="2"/>
        <v>1.5955694435380676E+34</v>
      </c>
      <c r="O19">
        <f t="shared" si="2"/>
        <v>2.5069419674585016E+47</v>
      </c>
      <c r="S19" s="4"/>
      <c r="T19" s="4"/>
      <c r="U19" s="4"/>
      <c r="V19" s="4"/>
      <c r="W19" s="4"/>
    </row>
    <row r="20" spans="1:23" ht="15" customHeight="1">
      <c r="A20" s="6" t="s">
        <v>49</v>
      </c>
      <c r="B20" s="4">
        <f>VLOOKUP($A20,Globals!$A$17:$E$24,4,FALSE)</f>
        <v>1000</v>
      </c>
      <c r="C20" s="4">
        <f>VLOOKUP($A20,Globals!$A$17:$E$24,5,FALSE)</f>
        <v>0.8</v>
      </c>
      <c r="F20" t="s">
        <v>23</v>
      </c>
      <c r="G20">
        <f>VLOOKUP($F20,Globals!$N$30:$P$36,2,FALSE)</f>
        <v>316227766016837.94</v>
      </c>
      <c r="H20">
        <f>VLOOKUP($F20,Globals!$N$30:$P$36,3,FALSE)</f>
        <v>1.1704562191085683</v>
      </c>
      <c r="K20" t="s">
        <v>76</v>
      </c>
      <c r="L20">
        <f t="shared" si="0"/>
        <v>30.7776865534337</v>
      </c>
      <c r="M20">
        <f t="shared" si="1"/>
        <v>47.824373437894259</v>
      </c>
      <c r="N20">
        <f t="shared" si="2"/>
        <v>5.9935834078845098E+30</v>
      </c>
      <c r="O20">
        <f t="shared" si="2"/>
        <v>6.6738038461900442E+47</v>
      </c>
      <c r="S20" s="43"/>
      <c r="T20" s="4"/>
      <c r="U20" s="4"/>
      <c r="V20" s="4"/>
      <c r="W20" s="4"/>
    </row>
    <row r="21" spans="1:23" ht="15" customHeight="1">
      <c r="A21" s="31" t="s">
        <v>60</v>
      </c>
      <c r="B21" s="26">
        <f>PRODUCT($B$3:$B$6)*B20</f>
        <v>3.1622776601683793E+48</v>
      </c>
      <c r="C21" s="26">
        <f>SUM(C$3:C$6)+C20</f>
        <v>4.3113686573257057</v>
      </c>
      <c r="F21" s="6" t="s">
        <v>44</v>
      </c>
      <c r="G21">
        <f>VLOOKUP($F21,Globals!$A$17:$E$24,4,FALSE)</f>
        <v>0.2</v>
      </c>
      <c r="H21">
        <f>VLOOKUP($F21,Globals!$A$17:$E$24,5,FALSE)</f>
        <v>0.4</v>
      </c>
      <c r="K21" t="s">
        <v>77</v>
      </c>
      <c r="L21">
        <f t="shared" si="0"/>
        <v>41.408429626872909</v>
      </c>
      <c r="M21">
        <f t="shared" si="1"/>
        <v>55.591570373127084</v>
      </c>
      <c r="N21">
        <f t="shared" si="2"/>
        <v>2.5611182265746943E+41</v>
      </c>
      <c r="O21">
        <f t="shared" si="2"/>
        <v>3.9045444666465981E+55</v>
      </c>
      <c r="S21" s="16"/>
      <c r="T21" s="4"/>
      <c r="U21" s="4"/>
      <c r="V21" s="4"/>
      <c r="W21" s="4"/>
    </row>
    <row r="22" spans="1:23" ht="15" customHeight="1">
      <c r="F22" s="32" t="s">
        <v>60</v>
      </c>
      <c r="G22" s="26">
        <f>PRODUCT(G$3:G$4)*PRODUCT(G20:G21)</f>
        <v>1.9999999999999997E+37</v>
      </c>
      <c r="H22" s="26">
        <f>SUM(H$3:H$4)+SUM(H20:H21)</f>
        <v>3.5212165842895158</v>
      </c>
      <c r="K22" t="s">
        <v>78</v>
      </c>
      <c r="L22">
        <f t="shared" si="0"/>
        <v>37.079458901482617</v>
      </c>
      <c r="M22">
        <f t="shared" si="1"/>
        <v>51.920541098517376</v>
      </c>
      <c r="N22">
        <f t="shared" si="2"/>
        <v>1.2007674356130785E+37</v>
      </c>
      <c r="O22">
        <f t="shared" si="2"/>
        <v>8.3280073254937188E+51</v>
      </c>
      <c r="S22" s="16"/>
      <c r="T22" s="4"/>
      <c r="U22" s="4"/>
      <c r="V22" s="4"/>
      <c r="W22" s="4"/>
    </row>
    <row r="23" spans="1:23" ht="15" customHeight="1">
      <c r="B23" s="4"/>
      <c r="C23" s="4"/>
      <c r="K23" t="s">
        <v>79</v>
      </c>
      <c r="L23">
        <f t="shared" si="0"/>
        <v>41.408429626872909</v>
      </c>
      <c r="M23">
        <f t="shared" si="1"/>
        <v>55.591570373127084</v>
      </c>
      <c r="N23">
        <f t="shared" si="2"/>
        <v>2.5611182265746943E+41</v>
      </c>
      <c r="O23">
        <f t="shared" si="2"/>
        <v>3.9045444666465981E+55</v>
      </c>
      <c r="S23" s="16"/>
      <c r="T23" s="4"/>
      <c r="U23" s="4"/>
      <c r="V23" s="4"/>
      <c r="W23" s="4"/>
    </row>
    <row r="24" spans="1:23" ht="15" customHeight="1">
      <c r="B24" s="4"/>
      <c r="C24" s="4"/>
      <c r="S24" s="16"/>
      <c r="T24" s="4"/>
      <c r="U24" s="4"/>
      <c r="V24" s="4"/>
      <c r="W24" s="4"/>
    </row>
    <row r="25" spans="1:23" ht="15" customHeight="1">
      <c r="B25" s="4"/>
      <c r="C25" s="4"/>
      <c r="F25" s="1" t="s">
        <v>64</v>
      </c>
      <c r="S25" s="16"/>
      <c r="T25" s="4"/>
      <c r="U25" s="4"/>
      <c r="V25" s="4"/>
      <c r="W25" s="4"/>
    </row>
    <row r="26" spans="1:23" ht="15" customHeight="1">
      <c r="B26" s="4"/>
      <c r="C26" s="4"/>
      <c r="F26" t="s">
        <v>62</v>
      </c>
      <c r="G26">
        <f>VLOOKUP($F26,Globals!$N$30:$P$36,2,FALSE)</f>
        <v>1E+19</v>
      </c>
      <c r="H26">
        <f>VLOOKUP($F26,Globals!$N$30:$P$36,3,FALSE)</f>
        <v>1.5606082921447579</v>
      </c>
      <c r="S26" s="44"/>
      <c r="T26" s="4"/>
      <c r="U26" s="4"/>
      <c r="V26" s="4"/>
      <c r="W26" s="4"/>
    </row>
    <row r="27" spans="1:23" ht="15" customHeight="1">
      <c r="A27" s="16"/>
      <c r="B27" s="4"/>
      <c r="C27" s="4"/>
      <c r="F27" t="s">
        <v>45</v>
      </c>
      <c r="G27">
        <f>VLOOKUP($F27,Globals!$A$17:$E$24,4,FALSE)</f>
        <v>0.02</v>
      </c>
      <c r="H27">
        <f>VLOOKUP($F27,Globals!$A$17:$E$24,5,FALSE)</f>
        <v>0.5</v>
      </c>
      <c r="S27" s="4"/>
      <c r="T27" s="4"/>
      <c r="U27" s="4"/>
      <c r="V27" s="4"/>
      <c r="W27" s="4"/>
    </row>
    <row r="28" spans="1:23" ht="15" customHeight="1">
      <c r="F28" s="32" t="s">
        <v>60</v>
      </c>
      <c r="G28" s="26">
        <f>PRODUCT(G$3:G$4)*PRODUCT(G26:G27)</f>
        <v>6.324555320336757E+40</v>
      </c>
      <c r="H28" s="26">
        <f>SUM(H$3:H$4)+SUM(H26:H27)</f>
        <v>4.0113686573257059</v>
      </c>
      <c r="S28" s="4"/>
      <c r="T28" s="4"/>
      <c r="U28" s="4"/>
      <c r="V28" s="4"/>
      <c r="W28" s="4"/>
    </row>
    <row r="29" spans="1:23" ht="15" customHeight="1">
      <c r="S29" s="25"/>
      <c r="T29" s="4"/>
      <c r="U29" s="4"/>
      <c r="V29" s="4"/>
      <c r="W29" s="4"/>
    </row>
    <row r="30" spans="1:23" ht="15" customHeight="1">
      <c r="S30" s="4"/>
      <c r="T30" s="4"/>
      <c r="U30" s="4"/>
      <c r="V30" s="4"/>
      <c r="W30" s="4"/>
    </row>
    <row r="31" spans="1:23" ht="15" customHeight="1">
      <c r="A31" s="16"/>
      <c r="B31" s="4"/>
      <c r="C31" s="4"/>
      <c r="F31" s="1" t="s">
        <v>65</v>
      </c>
      <c r="S31" s="4"/>
      <c r="T31" s="4"/>
      <c r="U31" s="4"/>
      <c r="V31" s="4"/>
      <c r="W31" s="4"/>
    </row>
    <row r="32" spans="1:23" ht="15" customHeight="1">
      <c r="A32" s="16"/>
      <c r="B32" s="4"/>
      <c r="C32" s="4"/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  <c r="S32" s="4"/>
      <c r="T32" s="4"/>
      <c r="U32" s="4"/>
      <c r="V32" s="4"/>
      <c r="W32" s="4"/>
    </row>
    <row r="33" spans="1:23" ht="15" customHeight="1">
      <c r="A33" s="16"/>
      <c r="B33" s="4"/>
      <c r="C33" s="4"/>
      <c r="F33" t="s">
        <v>66</v>
      </c>
      <c r="G33">
        <f>VLOOKUP($F33,Globals!$N$30:$P$36,2,FALSE)</f>
        <v>3.1622776601683791E-2</v>
      </c>
      <c r="H33">
        <f>VLOOKUP($F33,Globals!$N$30:$P$36,3,FALSE)</f>
        <v>1.1704562191085683</v>
      </c>
      <c r="S33" s="4"/>
      <c r="T33" s="4"/>
      <c r="U33" s="4"/>
      <c r="V33" s="4"/>
      <c r="W33" s="4"/>
    </row>
    <row r="34" spans="1:23" ht="15" customHeight="1">
      <c r="A34" s="16"/>
      <c r="B34" s="4"/>
      <c r="C34" s="4"/>
      <c r="F34" t="s">
        <v>45</v>
      </c>
      <c r="G34">
        <f>VLOOKUP($F34,Globals!$A$17:$E$24,4,FALSE)</f>
        <v>0.02</v>
      </c>
      <c r="H34">
        <f>VLOOKUP($F34,Globals!$A$17:$E$24,5,FALSE)</f>
        <v>0.5</v>
      </c>
      <c r="S34" s="16"/>
      <c r="T34" s="4"/>
      <c r="U34" s="4"/>
      <c r="V34" s="4"/>
      <c r="W34" s="4"/>
    </row>
    <row r="35" spans="1:23" ht="15" customHeight="1">
      <c r="A35" s="16"/>
      <c r="B35" s="4"/>
      <c r="C35" s="4"/>
      <c r="F35" s="28" t="s">
        <v>60</v>
      </c>
      <c r="G35" s="26">
        <f>PRODUCT(G$3:G$4)*PRODUCT(G32:G34)</f>
        <v>1.9999999999999993E+39</v>
      </c>
      <c r="H35" s="26">
        <f>SUM(H$3:H$4)+SUM(H32:H34)</f>
        <v>5.1818248764342734</v>
      </c>
      <c r="S35" s="16"/>
      <c r="T35" s="4"/>
      <c r="U35" s="4"/>
      <c r="V35" s="4"/>
      <c r="W35" s="4"/>
    </row>
    <row r="36" spans="1:23" ht="15" customHeight="1">
      <c r="A36" s="16"/>
      <c r="B36" s="4"/>
      <c r="C36" s="4"/>
      <c r="S36" s="4"/>
      <c r="T36" s="4"/>
      <c r="U36" s="4"/>
      <c r="V36" s="4"/>
      <c r="W36" s="4"/>
    </row>
    <row r="37" spans="1:23" ht="15" customHeight="1">
      <c r="A37" s="16"/>
      <c r="B37" s="4"/>
      <c r="C37" s="4"/>
      <c r="S37" s="4"/>
      <c r="T37" s="4"/>
      <c r="U37" s="4"/>
      <c r="V37" s="4"/>
      <c r="W37" s="4"/>
    </row>
    <row r="38" spans="1:23" ht="15" customHeight="1">
      <c r="S38" s="25"/>
      <c r="T38" s="4"/>
      <c r="U38" s="4"/>
      <c r="V38" s="4"/>
      <c r="W38" s="4"/>
    </row>
    <row r="39" spans="1:23" ht="15" customHeight="1">
      <c r="S39" s="4"/>
      <c r="T39" s="4"/>
      <c r="U39" s="4"/>
      <c r="V39" s="4"/>
      <c r="W39" s="4"/>
    </row>
    <row r="40" spans="1:23" ht="15" customHeight="1">
      <c r="S40" s="4"/>
      <c r="T40" s="4"/>
      <c r="U40" s="4"/>
      <c r="V40" s="4"/>
      <c r="W40" s="4"/>
    </row>
    <row r="41" spans="1:23" ht="15" customHeight="1">
      <c r="S41" s="4"/>
      <c r="T41" s="4"/>
      <c r="U41" s="4"/>
      <c r="V41" s="4"/>
      <c r="W41" s="4"/>
    </row>
    <row r="42" spans="1:23" ht="15" customHeight="1">
      <c r="S42" s="4"/>
      <c r="T42" s="4"/>
      <c r="U42" s="4"/>
      <c r="V42" s="4"/>
      <c r="W42" s="4"/>
    </row>
    <row r="43" spans="1:23" ht="15" customHeight="1">
      <c r="S43" s="16"/>
      <c r="T43" s="4"/>
      <c r="U43" s="4"/>
      <c r="V43" s="4"/>
      <c r="W43" s="4"/>
    </row>
    <row r="44" spans="1:23" ht="15" customHeight="1">
      <c r="S44" s="16"/>
      <c r="T44" s="4"/>
      <c r="U44" s="4"/>
      <c r="V44" s="4"/>
      <c r="W44" s="4"/>
    </row>
    <row r="45" spans="1:23" ht="15" customHeight="1">
      <c r="S45" s="4"/>
      <c r="T45" s="4"/>
      <c r="U45" s="4"/>
      <c r="V45" s="4"/>
      <c r="W45" s="4"/>
    </row>
    <row r="46" spans="1:23" ht="15" customHeight="1">
      <c r="S46" s="4"/>
      <c r="T46" s="4"/>
      <c r="U46" s="4"/>
      <c r="V46" s="4"/>
      <c r="W46" s="4"/>
    </row>
    <row r="47" spans="1:23" ht="15" customHeight="1">
      <c r="S47" s="25"/>
      <c r="T47" s="4"/>
      <c r="U47" s="4"/>
      <c r="V47" s="4"/>
      <c r="W47" s="4"/>
    </row>
    <row r="48" spans="1:23" ht="15" customHeight="1">
      <c r="S48" s="4"/>
      <c r="T48" s="4"/>
      <c r="U48" s="4"/>
      <c r="V48" s="4"/>
      <c r="W48" s="4"/>
    </row>
    <row r="49" spans="19:23" ht="15" customHeight="1">
      <c r="S49" s="4"/>
      <c r="T49" s="4"/>
      <c r="U49" s="4"/>
      <c r="V49" s="4"/>
      <c r="W49" s="4"/>
    </row>
    <row r="50" spans="19:23" ht="15" customHeight="1">
      <c r="S50" s="4"/>
      <c r="T50" s="4"/>
      <c r="U50" s="4"/>
      <c r="V50" s="4"/>
      <c r="W50" s="4"/>
    </row>
    <row r="51" spans="19:23" ht="15" customHeight="1">
      <c r="S51" s="4"/>
      <c r="T51" s="4"/>
      <c r="U51" s="4"/>
      <c r="V51" s="4"/>
      <c r="W51" s="4"/>
    </row>
    <row r="52" spans="19:23" ht="15" customHeight="1">
      <c r="S52" s="16"/>
      <c r="T52" s="4"/>
      <c r="U52" s="4"/>
      <c r="V52" s="4"/>
      <c r="W52" s="4"/>
    </row>
    <row r="53" spans="19:23" ht="15" customHeight="1">
      <c r="S53" s="16"/>
      <c r="T53" s="4"/>
      <c r="U53" s="4"/>
      <c r="V53" s="4"/>
      <c r="W53" s="4"/>
    </row>
    <row r="54" spans="19:23" ht="15" customHeight="1">
      <c r="S54" s="4"/>
      <c r="T54" s="4"/>
      <c r="U54" s="4"/>
      <c r="V54" s="4"/>
      <c r="W54" s="4"/>
    </row>
    <row r="55" spans="19:23" ht="15" customHeight="1">
      <c r="S55" s="4"/>
      <c r="T55" s="4"/>
      <c r="U55" s="4"/>
      <c r="V55" s="4"/>
      <c r="W55" s="4"/>
    </row>
    <row r="56" spans="19:23" ht="15" customHeight="1">
      <c r="S56" s="25"/>
      <c r="T56" s="4"/>
      <c r="U56" s="4"/>
      <c r="V56" s="4"/>
      <c r="W56" s="4"/>
    </row>
    <row r="57" spans="19:23" ht="15" customHeight="1">
      <c r="S57" s="4"/>
      <c r="T57" s="4"/>
      <c r="U57" s="4"/>
      <c r="V57" s="4"/>
      <c r="W57" s="4"/>
    </row>
    <row r="58" spans="19:23" ht="15" customHeight="1">
      <c r="S58" s="4"/>
      <c r="T58" s="4"/>
      <c r="U58" s="4"/>
      <c r="V58" s="4"/>
      <c r="W58" s="4"/>
    </row>
    <row r="59" spans="19:23" ht="15" customHeight="1">
      <c r="S59" s="4"/>
      <c r="T59" s="4"/>
      <c r="U59" s="4"/>
      <c r="V59" s="4"/>
      <c r="W59" s="4"/>
    </row>
    <row r="60" spans="19:23" ht="15" customHeight="1">
      <c r="S60" s="4"/>
      <c r="T60" s="4"/>
      <c r="U60" s="4"/>
      <c r="V60" s="4"/>
      <c r="W60" s="4"/>
    </row>
    <row r="61" spans="19:23" ht="15" customHeight="1">
      <c r="S61" s="4"/>
      <c r="T61" s="4"/>
      <c r="U61" s="4"/>
      <c r="V61" s="4"/>
      <c r="W61" s="4"/>
    </row>
    <row r="62" spans="19:23" ht="15" customHeight="1">
      <c r="S62" s="4"/>
      <c r="T62" s="4"/>
      <c r="U62" s="4"/>
      <c r="V62" s="4"/>
      <c r="W62" s="4"/>
    </row>
    <row r="63" spans="19:23" ht="15" customHeight="1">
      <c r="S63" s="16"/>
      <c r="T63" s="4"/>
      <c r="U63" s="4"/>
      <c r="V63" s="4"/>
      <c r="W6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G6" sqref="G6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167</v>
      </c>
      <c r="F1" s="1" t="s">
        <v>81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109</v>
      </c>
    </row>
    <row r="3" spans="1:16">
      <c r="A3" s="29" t="s">
        <v>122</v>
      </c>
      <c r="B3" s="27">
        <v>50000000000</v>
      </c>
      <c r="C3" s="27">
        <v>1000000000000</v>
      </c>
      <c r="D3" t="s">
        <v>201</v>
      </c>
      <c r="G3">
        <v>1</v>
      </c>
      <c r="H3">
        <f>I3^2</f>
        <v>6.25E-2</v>
      </c>
      <c r="I3">
        <v>0.25</v>
      </c>
    </row>
    <row r="4" spans="1:16">
      <c r="A4" s="4" t="s">
        <v>112</v>
      </c>
      <c r="B4" s="19">
        <f>1000/C3*interest_rate</f>
        <v>5.0000000000000008E-11</v>
      </c>
      <c r="C4" s="19">
        <f>1000/B3*interest_rate</f>
        <v>1.0000000000000001E-9</v>
      </c>
      <c r="F4" s="34" t="s">
        <v>99</v>
      </c>
      <c r="G4" s="35">
        <f>ParetoPosterior(median,alpha,G3:H3)</f>
        <v>0.99999999999999978</v>
      </c>
      <c r="H4" s="4"/>
    </row>
    <row r="5" spans="1:16">
      <c r="A5" s="29" t="s">
        <v>116</v>
      </c>
      <c r="B5" s="15">
        <v>0.1</v>
      </c>
      <c r="C5" s="15">
        <v>0.5</v>
      </c>
      <c r="F5" s="34" t="s">
        <v>110</v>
      </c>
      <c r="G5" s="35" t="str">
        <f>LognormPosterior(mu_global_poverty,sigma_global_poverty,G3:H3)</f>
        <v>disabled</v>
      </c>
      <c r="H5" s="4"/>
    </row>
    <row r="6" spans="1:16">
      <c r="A6" s="29" t="s">
        <v>117</v>
      </c>
      <c r="B6" s="15">
        <v>1.7999999999999999E-2</v>
      </c>
      <c r="C6" s="15">
        <v>0.18</v>
      </c>
    </row>
    <row r="7" spans="1:16">
      <c r="A7" s="29" t="s">
        <v>118</v>
      </c>
      <c r="B7" s="15">
        <v>0.02</v>
      </c>
      <c r="C7" s="15">
        <v>0.2</v>
      </c>
    </row>
    <row r="8" spans="1:16">
      <c r="F8" s="1" t="s">
        <v>111</v>
      </c>
    </row>
    <row r="9" spans="1:16">
      <c r="G9" t="s">
        <v>2</v>
      </c>
      <c r="H9" t="s">
        <v>34</v>
      </c>
      <c r="J9" s="1" t="s">
        <v>143</v>
      </c>
      <c r="K9" t="s">
        <v>2</v>
      </c>
      <c r="L9" t="s">
        <v>34</v>
      </c>
      <c r="N9" s="1" t="s">
        <v>155</v>
      </c>
    </row>
    <row r="10" spans="1:16">
      <c r="F10" t="s">
        <v>116</v>
      </c>
      <c r="G10">
        <f>GEOMEAN($B$5,$C$5)</f>
        <v>0.22360679774997896</v>
      </c>
      <c r="H10">
        <f>LogVariance($B$5,$C$5)</f>
        <v>0.27270459618181209</v>
      </c>
      <c r="J10" t="s">
        <v>137</v>
      </c>
      <c r="K10">
        <f>VLOOKUP(J10,'EV of Far Future'!$K$11:$M$13,2,FALSE)</f>
        <v>-1.4507469750550415E+40</v>
      </c>
      <c r="L10">
        <f>VLOOKUP(J10,'EV of Far Future'!$K$11:$M$13,3,FALSE)</f>
        <v>5.1818248764342734</v>
      </c>
      <c r="N10" t="s">
        <v>138</v>
      </c>
      <c r="O10">
        <f>VLOOKUP(N10,'EV of Far Future'!$K$11:$M$13,2,FALSE)</f>
        <v>4.7410447820074434E+46</v>
      </c>
      <c r="P10">
        <f>VLOOKUP(N10,'EV of Far Future'!$K$11:$M$13,3,FALSE)</f>
        <v>4.5113686573257059</v>
      </c>
    </row>
    <row r="11" spans="1:16">
      <c r="F11" s="4" t="s">
        <v>117</v>
      </c>
      <c r="G11">
        <f>GEOMEAN($B$6,$C$6)</f>
        <v>5.6920997883030823E-2</v>
      </c>
      <c r="H11">
        <f>LogVariance($B$6,$C$6)</f>
        <v>0.39015207303618948</v>
      </c>
      <c r="J11" t="s">
        <v>154</v>
      </c>
      <c r="K11">
        <f>ABS(PRODUCT($G$10:$G$12)*K10)</f>
        <v>4.12889827479607E+28</v>
      </c>
      <c r="L11">
        <f>SUM($H$10:$H$12)+L10</f>
        <v>6.3522810955428417</v>
      </c>
      <c r="N11" t="s">
        <v>154</v>
      </c>
      <c r="O11">
        <f>ABS(PRODUCT($G$10:$G$12)*O10)</f>
        <v>1.3493250000000001E+35</v>
      </c>
      <c r="P11">
        <f>SUM($H$10:$H$12)+P10</f>
        <v>5.6818248764342743</v>
      </c>
    </row>
    <row r="12" spans="1:16" ht="20">
      <c r="A12" s="7" t="s">
        <v>67</v>
      </c>
      <c r="F12" t="s">
        <v>112</v>
      </c>
      <c r="G12">
        <f>GEOMEAN($B$4,$C$4)</f>
        <v>2.2360679774997899E-10</v>
      </c>
      <c r="H12">
        <f>LogVariance($B$4,$C$4)</f>
        <v>0.50759954989056688</v>
      </c>
      <c r="J12" s="34" t="s">
        <v>99</v>
      </c>
      <c r="K12" s="35"/>
      <c r="N12" s="34" t="s">
        <v>99</v>
      </c>
      <c r="O12" s="35"/>
    </row>
    <row r="13" spans="1:16">
      <c r="A13" s="1" t="s">
        <v>156</v>
      </c>
      <c r="F13" t="s">
        <v>136</v>
      </c>
      <c r="G13">
        <f>VLOOKUP(F13,'EV of Far Future'!$K$11:$M$13,2,FALSE)</f>
        <v>4.7410433312604684E+46</v>
      </c>
      <c r="H13">
        <f>VLOOKUP(F13,'EV of Far Future'!$K$11:$M$13,3,FALSE)</f>
        <v>5.1818248764342734</v>
      </c>
      <c r="J13" s="34" t="s">
        <v>110</v>
      </c>
      <c r="K13" s="35"/>
      <c r="N13" s="34" t="s">
        <v>110</v>
      </c>
      <c r="O13" s="35"/>
    </row>
    <row r="14" spans="1:16">
      <c r="A14" s="30" t="s">
        <v>107</v>
      </c>
      <c r="B14" s="5">
        <f>G15-G26+G4</f>
        <v>0.99999999999999978</v>
      </c>
      <c r="F14" s="28" t="s">
        <v>60</v>
      </c>
      <c r="G14" s="26">
        <f>PRODUCT(G10:G13)</f>
        <v>1.3493245871101728E+35</v>
      </c>
      <c r="H14" s="26">
        <f>SUM(H10:H13)</f>
        <v>6.3522810955428417</v>
      </c>
    </row>
    <row r="15" spans="1:16">
      <c r="A15" s="30" t="s">
        <v>108</v>
      </c>
      <c r="B15" s="5" t="e">
        <f>G16-G27+G5</f>
        <v>#VALUE!</v>
      </c>
      <c r="F15" s="34" t="s">
        <v>99</v>
      </c>
      <c r="G15" s="35"/>
    </row>
    <row r="16" spans="1:16">
      <c r="F16" s="34" t="s">
        <v>110</v>
      </c>
      <c r="G16" s="35"/>
    </row>
    <row r="18" spans="1:16">
      <c r="A18" s="1" t="s">
        <v>157</v>
      </c>
    </row>
    <row r="19" spans="1:16">
      <c r="A19" s="30" t="s">
        <v>107</v>
      </c>
      <c r="B19" s="5">
        <f>(O12-K12)-(O23-K23)+G4</f>
        <v>0.99999999999999978</v>
      </c>
      <c r="F19" s="1" t="s">
        <v>119</v>
      </c>
    </row>
    <row r="20" spans="1:16">
      <c r="A20" s="30" t="s">
        <v>108</v>
      </c>
      <c r="B20" s="5" t="e">
        <f>(O13-K13)-(O24-K24)+G5</f>
        <v>#VALUE!</v>
      </c>
      <c r="G20" t="s">
        <v>2</v>
      </c>
      <c r="H20" t="s">
        <v>34</v>
      </c>
      <c r="J20" s="1" t="s">
        <v>143</v>
      </c>
      <c r="K20" t="s">
        <v>2</v>
      </c>
      <c r="L20" t="s">
        <v>34</v>
      </c>
      <c r="N20" s="1" t="s">
        <v>155</v>
      </c>
    </row>
    <row r="21" spans="1:16">
      <c r="F21" t="s">
        <v>116</v>
      </c>
      <c r="G21">
        <f>GEOMEAN($B$5,$C$5)</f>
        <v>0.22360679774997896</v>
      </c>
      <c r="H21">
        <f>LogVariance($B$5,$C$5)</f>
        <v>0.27270459618181209</v>
      </c>
      <c r="J21" t="s">
        <v>137</v>
      </c>
      <c r="K21">
        <f>VLOOKUP(J21,'EV of Far Future'!$K$11:$M$13,2,FALSE)</f>
        <v>-1.4507469750550415E+40</v>
      </c>
      <c r="L21">
        <f>VLOOKUP(J21,'EV of Far Future'!$K$11:$M$13,3,FALSE)</f>
        <v>5.1818248764342734</v>
      </c>
      <c r="N21" t="s">
        <v>138</v>
      </c>
      <c r="O21">
        <f>VLOOKUP(N21,'EV of Far Future'!$K$11:$M$13,2,FALSE)</f>
        <v>4.7410447820074434E+46</v>
      </c>
      <c r="P21">
        <f>VLOOKUP(N21,'EV of Far Future'!$K$11:$M$13,3,FALSE)</f>
        <v>4.5113686573257059</v>
      </c>
    </row>
    <row r="22" spans="1:16">
      <c r="F22" s="4" t="s">
        <v>118</v>
      </c>
      <c r="G22">
        <f>GEOMEAN($B$7,$C$7)</f>
        <v>6.3245553203367583E-2</v>
      </c>
      <c r="H22">
        <f>LogVariance($B$7,$C$7)</f>
        <v>0.39015207303618948</v>
      </c>
      <c r="J22" t="s">
        <v>154</v>
      </c>
      <c r="K22">
        <f>ABS(PRODUCT($G$10:$G$12)*K21)</f>
        <v>4.12889827479607E+28</v>
      </c>
      <c r="L22">
        <f>SUM($H$21:$H$23)+L21</f>
        <v>6.3522810955428417</v>
      </c>
      <c r="N22" t="s">
        <v>154</v>
      </c>
      <c r="O22">
        <f>ABS(PRODUCT($G$10:$G$12)*O21)</f>
        <v>1.3493250000000001E+35</v>
      </c>
      <c r="P22">
        <f>SUM($H$21:$H$23)+P21</f>
        <v>5.6818248764342743</v>
      </c>
    </row>
    <row r="23" spans="1:16">
      <c r="A23" s="1" t="s">
        <v>205</v>
      </c>
      <c r="F23" t="s">
        <v>112</v>
      </c>
      <c r="G23">
        <f>GEOMEAN($B$4,$C$4)</f>
        <v>2.2360679774997899E-10</v>
      </c>
      <c r="H23">
        <f>LogVariance($B$4,$C$4)</f>
        <v>0.50759954989056688</v>
      </c>
      <c r="J23" s="34" t="s">
        <v>99</v>
      </c>
      <c r="K23" s="35"/>
      <c r="N23" s="34" t="s">
        <v>99</v>
      </c>
      <c r="O23" s="35"/>
    </row>
    <row r="24" spans="1:16">
      <c r="A24" t="s">
        <v>206</v>
      </c>
      <c r="F24" t="s">
        <v>136</v>
      </c>
      <c r="G24">
        <f>VLOOKUP(F24,'EV of Far Future'!$K$11:$M$13,2,FALSE)</f>
        <v>4.7410433312604684E+46</v>
      </c>
      <c r="H24">
        <f>VLOOKUP(F24,'EV of Far Future'!$K$11:$M$13,3,FALSE)</f>
        <v>5.1818248764342734</v>
      </c>
      <c r="J24" s="34" t="s">
        <v>110</v>
      </c>
      <c r="K24" s="35"/>
      <c r="N24" s="34" t="s">
        <v>110</v>
      </c>
      <c r="O24" s="35"/>
    </row>
    <row r="25" spans="1:16">
      <c r="F25" s="28" t="s">
        <v>60</v>
      </c>
      <c r="G25" s="26">
        <f>PRODUCT(G21:G24)</f>
        <v>1.4992495412335253E+35</v>
      </c>
      <c r="H25" s="26">
        <f>SUM(H21:H24)</f>
        <v>6.3522810955428417</v>
      </c>
    </row>
    <row r="26" spans="1:16">
      <c r="F26" s="34" t="s">
        <v>99</v>
      </c>
      <c r="G26" s="35"/>
    </row>
    <row r="27" spans="1:16">
      <c r="F27" s="34" t="s">
        <v>110</v>
      </c>
      <c r="G27" s="3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O61"/>
  <sheetViews>
    <sheetView tabSelected="1" workbookViewId="0">
      <selection activeCell="L31" sqref="L31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8" max="8" width="12.83203125" bestFit="1" customWidth="1"/>
    <col min="13" max="13" width="12.1640625" bestFit="1" customWidth="1"/>
  </cols>
  <sheetData>
    <row r="1" spans="1:14" ht="20">
      <c r="A1" s="7" t="s">
        <v>167</v>
      </c>
      <c r="G1" s="1" t="s">
        <v>81</v>
      </c>
      <c r="L1" s="25" t="s">
        <v>82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4" t="s">
        <v>2</v>
      </c>
      <c r="I2" s="4" t="s">
        <v>3</v>
      </c>
      <c r="M2" t="s">
        <v>2</v>
      </c>
      <c r="N2" t="s">
        <v>34</v>
      </c>
    </row>
    <row r="3" spans="1:14">
      <c r="A3" s="29" t="s">
        <v>160</v>
      </c>
      <c r="B3" s="15">
        <v>0.7</v>
      </c>
      <c r="C3" s="27">
        <v>13</v>
      </c>
      <c r="F3" s="8" t="s">
        <v>165</v>
      </c>
      <c r="G3" t="s">
        <v>86</v>
      </c>
      <c r="H3">
        <f>D5</f>
        <v>3016.620625799671</v>
      </c>
      <c r="I3">
        <f>E5</f>
        <v>0.49504262895320128</v>
      </c>
      <c r="L3" s="4" t="s">
        <v>80</v>
      </c>
      <c r="M3">
        <f>VLOOKUP($L3,'EV of Far Future'!$O$3:$P$10,2,FALSE)</f>
        <v>0.16799999999999998</v>
      </c>
      <c r="N3">
        <v>0</v>
      </c>
    </row>
    <row r="4" spans="1:14">
      <c r="A4" s="29" t="s">
        <v>161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G4" t="s">
        <v>43</v>
      </c>
      <c r="H4">
        <f>VLOOKUP($G4,Globals!A17:E24,4,FALSE)</f>
        <v>1.5</v>
      </c>
      <c r="I4">
        <f>VLOOKUP($G4,Globals!A17:E24,5,FALSE)</f>
        <v>0.1</v>
      </c>
      <c r="L4" s="4" t="s">
        <v>88</v>
      </c>
      <c r="M4">
        <v>1</v>
      </c>
      <c r="N4">
        <v>0</v>
      </c>
    </row>
    <row r="5" spans="1:14">
      <c r="A5" t="s">
        <v>86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4524.9309386995064</v>
      </c>
      <c r="I5" s="26">
        <f>SUM(I3:I4)</f>
        <v>0.59504262895320126</v>
      </c>
      <c r="L5" s="4" t="s">
        <v>72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85</v>
      </c>
      <c r="D6">
        <f>PRODUCT(D4:D5)</f>
        <v>10449.880382090505</v>
      </c>
      <c r="E6">
        <f>SUM(E4:E5)</f>
        <v>0.54378773604345199</v>
      </c>
      <c r="G6" s="34" t="s">
        <v>99</v>
      </c>
      <c r="H6" s="35">
        <f>ParetoPosterior(median,alpha,H5:I5)</f>
        <v>61.184929894216673</v>
      </c>
      <c r="L6" s="4" t="s">
        <v>84</v>
      </c>
      <c r="M6">
        <f>1/factory_farmed_animals</f>
        <v>5.0000000000000002E-11</v>
      </c>
      <c r="N6">
        <v>0</v>
      </c>
    </row>
    <row r="7" spans="1:14">
      <c r="A7" s="29" t="s">
        <v>132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133</v>
      </c>
      <c r="G7" s="34" t="s">
        <v>87</v>
      </c>
      <c r="H7" s="36" t="str">
        <f>LognormPosterior(mu_factory_farming,sigma_factory_farming,H5:I5)</f>
        <v>disabled</v>
      </c>
      <c r="I7" t="s">
        <v>244</v>
      </c>
      <c r="L7" s="4" t="s">
        <v>121</v>
      </c>
      <c r="M7">
        <f>$D$8</f>
        <v>626.99282292543035</v>
      </c>
      <c r="N7">
        <f>$E$8</f>
        <v>0.54378773604345199</v>
      </c>
    </row>
    <row r="8" spans="1:14">
      <c r="A8" t="s">
        <v>121</v>
      </c>
      <c r="D8">
        <f>D6*(interest_rate+D7)</f>
        <v>626.99282292543035</v>
      </c>
      <c r="E8">
        <f>E6+E7</f>
        <v>0.54378773604345199</v>
      </c>
      <c r="H8" s="39"/>
      <c r="L8" s="28" t="s">
        <v>60</v>
      </c>
      <c r="M8" s="26">
        <f>PRODUCT(M3:M7)</f>
        <v>2.4982340002489752E+26</v>
      </c>
      <c r="N8" s="26">
        <f>SUM(N3:N7)</f>
        <v>3.3748522472967784</v>
      </c>
    </row>
    <row r="9" spans="1:14">
      <c r="H9" s="3"/>
      <c r="L9" s="34" t="s">
        <v>99</v>
      </c>
      <c r="M9" s="35">
        <f>ParetoPosterior(median,alpha,M8:N8)</f>
        <v>551196598527138.81</v>
      </c>
    </row>
    <row r="10" spans="1:14">
      <c r="L10" s="34" t="s">
        <v>87</v>
      </c>
      <c r="M10" s="36" t="str">
        <f>LognormPosterior(mu_factory_farming,sigma_factory_farming,M8:N8)</f>
        <v>disabled</v>
      </c>
      <c r="N10" s="39" t="s">
        <v>245</v>
      </c>
    </row>
    <row r="11" spans="1:14" ht="20">
      <c r="A11" s="7" t="s">
        <v>67</v>
      </c>
      <c r="M11" s="40"/>
      <c r="N11" s="3">
        <v>2.1264999999999999E-107</v>
      </c>
    </row>
    <row r="12" spans="1:14">
      <c r="A12" s="1" t="s">
        <v>153</v>
      </c>
      <c r="B12" t="s">
        <v>2</v>
      </c>
      <c r="C12" t="s">
        <v>34</v>
      </c>
      <c r="M12" s="3"/>
    </row>
    <row r="13" spans="1:14">
      <c r="A13" t="s">
        <v>237</v>
      </c>
      <c r="B13">
        <f>H5</f>
        <v>4524.9309386995064</v>
      </c>
      <c r="C13">
        <f>I5</f>
        <v>0.59504262895320126</v>
      </c>
      <c r="G13" s="1" t="s">
        <v>90</v>
      </c>
      <c r="L13" s="1" t="s">
        <v>104</v>
      </c>
      <c r="N13" s="4"/>
    </row>
    <row r="14" spans="1:14">
      <c r="B14">
        <f>M8</f>
        <v>2.4982340002489752E+26</v>
      </c>
      <c r="C14">
        <f>N8</f>
        <v>3.3748522472967784</v>
      </c>
      <c r="H14" t="s">
        <v>2</v>
      </c>
      <c r="I14" t="s">
        <v>34</v>
      </c>
      <c r="L14" s="4"/>
      <c r="M14" s="4" t="s">
        <v>2</v>
      </c>
      <c r="N14" s="4" t="s">
        <v>34</v>
      </c>
    </row>
    <row r="15" spans="1:14">
      <c r="B15">
        <f>H20</f>
        <v>1.4044639233529639E+28</v>
      </c>
      <c r="C15">
        <f>I20</f>
        <v>4.0650043203329673</v>
      </c>
      <c r="G15" t="s">
        <v>92</v>
      </c>
      <c r="H15">
        <f>VLOOKUP($G15,'EV of Far Future'!$O$3:$P$10,2,FALSE)</f>
        <v>0.22399999999999998</v>
      </c>
      <c r="I15">
        <v>0</v>
      </c>
      <c r="L15" t="s">
        <v>92</v>
      </c>
      <c r="M15">
        <f>VLOOKUP($G15,'EV of Far Future'!$O$3:$P$10,2,FALSE)</f>
        <v>0.22399999999999998</v>
      </c>
      <c r="N15">
        <v>0</v>
      </c>
    </row>
    <row r="16" spans="1:14">
      <c r="B16">
        <f>H32</f>
        <v>2.2206524446657558E+31</v>
      </c>
      <c r="C16">
        <f>I32</f>
        <v>4.5551563933691579</v>
      </c>
      <c r="G16" s="4" t="s">
        <v>88</v>
      </c>
      <c r="H16" s="2">
        <v>0.1</v>
      </c>
      <c r="I16">
        <v>0</v>
      </c>
      <c r="J16" t="s">
        <v>89</v>
      </c>
      <c r="L16" s="4" t="s">
        <v>105</v>
      </c>
      <c r="M16" s="2">
        <v>0.04</v>
      </c>
      <c r="N16">
        <v>0</v>
      </c>
    </row>
    <row r="17" spans="1:14">
      <c r="B17">
        <f>H44</f>
        <v>1.0533479425147227E+30</v>
      </c>
      <c r="C17">
        <f>I44</f>
        <v>5.7256126124777253</v>
      </c>
      <c r="G17" s="4" t="s">
        <v>74</v>
      </c>
      <c r="H17">
        <f>VLOOKUP($G17,'EV of Far Future'!$K$3:$N$10,2,FALSE)</f>
        <v>1.9999999999999997E+37</v>
      </c>
      <c r="I17">
        <f>VLOOKUP($G17,'EV of Far Future'!$K$3:$N$10,3,FALSE)</f>
        <v>3.5212165842895158</v>
      </c>
      <c r="L17" s="4" t="s">
        <v>74</v>
      </c>
      <c r="M17">
        <f>VLOOKUP($G17,'EV of Far Future'!$K$3:$N$10,2,FALSE)</f>
        <v>1.9999999999999997E+37</v>
      </c>
      <c r="N17">
        <f>VLOOKUP($G17,'EV of Far Future'!$K$3:$N$10,3,FALSE)</f>
        <v>3.5212165842895158</v>
      </c>
    </row>
    <row r="18" spans="1:14">
      <c r="G18" s="4" t="s">
        <v>84</v>
      </c>
      <c r="H18">
        <f>1/factory_farmed_animals</f>
        <v>5.0000000000000002E-11</v>
      </c>
      <c r="I18">
        <v>0</v>
      </c>
      <c r="L18" s="4" t="s">
        <v>84</v>
      </c>
      <c r="M18">
        <f>1/factory_farmed_animals</f>
        <v>5.0000000000000002E-11</v>
      </c>
      <c r="N18">
        <v>0</v>
      </c>
    </row>
    <row r="19" spans="1:14">
      <c r="G19" s="4" t="s">
        <v>121</v>
      </c>
      <c r="H19">
        <f>$D$8</f>
        <v>626.99282292543035</v>
      </c>
      <c r="I19">
        <f>$E$8</f>
        <v>0.54378773604345199</v>
      </c>
      <c r="L19" s="4" t="s">
        <v>121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1.4044639233529639E+28</v>
      </c>
      <c r="I20" s="26">
        <f>SUM(I15:I19)</f>
        <v>4.0650043203329673</v>
      </c>
      <c r="L20" s="28" t="s">
        <v>60</v>
      </c>
      <c r="M20" s="26">
        <f>PRODUCT(M15:M19)</f>
        <v>5.617855693411855E+27</v>
      </c>
      <c r="N20" s="26">
        <f>SUM(N15:N19)</f>
        <v>4.0650043203329673</v>
      </c>
    </row>
    <row r="21" spans="1:14">
      <c r="A21" s="30" t="s">
        <v>107</v>
      </c>
      <c r="B21" s="5"/>
      <c r="G21" s="34"/>
      <c r="H21" s="35"/>
      <c r="L21" s="34"/>
      <c r="M21" s="35"/>
    </row>
    <row r="22" spans="1:14">
      <c r="A22" s="30" t="s">
        <v>108</v>
      </c>
      <c r="B22" s="5"/>
      <c r="G22" s="34"/>
      <c r="H22" s="36"/>
      <c r="L22" s="34"/>
      <c r="M22" s="36"/>
    </row>
    <row r="23" spans="1:14">
      <c r="B23" s="4"/>
      <c r="H23" s="40"/>
      <c r="M23" s="40"/>
    </row>
    <row r="24" spans="1:14">
      <c r="B24" s="4"/>
      <c r="M24" s="3"/>
    </row>
    <row r="25" spans="1:14">
      <c r="G25" s="1" t="s">
        <v>103</v>
      </c>
      <c r="L25" s="1" t="s">
        <v>106</v>
      </c>
    </row>
    <row r="26" spans="1:14">
      <c r="A26" s="1" t="s">
        <v>205</v>
      </c>
      <c r="C26" s="4"/>
      <c r="D26" s="4"/>
      <c r="H26" t="s">
        <v>2</v>
      </c>
      <c r="I26" t="s">
        <v>34</v>
      </c>
      <c r="M26" t="s">
        <v>2</v>
      </c>
      <c r="N26" t="s">
        <v>34</v>
      </c>
    </row>
    <row r="27" spans="1:14">
      <c r="A27" s="30" t="s">
        <v>107</v>
      </c>
      <c r="B27" s="5">
        <f>H6+M9+H21+H33+H45-(M21+M33+M45)</f>
        <v>551196598527200</v>
      </c>
      <c r="D27" s="4"/>
      <c r="G27" t="s">
        <v>93</v>
      </c>
      <c r="H27">
        <f>VLOOKUP($G27,'EV of Far Future'!$O$3:$P$10,2,FALSE)</f>
        <v>0.22399999999999998</v>
      </c>
      <c r="I27">
        <v>0</v>
      </c>
      <c r="L27" t="s">
        <v>93</v>
      </c>
      <c r="M27">
        <f>VLOOKUP($G27,'EV of Far Future'!$O$3:$P$10,2,FALSE)</f>
        <v>0.22399999999999998</v>
      </c>
      <c r="N27">
        <v>0</v>
      </c>
    </row>
    <row r="28" spans="1:14">
      <c r="A28" s="30" t="s">
        <v>108</v>
      </c>
      <c r="B28" s="5" t="e">
        <f>H7+M10+H22+H34+H46-(M22+M34+M46)</f>
        <v>#VALUE!</v>
      </c>
      <c r="D28" s="4"/>
      <c r="G28" s="4" t="s">
        <v>88</v>
      </c>
      <c r="H28" s="2">
        <v>0.05</v>
      </c>
      <c r="I28">
        <v>0</v>
      </c>
      <c r="L28" s="4" t="s">
        <v>105</v>
      </c>
      <c r="M28" s="2">
        <v>0.01</v>
      </c>
      <c r="N28">
        <v>0</v>
      </c>
    </row>
    <row r="29" spans="1:14">
      <c r="D29" s="4"/>
      <c r="G29" s="4" t="s">
        <v>75</v>
      </c>
      <c r="H29">
        <f>VLOOKUP($G29,'EV of Far Future'!$K$3:$N$10,2,FALSE)</f>
        <v>6.324555320336757E+40</v>
      </c>
      <c r="I29">
        <f>VLOOKUP($G29,'EV of Far Future'!$K$3:$N$10,3,FALSE)</f>
        <v>4.0113686573257059</v>
      </c>
      <c r="L29" s="4" t="s">
        <v>75</v>
      </c>
      <c r="M29">
        <f>VLOOKUP($G29,'EV of Far Future'!$K$3:$N$10,2,FALSE)</f>
        <v>6.324555320336757E+40</v>
      </c>
      <c r="N29">
        <f>VLOOKUP($G29,'EV of Far Future'!$K$3:$N$10,3,FALSE)</f>
        <v>4.0113686573257059</v>
      </c>
    </row>
    <row r="30" spans="1:14">
      <c r="G30" s="4" t="s">
        <v>84</v>
      </c>
      <c r="H30">
        <f>1/factory_farmed_animals</f>
        <v>5.0000000000000002E-11</v>
      </c>
      <c r="I30">
        <v>0</v>
      </c>
      <c r="L30" s="4" t="s">
        <v>84</v>
      </c>
      <c r="M30">
        <f>1/factory_farmed_animals</f>
        <v>5.0000000000000002E-11</v>
      </c>
      <c r="N30">
        <v>0</v>
      </c>
    </row>
    <row r="31" spans="1:14">
      <c r="G31" s="4" t="s">
        <v>121</v>
      </c>
      <c r="H31">
        <f>$D$8</f>
        <v>626.99282292543035</v>
      </c>
      <c r="I31">
        <f>$E$8</f>
        <v>0.54378773604345199</v>
      </c>
      <c r="L31" s="4" t="s">
        <v>121</v>
      </c>
      <c r="M31">
        <f>$D$8</f>
        <v>626.99282292543035</v>
      </c>
      <c r="N31">
        <f>$E$8</f>
        <v>0.54378773604345199</v>
      </c>
    </row>
    <row r="32" spans="1:14">
      <c r="G32" s="28" t="s">
        <v>60</v>
      </c>
      <c r="H32" s="26">
        <f>PRODUCT(H27:H31)</f>
        <v>2.2206524446657558E+31</v>
      </c>
      <c r="I32" s="26">
        <f>SUM(I27:I31)</f>
        <v>4.5551563933691579</v>
      </c>
      <c r="L32" s="28" t="s">
        <v>60</v>
      </c>
      <c r="M32" s="26">
        <f>PRODUCT(M27:M31)</f>
        <v>4.4413048893315115E+30</v>
      </c>
      <c r="N32" s="26">
        <f>SUM(N27:N31)</f>
        <v>4.5551563933691579</v>
      </c>
    </row>
    <row r="33" spans="7:14">
      <c r="G33" s="34"/>
      <c r="H33" s="35"/>
      <c r="L33" s="34"/>
      <c r="M33" s="35"/>
    </row>
    <row r="34" spans="7:14">
      <c r="G34" s="34"/>
      <c r="H34" s="36"/>
      <c r="L34" s="34"/>
      <c r="M34" s="36"/>
    </row>
    <row r="35" spans="7:14">
      <c r="H35" s="40"/>
      <c r="M35" s="41"/>
    </row>
    <row r="37" spans="7:14">
      <c r="G37" s="1" t="s">
        <v>98</v>
      </c>
      <c r="L37" s="1" t="s">
        <v>200</v>
      </c>
    </row>
    <row r="38" spans="7:14">
      <c r="H38" t="s">
        <v>2</v>
      </c>
      <c r="I38" t="s">
        <v>34</v>
      </c>
      <c r="M38" t="s">
        <v>2</v>
      </c>
      <c r="N38" t="s">
        <v>34</v>
      </c>
    </row>
    <row r="39" spans="7:14">
      <c r="G39" t="s">
        <v>94</v>
      </c>
      <c r="H39">
        <f>VLOOKUP($G39,'EV of Far Future'!$O$3:$P$10,2,FALSE)</f>
        <v>0.16799999999999998</v>
      </c>
      <c r="I39">
        <v>0</v>
      </c>
      <c r="L39" t="s">
        <v>94</v>
      </c>
      <c r="M39">
        <f>VLOOKUP($G39,'EV of Far Future'!$O$3:$P$10,2,FALSE)</f>
        <v>0.16799999999999998</v>
      </c>
      <c r="N39">
        <v>0</v>
      </c>
    </row>
    <row r="40" spans="7:14">
      <c r="G40" s="4" t="s">
        <v>88</v>
      </c>
      <c r="H40" s="2">
        <v>0.1</v>
      </c>
      <c r="I40">
        <v>0</v>
      </c>
      <c r="L40" s="4" t="s">
        <v>105</v>
      </c>
      <c r="M40" s="2">
        <v>0.01</v>
      </c>
      <c r="N40">
        <v>0</v>
      </c>
    </row>
    <row r="41" spans="7:14">
      <c r="G41" s="4" t="s">
        <v>76</v>
      </c>
      <c r="H41">
        <f>VLOOKUP($G41,'EV of Far Future'!$K$3:$N$10,2,FALSE)</f>
        <v>1.9999999999999993E+39</v>
      </c>
      <c r="I41">
        <f>VLOOKUP($G41,'EV of Far Future'!$K$3:$N$10,3,FALSE)</f>
        <v>5.1818248764342734</v>
      </c>
      <c r="L41" s="4" t="s">
        <v>76</v>
      </c>
      <c r="M41">
        <f>VLOOKUP($G41,'EV of Far Future'!$K$3:$N$10,2,FALSE)</f>
        <v>1.9999999999999993E+39</v>
      </c>
      <c r="N41">
        <f>VLOOKUP($G41,'EV of Far Future'!$K$3:$N$10,3,FALSE)</f>
        <v>5.1818248764342734</v>
      </c>
    </row>
    <row r="42" spans="7:14">
      <c r="G42" s="4" t="s">
        <v>84</v>
      </c>
      <c r="H42">
        <f>1/factory_farmed_animals</f>
        <v>5.0000000000000002E-11</v>
      </c>
      <c r="I42">
        <v>0</v>
      </c>
      <c r="L42" s="4" t="s">
        <v>84</v>
      </c>
      <c r="M42">
        <f>1/factory_farmed_animals</f>
        <v>5.0000000000000002E-11</v>
      </c>
      <c r="N42">
        <v>0</v>
      </c>
    </row>
    <row r="43" spans="7:14">
      <c r="G43" s="4" t="s">
        <v>121</v>
      </c>
      <c r="H43">
        <f>$D$8</f>
        <v>626.99282292543035</v>
      </c>
      <c r="I43">
        <f>$E$8</f>
        <v>0.54378773604345199</v>
      </c>
      <c r="L43" s="4" t="s">
        <v>121</v>
      </c>
      <c r="M43">
        <f>$D$8</f>
        <v>626.99282292543035</v>
      </c>
      <c r="N43">
        <f>$E$8</f>
        <v>0.54378773604345199</v>
      </c>
    </row>
    <row r="44" spans="7:14">
      <c r="G44" s="28" t="s">
        <v>60</v>
      </c>
      <c r="H44" s="26">
        <f>PRODUCT(H39:H43)</f>
        <v>1.0533479425147227E+30</v>
      </c>
      <c r="I44" s="26">
        <f>SUM(I39:I43)</f>
        <v>5.7256126124777253</v>
      </c>
      <c r="L44" s="28" t="s">
        <v>60</v>
      </c>
      <c r="M44" s="26">
        <f>PRODUCT(M39:M43)</f>
        <v>1.0533479425147224E+29</v>
      </c>
      <c r="N44" s="26">
        <f>SUM(N39:N43)</f>
        <v>5.7256126124777253</v>
      </c>
    </row>
    <row r="45" spans="7:14">
      <c r="G45" s="34"/>
      <c r="H45" s="35"/>
      <c r="L45" s="34"/>
      <c r="M45" s="35"/>
    </row>
    <row r="46" spans="7:14">
      <c r="G46" s="34"/>
      <c r="H46" s="36"/>
      <c r="L46" s="34"/>
      <c r="M46" s="36"/>
    </row>
    <row r="47" spans="7:14">
      <c r="H47" s="40"/>
      <c r="M47" s="40"/>
    </row>
    <row r="48" spans="7:14">
      <c r="M48" s="3"/>
    </row>
    <row r="50" spans="6:15">
      <c r="I50" s="3"/>
    </row>
    <row r="52" spans="6:15">
      <c r="F52">
        <v>4000</v>
      </c>
      <c r="G52">
        <v>5</v>
      </c>
      <c r="H52">
        <f>LognormPosterior(mu_factory_farming,sigma_factory_farming,F52:G52)</f>
        <v>4.2727860703277214</v>
      </c>
      <c r="I52">
        <v>11</v>
      </c>
      <c r="J52">
        <v>0.5</v>
      </c>
      <c r="K52">
        <f>LognormPosterior(mu_factory_farming,sigma_factory_farming,I52:J52)</f>
        <v>4.6443134212412627</v>
      </c>
      <c r="M52">
        <v>4000</v>
      </c>
      <c r="N52">
        <v>1</v>
      </c>
      <c r="O52">
        <f>LognormPosterior(mu_factory_farming,sigma_factory_farming,M52:N52)</f>
        <v>18.481120690768698</v>
      </c>
    </row>
    <row r="53" spans="6:15">
      <c r="F53">
        <v>4000</v>
      </c>
      <c r="G53">
        <v>5</v>
      </c>
      <c r="I53" s="45">
        <v>11</v>
      </c>
      <c r="J53">
        <v>0.5</v>
      </c>
      <c r="M53">
        <v>8000</v>
      </c>
      <c r="N53">
        <v>1</v>
      </c>
      <c r="O53">
        <f>LognormPosterior(mu_factory_farming,sigma_factory_farming,M53:N53)</f>
        <v>22.064101907005046</v>
      </c>
    </row>
    <row r="54" spans="6:15">
      <c r="F54">
        <v>4000</v>
      </c>
      <c r="G54">
        <v>5</v>
      </c>
      <c r="I54" s="45">
        <v>11</v>
      </c>
      <c r="J54">
        <v>0.5</v>
      </c>
      <c r="M54">
        <v>8000</v>
      </c>
      <c r="N54">
        <v>0.56999999999999995</v>
      </c>
      <c r="O54">
        <f>LognormPosterior(mu_factory_farming,sigma_factory_farming,M54:N54)</f>
        <v>59.337062581528883</v>
      </c>
    </row>
    <row r="55" spans="6:15">
      <c r="F55">
        <v>4000</v>
      </c>
      <c r="G55">
        <v>1</v>
      </c>
      <c r="I55" s="45">
        <v>11</v>
      </c>
      <c r="J55">
        <v>0.5</v>
      </c>
    </row>
    <row r="56" spans="6:15">
      <c r="F56">
        <v>4000</v>
      </c>
      <c r="G56">
        <v>1</v>
      </c>
      <c r="I56" s="45">
        <v>11</v>
      </c>
      <c r="J56">
        <v>0.5</v>
      </c>
    </row>
    <row r="58" spans="6:15">
      <c r="F58">
        <f>LognormPosterior(mu_factory_farming,sigma_factory_farming,F52:G53)</f>
        <v>6.6430512897233909</v>
      </c>
      <c r="I58">
        <f>LognormPosterior(mu_factory_farming,sigma_factory_farming,I52:J53)</f>
        <v>6.065167204810944</v>
      </c>
    </row>
    <row r="59" spans="6:15">
      <c r="F59">
        <f>LognormPosterior(mu_factory_farming,sigma_factory_farming,F52:G54)</f>
        <v>9.9669710581475144</v>
      </c>
      <c r="I59">
        <f>LognormPosterior(mu_factory_farming,sigma_factory_farming,I52:J54)</f>
        <v>7.4808147117656727</v>
      </c>
    </row>
    <row r="60" spans="6:15">
      <c r="I60">
        <f>LognormPosterior(mu_factory_farming,sigma_factory_farming,I52:J55)</f>
        <v>7.9213385417044213</v>
      </c>
    </row>
    <row r="61" spans="6:15">
      <c r="I61">
        <f>LognormPosterior(mu_factory_farming,sigma_factory_farming,I52:J56)</f>
        <v>8.7716606504054209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H19" sqref="H19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207</v>
      </c>
      <c r="H1" s="7" t="s">
        <v>186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29" t="s">
        <v>208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212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209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213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210</v>
      </c>
      <c r="B5" s="15">
        <v>10</v>
      </c>
      <c r="C5" s="15">
        <v>10</v>
      </c>
      <c r="H5" t="s">
        <v>216</v>
      </c>
      <c r="I5">
        <f>'Veg Ads'!M8</f>
        <v>2.4982340002489752E+26</v>
      </c>
      <c r="J5">
        <f>'Veg Ads'!N8</f>
        <v>3.3748522472967784</v>
      </c>
    </row>
    <row r="6" spans="1:12">
      <c r="A6" s="29" t="s">
        <v>211</v>
      </c>
      <c r="B6" s="15">
        <v>30000</v>
      </c>
      <c r="C6" s="15">
        <v>60000</v>
      </c>
      <c r="H6" s="28" t="s">
        <v>217</v>
      </c>
      <c r="I6" s="26">
        <f>I5*(1+K3)</f>
        <v>2.4990667449157248E+26</v>
      </c>
      <c r="J6" s="26">
        <f>J5*(1-K4)</f>
        <v>3.3742897719222289</v>
      </c>
    </row>
    <row r="7" spans="1:12">
      <c r="A7" s="29" t="s">
        <v>235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218</v>
      </c>
      <c r="I7" s="26">
        <f>I5*(1+I3)</f>
        <v>2.5019581476144806E+26</v>
      </c>
      <c r="J7" s="26">
        <f>J5*(1-I4)</f>
        <v>3.3732613266904008</v>
      </c>
    </row>
    <row r="8" spans="1:12">
      <c r="A8" s="4" t="s">
        <v>214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219</v>
      </c>
      <c r="I8" s="26">
        <f>I5*(1+L3)</f>
        <v>2.5148888935839682E+26</v>
      </c>
      <c r="J8" s="26">
        <f>J5*(1-L4)</f>
        <v>3.3703524443003827</v>
      </c>
    </row>
    <row r="9" spans="1:12">
      <c r="A9" s="4" t="s">
        <v>178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226</v>
      </c>
      <c r="I9">
        <f>I6*$D$7</f>
        <v>3.9513714693583537E+29</v>
      </c>
      <c r="J9" s="4">
        <f>J6+$E$7</f>
        <v>3.7644418449584185</v>
      </c>
    </row>
    <row r="10" spans="1:12">
      <c r="H10" s="4" t="s">
        <v>228</v>
      </c>
      <c r="I10">
        <f t="shared" ref="I10:I11" si="0">I7*$D$7</f>
        <v>3.955943178438766E+29</v>
      </c>
      <c r="J10" s="4">
        <f t="shared" ref="J10:J11" si="1">J7+$E$7</f>
        <v>3.7634133997265904</v>
      </c>
    </row>
    <row r="11" spans="1:12">
      <c r="H11" s="4" t="s">
        <v>227</v>
      </c>
      <c r="I11">
        <f t="shared" si="0"/>
        <v>3.9763884829930776E+29</v>
      </c>
      <c r="J11" s="4">
        <f t="shared" si="1"/>
        <v>3.7605045173365723</v>
      </c>
    </row>
    <row r="12" spans="1:12">
      <c r="H12" s="34" t="s">
        <v>215</v>
      </c>
      <c r="I12" s="35" t="e">
        <f>LognormPosterior(mu,sigma,I5,J5)</f>
        <v>#VALUE!</v>
      </c>
    </row>
    <row r="13" spans="1:12">
      <c r="H13" s="34" t="s">
        <v>220</v>
      </c>
      <c r="I13" s="35" t="e">
        <f>LognormPosterior(mu,sigma,I9,J9)</f>
        <v>#VALUE!</v>
      </c>
    </row>
    <row r="14" spans="1:12">
      <c r="H14" s="34" t="s">
        <v>221</v>
      </c>
      <c r="I14" s="35" t="e">
        <f>LognormPosterior(mu,sigma,I10,J10)</f>
        <v>#VALUE!</v>
      </c>
    </row>
    <row r="15" spans="1:12">
      <c r="H15" s="34" t="s">
        <v>222</v>
      </c>
      <c r="I15" s="35" t="e">
        <f>LognormPosterior(mu,sigma,I11,J11)</f>
        <v>#VALUE!</v>
      </c>
    </row>
    <row r="16" spans="1:12">
      <c r="H16" s="30" t="s">
        <v>223</v>
      </c>
      <c r="I16" s="5" t="e">
        <f>I13-$I$12</f>
        <v>#VALUE!</v>
      </c>
    </row>
    <row r="17" spans="8:9">
      <c r="H17" s="30" t="s">
        <v>224</v>
      </c>
      <c r="I17" s="5" t="e">
        <f>I14-$I$12</f>
        <v>#VALUE!</v>
      </c>
    </row>
    <row r="18" spans="8:9">
      <c r="H18" s="30" t="s">
        <v>225</v>
      </c>
      <c r="I18" s="5" t="e">
        <f>I15-$I$12</f>
        <v>#VALUE!</v>
      </c>
    </row>
    <row r="19" spans="8:9">
      <c r="H19" s="4"/>
      <c r="I19" s="38"/>
    </row>
    <row r="20" spans="8:9">
      <c r="H20" s="4"/>
      <c r="I20" s="38"/>
    </row>
    <row r="21" spans="8:9">
      <c r="H21" s="4"/>
      <c r="I21" s="38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workbookViewId="0">
      <selection activeCell="O9" sqref="O9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139</v>
      </c>
      <c r="B1" t="s">
        <v>168</v>
      </c>
      <c r="G1" s="1" t="s">
        <v>134</v>
      </c>
      <c r="H1" t="s">
        <v>168</v>
      </c>
      <c r="M1" s="1" t="s">
        <v>145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29" t="s">
        <v>129</v>
      </c>
      <c r="B3" s="15">
        <v>70000</v>
      </c>
      <c r="C3" s="15">
        <v>150000</v>
      </c>
      <c r="G3" s="29" t="s">
        <v>123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166</v>
      </c>
      <c r="M3" s="4" t="s">
        <v>136</v>
      </c>
      <c r="N3">
        <f>ABS(VLOOKUP(M3,'EV of Far Future'!$K$11:$M$13,2,FALSE))</f>
        <v>4.7410433312604684E+46</v>
      </c>
      <c r="O3">
        <f>VLOOKUP(M3,'EV of Far Future'!$K$11:$M$13,3,FALSE)</f>
        <v>5.1818248764342734</v>
      </c>
    </row>
    <row r="4" spans="1:15">
      <c r="A4" t="s">
        <v>130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127</v>
      </c>
      <c r="H4" s="15">
        <v>200</v>
      </c>
      <c r="I4" s="15">
        <v>10000</v>
      </c>
      <c r="M4" s="28" t="s">
        <v>60</v>
      </c>
      <c r="N4" s="26">
        <f>N3*$J$20</f>
        <v>1.7155158151574772E+40</v>
      </c>
      <c r="O4" s="26">
        <f>O3+$K$20</f>
        <v>6.9972853849616623</v>
      </c>
    </row>
    <row r="5" spans="1:15">
      <c r="G5" s="4" t="s">
        <v>176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</row>
    <row r="6" spans="1:15">
      <c r="G6" s="29" t="s">
        <v>124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</row>
    <row r="7" spans="1:15">
      <c r="G7" s="29" t="s">
        <v>125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1" t="s">
        <v>144</v>
      </c>
    </row>
    <row r="8" spans="1:15">
      <c r="G8" s="4" t="s">
        <v>140</v>
      </c>
      <c r="J8">
        <f>J3*J5*J6*J7*D4*1000</f>
        <v>2.1213203435596419E-7</v>
      </c>
      <c r="K8">
        <f>K3+K5+K6+K7+E4</f>
        <v>1.8154605085273885</v>
      </c>
      <c r="N8" t="s">
        <v>2</v>
      </c>
      <c r="O8" t="s">
        <v>34</v>
      </c>
    </row>
    <row r="9" spans="1:15" ht="20">
      <c r="A9" s="7" t="s">
        <v>67</v>
      </c>
      <c r="M9" s="4" t="s">
        <v>137</v>
      </c>
      <c r="N9">
        <f>ABS(VLOOKUP(M9,'EV of Far Future'!$K$11:$M$13,2,FALSE))</f>
        <v>1.4507469750550415E+40</v>
      </c>
      <c r="O9">
        <f>VLOOKUP(M9,'EV of Far Future'!$K$11:$M$13,3,FALSE)</f>
        <v>5.1818248764342734</v>
      </c>
    </row>
    <row r="10" spans="1:15">
      <c r="A10" s="1" t="s">
        <v>153</v>
      </c>
      <c r="M10" s="28" t="s">
        <v>60</v>
      </c>
      <c r="N10" s="26">
        <f>N9*$J$20</f>
        <v>5.2494339443995739E+33</v>
      </c>
      <c r="O10" s="26">
        <f>O9+$K$20</f>
        <v>6.9972853849616623</v>
      </c>
    </row>
    <row r="11" spans="1:15">
      <c r="A11" s="30" t="s">
        <v>99</v>
      </c>
      <c r="B11" s="5">
        <f>ParetoPosterior(median,alpha,N4:O4)</f>
        <v>1.1699032688722896E+16</v>
      </c>
      <c r="G11" s="1" t="s">
        <v>135</v>
      </c>
      <c r="H11" s="8" t="s">
        <v>168</v>
      </c>
      <c r="M11" s="34" t="s">
        <v>99</v>
      </c>
      <c r="N11" s="35">
        <f>ParetoPosterior(median,alpha,N10:O10)</f>
        <v>5729166354.0011778</v>
      </c>
    </row>
    <row r="12" spans="1:15">
      <c r="A12" s="30" t="s">
        <v>110</v>
      </c>
      <c r="B12" s="5" t="str">
        <f>LognormPosterior(mu_far_future,sigma_far_future,N4:O4)</f>
        <v>disabled</v>
      </c>
      <c r="H12" t="s">
        <v>0</v>
      </c>
      <c r="I12" t="s">
        <v>1</v>
      </c>
      <c r="J12" t="s">
        <v>2</v>
      </c>
      <c r="K12" t="s">
        <v>3</v>
      </c>
      <c r="M12" s="34" t="s">
        <v>110</v>
      </c>
      <c r="N12" s="35" t="str">
        <f>LognormPosterior(mu_far_future,sigma_far_future,N10:O10)</f>
        <v>disabled</v>
      </c>
    </row>
    <row r="13" spans="1:15">
      <c r="G13" s="29" t="s">
        <v>126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</row>
    <row r="14" spans="1:15">
      <c r="G14" s="29" t="s">
        <v>128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</row>
    <row r="15" spans="1:15">
      <c r="A15" s="1" t="s">
        <v>158</v>
      </c>
      <c r="G15" t="s">
        <v>141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25" t="s">
        <v>40</v>
      </c>
    </row>
    <row r="16" spans="1:15">
      <c r="A16" s="30" t="s">
        <v>99</v>
      </c>
      <c r="B16" s="5">
        <f>N19-N11</f>
        <v>2.4116564674346573E+18</v>
      </c>
      <c r="G16" t="s">
        <v>140</v>
      </c>
      <c r="J16">
        <f>J14*J15*D4*1000</f>
        <v>6.1721339984836745E-7</v>
      </c>
      <c r="K16">
        <f>K14+K15+E4</f>
        <v>1.2995939096785016</v>
      </c>
      <c r="N16" t="s">
        <v>2</v>
      </c>
      <c r="O16" t="s">
        <v>34</v>
      </c>
    </row>
    <row r="17" spans="1:15">
      <c r="A17" s="30" t="s">
        <v>110</v>
      </c>
      <c r="B17" s="5" t="e">
        <f>N20-N12</f>
        <v>#VALUE!</v>
      </c>
      <c r="M17" s="4" t="s">
        <v>138</v>
      </c>
      <c r="N17">
        <f>VLOOKUP(M17,'EV of Far Future'!$K$11:$M$13,2,FALSE)</f>
        <v>4.7410447820074434E+46</v>
      </c>
      <c r="O17">
        <f>VLOOKUP(M17,'EV of Far Future'!$K$11:$M$13,3,FALSE)</f>
        <v>4.5113686573257059</v>
      </c>
    </row>
    <row r="18" spans="1:15">
      <c r="M18" s="28" t="s">
        <v>60</v>
      </c>
      <c r="N18" s="26">
        <f>N17*$J$20</f>
        <v>1.7155163401008717E+40</v>
      </c>
      <c r="O18" s="26">
        <f>O17+$K$20</f>
        <v>6.3268291658530948</v>
      </c>
    </row>
    <row r="19" spans="1:15">
      <c r="G19" s="1" t="s">
        <v>146</v>
      </c>
      <c r="M19" s="34" t="s">
        <v>99</v>
      </c>
      <c r="N19" s="35">
        <f>ParetoPosterior(median,alpha,N18:O18)</f>
        <v>2.4116564731638236E+18</v>
      </c>
    </row>
    <row r="20" spans="1:15">
      <c r="A20" s="1" t="s">
        <v>205</v>
      </c>
      <c r="G20" t="s">
        <v>140</v>
      </c>
      <c r="J20">
        <f>GEOMEAN(J8,J16)</f>
        <v>3.6184352162446591E-7</v>
      </c>
      <c r="K20">
        <f>MAX(K8,K16)</f>
        <v>1.8154605085273885</v>
      </c>
      <c r="L20" t="s">
        <v>142</v>
      </c>
      <c r="M20" s="34" t="s">
        <v>110</v>
      </c>
      <c r="N20" s="35" t="str">
        <f>LognormPosterior(mu_far_future,sigma_far_future,N18:O18)</f>
        <v>disabled</v>
      </c>
    </row>
    <row r="21" spans="1:15">
      <c r="A21" s="30" t="s">
        <v>99</v>
      </c>
      <c r="B21" s="5" t="e">
        <f>SUM(J25:J32)</f>
        <v>#VALUE!</v>
      </c>
    </row>
    <row r="22" spans="1:15">
      <c r="A22" s="30" t="s">
        <v>110</v>
      </c>
      <c r="B22" s="5" t="e">
        <f>SUM(K25:K32)</f>
        <v>#VALUE!</v>
      </c>
    </row>
    <row r="23" spans="1:15">
      <c r="G23" s="1" t="s">
        <v>199</v>
      </c>
    </row>
    <row r="24" spans="1:15">
      <c r="H24" s="28" t="s">
        <v>2</v>
      </c>
      <c r="I24" s="28" t="s">
        <v>34</v>
      </c>
      <c r="J24" s="34" t="s">
        <v>202</v>
      </c>
      <c r="K24" s="34" t="s">
        <v>203</v>
      </c>
      <c r="L24" s="4" t="s">
        <v>204</v>
      </c>
    </row>
    <row r="25" spans="1:15">
      <c r="G25" t="s">
        <v>73</v>
      </c>
      <c r="H25" s="26">
        <f>$J$20*VLOOKUP(G25,'EV of Far Future'!$K$3:$M$10,2,FALSE)</f>
        <v>1.1442496849097023E+28</v>
      </c>
      <c r="I25" s="26">
        <f>$K$20+VLOOKUP(G25,'EV of Far Future'!$K$3:$M$10,3,FALSE)</f>
        <v>4.5465250197807148</v>
      </c>
      <c r="J25" s="35" t="e">
        <f>ParetoPosterior(median,alpha,H25,I25)*VLOOKUP(G25,'EV of Far Future'!$K$2:$P$10,4,FALSE)*VLOOKUP(G25,'EV of Far Future'!$K$2:$P$10,6,FALSE)</f>
        <v>#VALUE!</v>
      </c>
      <c r="K25" s="35" t="e">
        <f>LognormPosterior(mu,sigma,H25,I25)*VLOOKUP(G25,'EV of Far Future'!$K$2:$P$10,4,FALSE)*VLOOKUP(G25,'EV of Far Future'!$K$2:$P$10,6,FALSE)</f>
        <v>#VALUE!</v>
      </c>
      <c r="L25" s="4"/>
    </row>
    <row r="26" spans="1:15">
      <c r="G26" t="s">
        <v>72</v>
      </c>
      <c r="H26" s="26">
        <f>$J$20*VLOOKUP(G26,'EV of Far Future'!$K$3:$M$10,2,FALSE)</f>
        <v>1.7163745273645535E+28</v>
      </c>
      <c r="I26" s="26">
        <f>$K$20+VLOOKUP(G26,'EV of Far Future'!$K$3:$M$10,3,FALSE)</f>
        <v>4.6465250197807144</v>
      </c>
      <c r="J26" s="35" t="e">
        <f>ParetoPosterior(median,alpha,H26,I26)*VLOOKUP(G26,'EV of Far Future'!$K$2:$P$10,4,FALSE)*VLOOKUP(G26,'EV of Far Future'!$K$2:$P$10,6,FALSE)</f>
        <v>#VALUE!</v>
      </c>
      <c r="K26" s="35" t="e">
        <f>LognormPosterior(mu,sigma,H26,I26)*VLOOKUP(G26,'EV of Far Future'!$K$2:$P$10,4,FALSE)*VLOOKUP(G26,'EV of Far Future'!$K$2:$P$10,6,FALSE)</f>
        <v>#VALUE!</v>
      </c>
      <c r="L26" s="4"/>
    </row>
    <row r="27" spans="1:15">
      <c r="G27" t="s">
        <v>74</v>
      </c>
      <c r="H27" s="26">
        <f>$J$20*VLOOKUP(G27,'EV of Far Future'!$K$3:$M$10,2,FALSE)</f>
        <v>7.2368704324893165E+30</v>
      </c>
      <c r="I27" s="26">
        <f>$K$20+VLOOKUP(G27,'EV of Far Future'!$K$3:$M$10,3,FALSE)</f>
        <v>5.3366770928169043</v>
      </c>
      <c r="J27" s="35" t="e">
        <f>ParetoPosterior(median,alpha,H27,I27)*VLOOKUP(G27,'EV of Far Future'!$K$2:$P$10,4,FALSE)*VLOOKUP(G27,'EV of Far Future'!$K$2:$P$10,6,FALSE)</f>
        <v>#VALUE!</v>
      </c>
      <c r="K27" s="35" t="e">
        <f>LognormPosterior(mu,sigma,H27,I27)*VLOOKUP(G27,'EV of Far Future'!$K$2:$P$10,4,FALSE)*VLOOKUP(G27,'EV of Far Future'!$K$2:$P$10,6,FALSE)</f>
        <v>#VALUE!</v>
      </c>
      <c r="L27" s="4"/>
    </row>
    <row r="28" spans="1:15">
      <c r="G28" t="s">
        <v>75</v>
      </c>
      <c r="H28" s="26">
        <f>$J$20*VLOOKUP(G28,'EV of Far Future'!$K$3:$M$10,2,FALSE)</f>
        <v>2.2884993698194043E+34</v>
      </c>
      <c r="I28" s="26">
        <f>$K$20+VLOOKUP(G28,'EV of Far Future'!$K$3:$M$10,3,FALSE)</f>
        <v>5.8268291658530948</v>
      </c>
      <c r="J28" s="35" t="e">
        <f>ParetoPosterior(median,alpha,H28,I28)*VLOOKUP(G28,'EV of Far Future'!$K$2:$P$10,4,FALSE)*VLOOKUP(G28,'EV of Far Future'!$K$2:$P$10,6,FALSE)</f>
        <v>#VALUE!</v>
      </c>
      <c r="K28" s="35" t="e">
        <f>LognormPosterior(mu,sigma,H28,I28)*VLOOKUP(G28,'EV of Far Future'!$K$2:$P$10,4,FALSE)*VLOOKUP(G28,'EV of Far Future'!$K$2:$P$10,6,FALSE)</f>
        <v>#VALUE!</v>
      </c>
      <c r="L28" s="4"/>
    </row>
    <row r="29" spans="1:15">
      <c r="G29" t="s">
        <v>76</v>
      </c>
      <c r="H29" s="26">
        <f>$J$20*VLOOKUP(G29,'EV of Far Future'!$K$3:$M$10,2,FALSE)</f>
        <v>7.2368704324893157E+32</v>
      </c>
      <c r="I29" s="26">
        <f>$K$20+VLOOKUP(G29,'EV of Far Future'!$K$3:$M$10,3,FALSE)</f>
        <v>6.9972853849616623</v>
      </c>
      <c r="J29" s="35" t="e">
        <f>ParetoPosterior(median,alpha,H29,I29)*VLOOKUP(G29,'EV of Far Future'!$K$2:$P$10,4,FALSE)*VLOOKUP(G29,'EV of Far Future'!$K$2:$P$10,6,FALSE)</f>
        <v>#VALUE!</v>
      </c>
      <c r="K29" s="35" t="e">
        <f>LognormPosterior(mu,sigma,H29,I29)*VLOOKUP(G29,'EV of Far Future'!$K$2:$P$10,4,FALSE)*VLOOKUP(G29,'EV of Far Future'!$K$2:$P$10,6,FALSE)</f>
        <v>#VALUE!</v>
      </c>
      <c r="L29" s="4"/>
    </row>
    <row r="30" spans="1:15">
      <c r="G30" t="s">
        <v>77</v>
      </c>
      <c r="H30" s="26">
        <f>$J$20*VLOOKUP(G30,'EV of Far Future'!$K$3:$M$10,2,FALSE)</f>
        <v>1.1442496849097024E+42</v>
      </c>
      <c r="I30" s="26">
        <f>$K$20+VLOOKUP(G30,'EV of Far Future'!$K$3:$M$10,3,FALSE)</f>
        <v>6.1268291658530938</v>
      </c>
      <c r="J30" s="35" t="e">
        <f>ParetoPosterior(median,alpha,H30,I30)*VLOOKUP(G30,'EV of Far Future'!$K$2:$P$10,4,FALSE)*VLOOKUP(G30,'EV of Far Future'!$K$2:$P$10,6,FALSE)</f>
        <v>#VALUE!</v>
      </c>
      <c r="K30" s="35" t="e">
        <f>LognormPosterior(mu,sigma,H30,I30)*VLOOKUP(G30,'EV of Far Future'!$K$2:$P$10,4,FALSE)*VLOOKUP(G30,'EV of Far Future'!$K$2:$P$10,6,FALSE)</f>
        <v>#VALUE!</v>
      </c>
      <c r="L30" s="4"/>
    </row>
    <row r="31" spans="1:15">
      <c r="G31" t="s">
        <v>78</v>
      </c>
      <c r="H31" s="26">
        <f>$J$20*VLOOKUP(G31,'EV of Far Future'!$K$3:$M$10,2,FALSE)</f>
        <v>1.1442496849097026E+38</v>
      </c>
      <c r="I31" s="26">
        <f>$K$20+VLOOKUP(G31,'EV of Far Future'!$K$3:$M$10,3,FALSE)</f>
        <v>6.3268291658530948</v>
      </c>
      <c r="J31" s="35" t="e">
        <f>ParetoPosterior(median,alpha,H31,I31)*VLOOKUP(G31,'EV of Far Future'!$K$2:$P$10,4,FALSE)*VLOOKUP(G31,'EV of Far Future'!$K$2:$P$10,6,FALSE)</f>
        <v>#VALUE!</v>
      </c>
      <c r="K31" s="35" t="e">
        <f>LognormPosterior(mu,sigma,H31,I31)*VLOOKUP(G31,'EV of Far Future'!$K$2:$P$10,4,FALSE)*VLOOKUP(G31,'EV of Far Future'!$K$2:$P$10,6,FALSE)</f>
        <v>#VALUE!</v>
      </c>
      <c r="L31" s="4"/>
    </row>
    <row r="32" spans="1:15">
      <c r="G32" t="s">
        <v>79</v>
      </c>
      <c r="H32" s="26">
        <f>$J$20*VLOOKUP(G32,'EV of Far Future'!$K$3:$M$10,2,FALSE)</f>
        <v>1.1442496849097024E+42</v>
      </c>
      <c r="I32" s="26">
        <f>$K$20+VLOOKUP(G32,'EV of Far Future'!$K$3:$M$10,3,FALSE)</f>
        <v>6.1268291658530938</v>
      </c>
      <c r="J32" s="35" t="e">
        <f>ParetoPosterior(median,alpha,H32,I32)*VLOOKUP(G32,'EV of Far Future'!$K$2:$P$10,4,FALSE)*VLOOKUP(G32,'EV of Far Future'!$K$2:$P$10,6,FALSE)</f>
        <v>#VALUE!</v>
      </c>
      <c r="K32" s="35" t="e">
        <f>LognormPosterior(mu,sigma,H32,I32)*VLOOKUP(G32,'EV of Far Future'!$K$2:$P$10,4,FALSE)*VLOOKUP(G32,'EV of Far Future'!$K$2:$P$10,6,FALSE)</f>
        <v>#VALUE!</v>
      </c>
      <c r="L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H56" sqref="H5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167</v>
      </c>
      <c r="H1" s="1" t="s">
        <v>186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7" t="s">
        <v>170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187</v>
      </c>
      <c r="I3">
        <f>$D$9*D11</f>
        <v>6.000000000000001E-6</v>
      </c>
      <c r="J3">
        <f>$E$9+E11</f>
        <v>2.1060174845083819</v>
      </c>
    </row>
    <row r="4" spans="1:10">
      <c r="A4" s="37" t="s">
        <v>175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188</v>
      </c>
      <c r="I4">
        <f>$D$9*D12</f>
        <v>1.8973665961010282E-5</v>
      </c>
      <c r="J4">
        <f>$E$9+E12</f>
        <v>1.9507603651809473</v>
      </c>
    </row>
    <row r="5" spans="1:10">
      <c r="A5" s="4" t="s">
        <v>176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189</v>
      </c>
      <c r="I5">
        <f>$D$9*D13</f>
        <v>1.4696938456699071E-5</v>
      </c>
      <c r="J5">
        <f>$E$9+E13</f>
        <v>2.0373151147442554</v>
      </c>
    </row>
    <row r="6" spans="1:10">
      <c r="A6" s="29" t="s">
        <v>173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190</v>
      </c>
      <c r="I6">
        <f>$D$9*D14</f>
        <v>1.4696938456699071E-5</v>
      </c>
      <c r="J6">
        <f>$E$9+E14</f>
        <v>2.0373151147442554</v>
      </c>
    </row>
    <row r="7" spans="1:10">
      <c r="A7" s="29" t="s">
        <v>174</v>
      </c>
      <c r="B7" s="15">
        <v>1000</v>
      </c>
      <c r="C7" s="15">
        <v>100000</v>
      </c>
    </row>
    <row r="8" spans="1:10">
      <c r="A8" t="s">
        <v>178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79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179</v>
      </c>
      <c r="D9">
        <f>PRODUCT(D3:D6)*D8</f>
        <v>2.6832815729997483E-5</v>
      </c>
      <c r="E9">
        <f>SUM(E3:E6)+E8</f>
        <v>1.8333128883265699</v>
      </c>
      <c r="H9" t="s">
        <v>74</v>
      </c>
      <c r="I9">
        <f>VLOOKUP(H9,'EV of Far Future'!$K$3:$M$10,2,FALSE)</f>
        <v>1.9999999999999997E+37</v>
      </c>
      <c r="J9">
        <f>VLOOKUP(H9,'EV of Far Future'!$K$3:$M$10,3,FALSE)</f>
        <v>3.5212165842895158</v>
      </c>
    </row>
    <row r="10" spans="1:10">
      <c r="H10" t="s">
        <v>75</v>
      </c>
      <c r="I10">
        <f>VLOOKUP(H10,'EV of Far Future'!$K$3:$M$10,2,FALSE)</f>
        <v>6.324555320336757E+40</v>
      </c>
      <c r="J10">
        <f>VLOOKUP(H10,'EV of Far Future'!$K$3:$M$10,3,FALSE)</f>
        <v>4.0113686573257059</v>
      </c>
    </row>
    <row r="11" spans="1:10">
      <c r="A11" s="29" t="s">
        <v>172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76</v>
      </c>
      <c r="I11">
        <f>VLOOKUP(H11,'EV of Far Future'!$K$3:$M$10,2,FALSE)</f>
        <v>1.9999999999999993E+39</v>
      </c>
      <c r="J11">
        <f>VLOOKUP(H11,'EV of Far Future'!$K$3:$M$10,3,FALSE)</f>
        <v>5.1818248764342734</v>
      </c>
    </row>
    <row r="12" spans="1:10">
      <c r="A12" s="29" t="s">
        <v>180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181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97</v>
      </c>
      <c r="I13">
        <f>VLOOKUP(H13,'EV of Far Future'!O3:P10,2,FALSE)</f>
        <v>5.000000000000001E-3</v>
      </c>
      <c r="J13">
        <v>0</v>
      </c>
    </row>
    <row r="14" spans="1:10">
      <c r="A14" s="29" t="s">
        <v>171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92</v>
      </c>
      <c r="I14">
        <f>VLOOKUP(H14,'EV of Far Future'!O4:P11,2,FALSE)</f>
        <v>0.22399999999999998</v>
      </c>
      <c r="J14">
        <v>0</v>
      </c>
    </row>
    <row r="15" spans="1:10">
      <c r="H15" t="s">
        <v>93</v>
      </c>
      <c r="I15">
        <f>VLOOKUP(H15,'EV of Far Future'!O5:P12,2,FALSE)</f>
        <v>0.22399999999999998</v>
      </c>
      <c r="J15">
        <v>0</v>
      </c>
    </row>
    <row r="16" spans="1:10">
      <c r="H16" t="s">
        <v>94</v>
      </c>
      <c r="I16">
        <f>VLOOKUP(H16,'EV of Far Future'!O6:P13,2,FALSE)</f>
        <v>0.16799999999999998</v>
      </c>
      <c r="J16">
        <v>0</v>
      </c>
    </row>
    <row r="17" spans="1:12">
      <c r="K17" s="34" t="s">
        <v>110</v>
      </c>
      <c r="L17" s="34" t="s">
        <v>99</v>
      </c>
    </row>
    <row r="18" spans="1:12">
      <c r="H18" s="28" t="s">
        <v>182</v>
      </c>
      <c r="I18" s="26">
        <f>I3*I8*I13</f>
        <v>9.4868329805051422E+40</v>
      </c>
      <c r="J18" s="26">
        <f>J3+J8+J13</f>
        <v>6.4173861418340881</v>
      </c>
      <c r="K18" s="35" t="e">
        <f>LognormPosterior(mu,sigma,I18,J18)</f>
        <v>#VALUE!</v>
      </c>
      <c r="L18" s="35" t="e">
        <f>ParetoPosterior(median,alpha,I18,J18)</f>
        <v>#VALUE!</v>
      </c>
    </row>
    <row r="19" spans="1:12">
      <c r="H19" s="28" t="s">
        <v>183</v>
      </c>
      <c r="I19" s="26">
        <f>I4*I9*I14</f>
        <v>8.5002023505326034E+31</v>
      </c>
      <c r="J19" s="26">
        <f>J4+J9+J14</f>
        <v>5.4719769494704629</v>
      </c>
      <c r="K19" s="35" t="e">
        <f>LognormPosterior(mu,sigma,I19,J19)</f>
        <v>#VALUE!</v>
      </c>
      <c r="L19" s="35" t="e">
        <f>ParetoPosterior(median,alpha,I19,J19)</f>
        <v>#VALUE!</v>
      </c>
    </row>
    <row r="20" spans="1:12">
      <c r="H20" s="28" t="s">
        <v>184</v>
      </c>
      <c r="I20" s="26">
        <f>I5*I10*I15</f>
        <v>2.0821158469211068E+35</v>
      </c>
      <c r="J20" s="26">
        <f>J5+J10+J15</f>
        <v>6.0486837720699613</v>
      </c>
      <c r="K20" s="35" t="e">
        <f>LognormPosterior(mu,sigma,I20,J20)</f>
        <v>#VALUE!</v>
      </c>
      <c r="L20" s="35" t="e">
        <f>ParetoPosterior(median,alpha,I20,J20)</f>
        <v>#VALUE!</v>
      </c>
    </row>
    <row r="21" spans="1:12">
      <c r="H21" s="28" t="s">
        <v>185</v>
      </c>
      <c r="I21" s="26">
        <f>I6*I11*I16</f>
        <v>4.9381713214508861E+33</v>
      </c>
      <c r="J21" s="26">
        <f>J6+J11+J16</f>
        <v>7.2191399911785288</v>
      </c>
      <c r="K21" s="35" t="e">
        <f>LognormPosterior(mu,sigma,I21,J21)</f>
        <v>#VALUE!</v>
      </c>
      <c r="L21" s="35" t="e">
        <f>ParetoPosterior(median,alpha,I21,J21)</f>
        <v>#VALUE!</v>
      </c>
    </row>
    <row r="23" spans="1:12" ht="20">
      <c r="A23" s="7" t="s">
        <v>67</v>
      </c>
    </row>
    <row r="24" spans="1:12">
      <c r="B24" t="s">
        <v>99</v>
      </c>
      <c r="C24" t="s">
        <v>110</v>
      </c>
      <c r="J24" t="s">
        <v>191</v>
      </c>
    </row>
    <row r="25" spans="1:12">
      <c r="A25" t="s">
        <v>193</v>
      </c>
      <c r="B25" t="e">
        <f>MAX(L18:L21)</f>
        <v>#VALUE!</v>
      </c>
      <c r="C25" t="e">
        <f>MAX(K18:K21)</f>
        <v>#VALUE!</v>
      </c>
    </row>
    <row r="28" spans="1:12">
      <c r="A28" t="s">
        <v>192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2016-04-03T00:46:26Z</dcterms:modified>
</cp:coreProperties>
</file>