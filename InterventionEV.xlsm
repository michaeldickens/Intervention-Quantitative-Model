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709" codeName="{00000000-0000-0000-0000-000000000000}"/>
  <workbookPr showInkAnnotation="0" codeName="ThisWorkbook" autoCompressPictures="0"/>
  <bookViews>
    <workbookView xWindow="0" yWindow="0" windowWidth="30400" windowHeight="28260" tabRatio="500" activeTab="2"/>
  </bookViews>
  <sheets>
    <sheet name="Summary" sheetId="7" r:id="rId1"/>
    <sheet name="Globals" sheetId="2" r:id="rId2"/>
    <sheet name="EV of Far Future" sheetId="3" r:id="rId3"/>
    <sheet name="GiveDirectly" sheetId="5" r:id="rId4"/>
    <sheet name="Veg Ads" sheetId="1" r:id="rId5"/>
    <sheet name="ACE" sheetId="11" r:id="rId6"/>
    <sheet name="AI Safety" sheetId="6" r:id="rId7"/>
    <sheet name="AI Targeted Values Spreading" sheetId="10" r:id="rId8"/>
  </sheets>
  <definedNames>
    <definedName name="alpha">Globals!$B$3</definedName>
    <definedName name="enable_calculations">Globals!$N$2</definedName>
    <definedName name="factory_farmed_animals">Globals!$O$18</definedName>
    <definedName name="interest_rate">Globals!$O$19</definedName>
    <definedName name="measurement">Globals!$B$4</definedName>
    <definedName name="median">Globals!$B$2</definedName>
    <definedName name="mu_factory_farming">Globals!$G$2</definedName>
    <definedName name="mu_far_future">Globals!$J$2</definedName>
    <definedName name="mu_far_future_humans">Globals!$J$2</definedName>
    <definedName name="mu_global_poverty">Globals!$F$2</definedName>
    <definedName name="mu_sentient_simulations">Globals!$I$2</definedName>
    <definedName name="mu_wild_animals">Globals!$H$2</definedName>
    <definedName name="p_biological">Globals!$B$8</definedName>
    <definedName name="p_computronium">Globals!$B$11</definedName>
    <definedName name="p_dolorium">Globals!$D$13</definedName>
    <definedName name="p_factory_farming">Globals!$F$8</definedName>
    <definedName name="p_hedonium">Globals!$D$11</definedName>
    <definedName name="p_not_care_about_animals">Globals!$D$8</definedName>
    <definedName name="p_paperclip">Globals!$D$12</definedName>
    <definedName name="p_reduce_WAS">Globals!$D$6</definedName>
    <definedName name="p_society_does_not_care_about_animals">Globals!$D$8</definedName>
    <definedName name="p_spread_was">Globals!$F$9</definedName>
    <definedName name="p_stay_on_earth">Globals!$B$6</definedName>
    <definedName name="p_suffering_simulations">Globals!$F$10</definedName>
    <definedName name="sigma_factory_farming">Globals!$G$3</definedName>
    <definedName name="sigma_far_future">Globals!$J$3</definedName>
    <definedName name="sigma_far_future_humans">Globals!$J$3</definedName>
    <definedName name="sigma_global_poverty">Globals!$F$3</definedName>
    <definedName name="sigma_sentient_simulations">Globals!$I$3</definedName>
    <definedName name="sigma_wild_animals">Globals!$H$3</definedName>
    <definedName name="stay_on_earth">Globals!$B$6</definedName>
    <definedName name="stdev_base10">Globals!#REF!</definedName>
    <definedName name="utility_per_dolorium">Globals!$D$24</definedName>
    <definedName name="utility_per_factory_farmed_animal">Globals!$D$18</definedName>
    <definedName name="utility_per_hedonium">Globals!$D$22</definedName>
    <definedName name="utility_per_human">Globals!$D$17</definedName>
    <definedName name="utility_per_insect">Globals!$D$21</definedName>
    <definedName name="utility_per_paperclip">Globals!$D$23</definedName>
    <definedName name="utility_per_wild_vertebrate">Globals!$D$20</definedName>
    <definedName name="x_m">Globals!#REF!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10" i="3" l="1"/>
  <c r="L9" i="3"/>
  <c r="L8" i="3"/>
  <c r="L7" i="3"/>
  <c r="L6" i="3"/>
  <c r="L5" i="3"/>
  <c r="L4" i="3"/>
  <c r="L3" i="3"/>
  <c r="L11" i="3"/>
  <c r="L12" i="3"/>
  <c r="M12" i="3"/>
  <c r="M13" i="3"/>
  <c r="L13" i="3"/>
  <c r="G3" i="3"/>
  <c r="G4" i="3"/>
  <c r="G8" i="3"/>
  <c r="G10" i="3"/>
  <c r="P30" i="2"/>
  <c r="H3" i="3"/>
  <c r="P31" i="2"/>
  <c r="H4" i="3"/>
  <c r="P32" i="2"/>
  <c r="H8" i="3"/>
  <c r="H10" i="3"/>
  <c r="M3" i="3"/>
  <c r="G14" i="3"/>
  <c r="G16" i="3"/>
  <c r="P33" i="2"/>
  <c r="H14" i="3"/>
  <c r="H16" i="3"/>
  <c r="M4" i="3"/>
  <c r="G20" i="3"/>
  <c r="G22" i="3"/>
  <c r="P34" i="2"/>
  <c r="H20" i="3"/>
  <c r="H22" i="3"/>
  <c r="M5" i="3"/>
  <c r="G26" i="3"/>
  <c r="G28" i="3"/>
  <c r="P35" i="2"/>
  <c r="H26" i="3"/>
  <c r="H28" i="3"/>
  <c r="M6" i="3"/>
  <c r="G32" i="3"/>
  <c r="G33" i="3"/>
  <c r="G35" i="3"/>
  <c r="H32" i="3"/>
  <c r="P36" i="2"/>
  <c r="H33" i="3"/>
  <c r="H35" i="3"/>
  <c r="M7" i="3"/>
  <c r="B3" i="3"/>
  <c r="B4" i="3"/>
  <c r="B5" i="3"/>
  <c r="B6" i="3"/>
  <c r="B11" i="3"/>
  <c r="L30" i="2"/>
  <c r="C3" i="3"/>
  <c r="L31" i="2"/>
  <c r="C4" i="3"/>
  <c r="L32" i="2"/>
  <c r="C5" i="3"/>
  <c r="L33" i="2"/>
  <c r="C6" i="3"/>
  <c r="C11" i="3"/>
  <c r="M8" i="3"/>
  <c r="B16" i="3"/>
  <c r="C16" i="3"/>
  <c r="M9" i="3"/>
  <c r="B21" i="3"/>
  <c r="C21" i="3"/>
  <c r="M10" i="3"/>
  <c r="O5" i="6"/>
  <c r="K3" i="6"/>
  <c r="K5" i="6"/>
  <c r="K6" i="6"/>
  <c r="K7" i="6"/>
  <c r="E4" i="6"/>
  <c r="K8" i="6"/>
  <c r="K14" i="6"/>
  <c r="K15" i="6"/>
  <c r="K16" i="6"/>
  <c r="K20" i="6"/>
  <c r="O3" i="6"/>
  <c r="O4" i="6"/>
  <c r="O10" i="6"/>
  <c r="N4" i="6"/>
  <c r="N10" i="6"/>
  <c r="N11" i="6"/>
  <c r="N15" i="6"/>
  <c r="K7" i="7"/>
  <c r="E5" i="1"/>
  <c r="I3" i="1"/>
  <c r="I5" i="1"/>
  <c r="I6" i="7"/>
  <c r="K6" i="7"/>
  <c r="K5" i="7"/>
  <c r="K4" i="7"/>
  <c r="J5" i="7"/>
  <c r="J6" i="7"/>
  <c r="J7" i="7"/>
  <c r="J4" i="7"/>
  <c r="G3" i="2"/>
  <c r="J3" i="2"/>
  <c r="N5" i="1"/>
  <c r="E4" i="1"/>
  <c r="E6" i="1"/>
  <c r="E7" i="1"/>
  <c r="E8" i="1"/>
  <c r="N7" i="1"/>
  <c r="N8" i="1"/>
  <c r="M5" i="1"/>
  <c r="M8" i="1"/>
  <c r="M9" i="1"/>
  <c r="G9" i="3"/>
  <c r="H9" i="3"/>
  <c r="D18" i="2"/>
  <c r="G15" i="3"/>
  <c r="H15" i="3"/>
  <c r="D20" i="2"/>
  <c r="G21" i="3"/>
  <c r="H21" i="3"/>
  <c r="D21" i="2"/>
  <c r="G27" i="3"/>
  <c r="H27" i="3"/>
  <c r="G34" i="3"/>
  <c r="H34" i="3"/>
  <c r="B10" i="3"/>
  <c r="C10" i="3"/>
  <c r="D23" i="2"/>
  <c r="B15" i="3"/>
  <c r="C15" i="3"/>
  <c r="B20" i="3"/>
  <c r="C20" i="3"/>
  <c r="N3" i="6"/>
  <c r="C14" i="1"/>
  <c r="B14" i="1"/>
  <c r="I17" i="1"/>
  <c r="I19" i="1"/>
  <c r="I20" i="1"/>
  <c r="C15" i="1"/>
  <c r="H17" i="1"/>
  <c r="H20" i="1"/>
  <c r="B15" i="1"/>
  <c r="H27" i="1"/>
  <c r="H30" i="1"/>
  <c r="B16" i="1"/>
  <c r="I27" i="1"/>
  <c r="I29" i="1"/>
  <c r="I30" i="1"/>
  <c r="C16" i="1"/>
  <c r="H37" i="1"/>
  <c r="H40" i="1"/>
  <c r="B17" i="1"/>
  <c r="I37" i="1"/>
  <c r="I39" i="1"/>
  <c r="I40" i="1"/>
  <c r="C17" i="1"/>
  <c r="B23" i="1"/>
  <c r="B24" i="1"/>
  <c r="B25" i="1"/>
  <c r="B26" i="1"/>
  <c r="I4" i="1"/>
  <c r="H6" i="1"/>
  <c r="H7" i="1"/>
  <c r="M10" i="1"/>
  <c r="H12" i="5"/>
  <c r="H10" i="5"/>
  <c r="H11" i="5"/>
  <c r="H13" i="5"/>
  <c r="G12" i="5"/>
  <c r="G10" i="5"/>
  <c r="G11" i="5"/>
  <c r="G13" i="5"/>
  <c r="I61" i="1"/>
  <c r="I60" i="1"/>
  <c r="I59" i="1"/>
  <c r="I58" i="1"/>
  <c r="F61" i="1"/>
  <c r="F60" i="1"/>
  <c r="F59" i="1"/>
  <c r="F58" i="1"/>
  <c r="H52" i="1"/>
  <c r="O54" i="1"/>
  <c r="O53" i="1"/>
  <c r="H25" i="1"/>
  <c r="H35" i="1"/>
  <c r="M17" i="1"/>
  <c r="M20" i="1"/>
  <c r="M37" i="1"/>
  <c r="M35" i="1"/>
  <c r="M40" i="1"/>
  <c r="M27" i="1"/>
  <c r="M25" i="1"/>
  <c r="M30" i="1"/>
  <c r="M29" i="1"/>
  <c r="N29" i="1"/>
  <c r="I5" i="7"/>
  <c r="H4" i="1"/>
  <c r="H5" i="1"/>
  <c r="H6" i="7"/>
  <c r="I4" i="7"/>
  <c r="H4" i="7"/>
  <c r="K52" i="1"/>
  <c r="O52" i="1"/>
  <c r="P4" i="3"/>
  <c r="M3" i="1"/>
  <c r="M6" i="1"/>
  <c r="D8" i="1"/>
  <c r="M7" i="1"/>
  <c r="G5" i="5"/>
  <c r="P3" i="3"/>
  <c r="P5" i="3"/>
  <c r="P6" i="3"/>
  <c r="P7" i="3"/>
  <c r="P8" i="3"/>
  <c r="P9" i="3"/>
  <c r="P10" i="3"/>
  <c r="B15" i="5"/>
  <c r="N30" i="2"/>
  <c r="N31" i="2"/>
  <c r="N32" i="2"/>
  <c r="O30" i="2"/>
  <c r="O32" i="2"/>
  <c r="O31" i="2"/>
  <c r="D17" i="2"/>
  <c r="J30" i="2"/>
  <c r="J31" i="2"/>
  <c r="J32" i="2"/>
  <c r="J33" i="2"/>
  <c r="B24" i="2"/>
  <c r="D24" i="2"/>
  <c r="K32" i="2"/>
  <c r="K31" i="2"/>
  <c r="K30" i="2"/>
  <c r="K33" i="2"/>
  <c r="C22" i="2"/>
  <c r="D22" i="2"/>
  <c r="H3" i="2"/>
  <c r="I3" i="2"/>
  <c r="N33" i="2"/>
  <c r="O33" i="2"/>
  <c r="I12" i="11"/>
  <c r="G4" i="5"/>
  <c r="N34" i="2"/>
  <c r="N35" i="2"/>
  <c r="N36" i="2"/>
  <c r="O35" i="2"/>
  <c r="O36" i="2"/>
  <c r="H38" i="1"/>
  <c r="H39" i="1"/>
  <c r="H28" i="1"/>
  <c r="H29" i="1"/>
  <c r="O34" i="2"/>
  <c r="H15" i="1"/>
  <c r="H18" i="1"/>
  <c r="H19" i="1"/>
  <c r="B13" i="1"/>
  <c r="M38" i="1"/>
  <c r="D4" i="1"/>
  <c r="B5" i="1"/>
  <c r="C5" i="1"/>
  <c r="D5" i="1"/>
  <c r="D6" i="1"/>
  <c r="D7" i="1"/>
  <c r="M39" i="1"/>
  <c r="N37" i="1"/>
  <c r="N39" i="1"/>
  <c r="N40" i="1"/>
  <c r="N17" i="1"/>
  <c r="N19" i="1"/>
  <c r="N20" i="1"/>
  <c r="M15" i="1"/>
  <c r="M18" i="1"/>
  <c r="M19" i="1"/>
  <c r="H3" i="1"/>
  <c r="C13" i="1"/>
  <c r="M28" i="1"/>
  <c r="N27" i="1"/>
  <c r="N30" i="1"/>
  <c r="G22" i="5"/>
  <c r="B7" i="5"/>
  <c r="C7" i="5"/>
  <c r="G23" i="5"/>
  <c r="G21" i="5"/>
  <c r="H21" i="5"/>
  <c r="H22" i="5"/>
  <c r="H23" i="5"/>
  <c r="J15" i="6"/>
  <c r="J14" i="6"/>
  <c r="J13" i="6"/>
  <c r="D4" i="6"/>
  <c r="J7" i="6"/>
  <c r="J6" i="6"/>
  <c r="J5" i="6"/>
  <c r="J3" i="6"/>
  <c r="J5" i="11"/>
  <c r="C8" i="11"/>
  <c r="B8" i="11"/>
  <c r="D8" i="11"/>
  <c r="D4" i="11"/>
  <c r="B9" i="11"/>
  <c r="C9" i="11"/>
  <c r="D9" i="11"/>
  <c r="I4" i="11"/>
  <c r="J7" i="11"/>
  <c r="E7" i="11"/>
  <c r="J10" i="11"/>
  <c r="I5" i="11"/>
  <c r="D3" i="11"/>
  <c r="I3" i="11"/>
  <c r="I7" i="11"/>
  <c r="D7" i="11"/>
  <c r="I10" i="11"/>
  <c r="I14" i="11"/>
  <c r="I17" i="11"/>
  <c r="C7" i="7"/>
  <c r="H3" i="5"/>
  <c r="C5" i="7"/>
  <c r="D7" i="7"/>
  <c r="C6" i="7"/>
  <c r="D6" i="7"/>
  <c r="E8" i="11"/>
  <c r="E4" i="11"/>
  <c r="E9" i="11"/>
  <c r="J4" i="11"/>
  <c r="L4" i="11"/>
  <c r="J8" i="11"/>
  <c r="J11" i="11"/>
  <c r="E3" i="11"/>
  <c r="J3" i="11"/>
  <c r="L3" i="11"/>
  <c r="I8" i="11"/>
  <c r="I11" i="11"/>
  <c r="I15" i="11"/>
  <c r="K4" i="11"/>
  <c r="J6" i="11"/>
  <c r="J9" i="11"/>
  <c r="K3" i="11"/>
  <c r="I6" i="11"/>
  <c r="I9" i="11"/>
  <c r="I13" i="11"/>
  <c r="I18" i="11"/>
  <c r="I16" i="11"/>
  <c r="J8" i="6"/>
  <c r="J16" i="6"/>
  <c r="J20" i="6"/>
  <c r="C23" i="7"/>
  <c r="B23" i="7"/>
  <c r="C22" i="7"/>
  <c r="B14" i="5"/>
  <c r="B22" i="7"/>
  <c r="I5" i="6"/>
  <c r="H5" i="6"/>
  <c r="C4" i="6"/>
  <c r="B4" i="6"/>
  <c r="I15" i="6"/>
  <c r="H15" i="6"/>
  <c r="C15" i="7"/>
  <c r="B15" i="7"/>
  <c r="J8" i="10"/>
  <c r="C5" i="10"/>
  <c r="B5" i="10"/>
  <c r="E5" i="10"/>
  <c r="E3" i="10"/>
  <c r="E4" i="10"/>
  <c r="E6" i="10"/>
  <c r="E8" i="10"/>
  <c r="E9" i="10"/>
  <c r="E11" i="10"/>
  <c r="J3" i="10"/>
  <c r="J18" i="10"/>
  <c r="I8" i="10"/>
  <c r="I13" i="10"/>
  <c r="D5" i="10"/>
  <c r="D9" i="10"/>
  <c r="I3" i="10"/>
  <c r="I18" i="10"/>
  <c r="K18" i="10"/>
  <c r="J9" i="10"/>
  <c r="E12" i="10"/>
  <c r="J4" i="10"/>
  <c r="J19" i="10"/>
  <c r="I9" i="10"/>
  <c r="I14" i="10"/>
  <c r="I4" i="10"/>
  <c r="I19" i="10"/>
  <c r="K19" i="10"/>
  <c r="J10" i="10"/>
  <c r="E13" i="10"/>
  <c r="J5" i="10"/>
  <c r="J20" i="10"/>
  <c r="I10" i="10"/>
  <c r="I15" i="10"/>
  <c r="I5" i="10"/>
  <c r="I20" i="10"/>
  <c r="K20" i="10"/>
  <c r="J11" i="10"/>
  <c r="E14" i="10"/>
  <c r="J6" i="10"/>
  <c r="J21" i="10"/>
  <c r="I11" i="10"/>
  <c r="I16" i="10"/>
  <c r="I6" i="10"/>
  <c r="I21" i="10"/>
  <c r="K21" i="10"/>
  <c r="C25" i="10"/>
  <c r="C9" i="7"/>
  <c r="D9" i="7"/>
  <c r="D5" i="7"/>
  <c r="L18" i="10"/>
  <c r="L19" i="10"/>
  <c r="L20" i="10"/>
  <c r="L21" i="10"/>
  <c r="B25" i="10"/>
  <c r="B9" i="7"/>
  <c r="B5" i="7"/>
  <c r="D13" i="10"/>
  <c r="D14" i="10"/>
  <c r="D12" i="10"/>
  <c r="D11" i="10"/>
  <c r="C8" i="10"/>
  <c r="B8" i="10"/>
  <c r="D8" i="10"/>
  <c r="D6" i="10"/>
  <c r="D4" i="10"/>
  <c r="D3" i="10"/>
  <c r="D19" i="2"/>
  <c r="K13" i="6"/>
  <c r="B19" i="5"/>
  <c r="B14" i="7"/>
  <c r="B20" i="5"/>
  <c r="C14" i="7"/>
  <c r="D14" i="7"/>
  <c r="D15" i="7"/>
  <c r="C16" i="7"/>
  <c r="D16" i="7"/>
  <c r="B16" i="7"/>
  <c r="H24" i="5"/>
  <c r="H25" i="5"/>
  <c r="N5" i="6"/>
  <c r="B12" i="6"/>
  <c r="C8" i="7"/>
  <c r="D8" i="7"/>
  <c r="B11" i="6"/>
  <c r="B8" i="7"/>
  <c r="G24" i="5"/>
  <c r="G25" i="5"/>
  <c r="N6" i="6"/>
  <c r="N12" i="6"/>
</calcChain>
</file>

<file path=xl/sharedStrings.xml><?xml version="1.0" encoding="utf-8"?>
<sst xmlns="http://schemas.openxmlformats.org/spreadsheetml/2006/main" count="470" uniqueCount="252">
  <si>
    <t>Low CI</t>
  </si>
  <si>
    <t>High CI</t>
  </si>
  <si>
    <t>Mean</t>
  </si>
  <si>
    <t>Variance (orders of magnitude)</t>
  </si>
  <si>
    <t>alpha</t>
  </si>
  <si>
    <t>median</t>
  </si>
  <si>
    <t>Prior (Pareto)</t>
  </si>
  <si>
    <t>stay on earth</t>
  </si>
  <si>
    <t>biological</t>
  </si>
  <si>
    <t>society doesn't care about animals</t>
  </si>
  <si>
    <t>we make suffering simulations</t>
  </si>
  <si>
    <t>we spread WAS</t>
  </si>
  <si>
    <t>hedonium</t>
  </si>
  <si>
    <t>computronium</t>
  </si>
  <si>
    <t>paperclip</t>
  </si>
  <si>
    <t>dolorium</t>
  </si>
  <si>
    <t>we reduce WAS on balance</t>
  </si>
  <si>
    <t>Far future outcome probabilities</t>
  </si>
  <si>
    <t>accessible stars</t>
  </si>
  <si>
    <t>usable wattage</t>
  </si>
  <si>
    <t>years of future</t>
  </si>
  <si>
    <t>humans per star</t>
  </si>
  <si>
    <t>factory farmed animals per star</t>
  </si>
  <si>
    <t>wild vertebrates per star</t>
  </si>
  <si>
    <t>Sources</t>
  </si>
  <si>
    <t>http://reducing-suffering.org/how-many-wild-animals-are-there/</t>
  </si>
  <si>
    <t>https://en.wikipedia.org/wiki/Timeline_of_the_far_future</t>
  </si>
  <si>
    <t>Bradbury, "Matrioshka Brains"</t>
  </si>
  <si>
    <t>https://www.gwern.net/docs/1999-bradbury-matrioshkabrains.pdf</t>
  </si>
  <si>
    <t>Tomasik, "How Many Wild Animals Are There?"</t>
  </si>
  <si>
    <t>factory farmed animals</t>
  </si>
  <si>
    <t>Notes</t>
  </si>
  <si>
    <t>Biological condition</t>
  </si>
  <si>
    <t>Size of far future (80% CI)</t>
  </si>
  <si>
    <t>Variance</t>
  </si>
  <si>
    <t>Size of far future (mean/variance)</t>
  </si>
  <si>
    <t>[2]</t>
  </si>
  <si>
    <t>[3]</t>
  </si>
  <si>
    <t>[1]; assumes 1-10 planets per star</t>
  </si>
  <si>
    <t>[1]</t>
  </si>
  <si>
    <t>Computronium condition</t>
  </si>
  <si>
    <t>Utility for different types of beings</t>
  </si>
  <si>
    <t>utility per human</t>
  </si>
  <si>
    <t>utility per factory farmed animal</t>
  </si>
  <si>
    <t>utility per wild vertebrate</t>
  </si>
  <si>
    <t>utility per insect</t>
  </si>
  <si>
    <t>brains per watt</t>
  </si>
  <si>
    <t>utility per hedonium</t>
  </si>
  <si>
    <t>utility per paperclip</t>
  </si>
  <si>
    <t>utility per dolorium</t>
  </si>
  <si>
    <t>Well-being</t>
  </si>
  <si>
    <t>Sentience adjustment</t>
  </si>
  <si>
    <t>for same energy requirements as human brain</t>
  </si>
  <si>
    <t>Utility (absolute value so we can combine log-normals)</t>
  </si>
  <si>
    <t>Biological Condition</t>
  </si>
  <si>
    <t>Hedonium utility</t>
  </si>
  <si>
    <t>Paperclip neg utility</t>
  </si>
  <si>
    <t>Dolorium neg utility</t>
  </si>
  <si>
    <t>Human utility</t>
  </si>
  <si>
    <t>Computronium Condition</t>
  </si>
  <si>
    <t>utility estimate</t>
  </si>
  <si>
    <t>Factory farming neg utility</t>
  </si>
  <si>
    <t>insects per star</t>
  </si>
  <si>
    <t>Wild vertebrate neg utility</t>
  </si>
  <si>
    <t>Insect neg utility</t>
  </si>
  <si>
    <t>Simulation neg utility</t>
  </si>
  <si>
    <t>simulations per insect</t>
  </si>
  <si>
    <t>Results</t>
  </si>
  <si>
    <t>Sign</t>
  </si>
  <si>
    <t>we have factory farming</t>
  </si>
  <si>
    <t>factory farming total utility</t>
  </si>
  <si>
    <t>human total utility</t>
  </si>
  <si>
    <t>wild vertebrate total utility</t>
  </si>
  <si>
    <t>insect total utility</t>
  </si>
  <si>
    <t>simulation total utility</t>
  </si>
  <si>
    <t>hedonium total utility</t>
  </si>
  <si>
    <t>paperclip total utility</t>
  </si>
  <si>
    <t>dolorium total utility</t>
  </si>
  <si>
    <t>P(factory farming exists)</t>
  </si>
  <si>
    <t>Direct effect</t>
  </si>
  <si>
    <t>Far-future effect on factory farming</t>
  </si>
  <si>
    <t>Basic facts</t>
  </si>
  <si>
    <t>1/factory farmed animals</t>
  </si>
  <si>
    <t>animals spared per $1000</t>
  </si>
  <si>
    <t>years factory farming prevented per $1000</t>
  </si>
  <si>
    <t>log-normal posterior</t>
  </si>
  <si>
    <t>P(stopping this if we stop factory farming)</t>
  </si>
  <si>
    <t>This is the probability increase of stopping WAS conditional on stopping factory farming.</t>
  </si>
  <si>
    <t>Far-future effect on wild vertebrates</t>
  </si>
  <si>
    <t>P(humans exist)</t>
  </si>
  <si>
    <t>P(wild vertebrates exist)</t>
  </si>
  <si>
    <t>P(insects exist)</t>
  </si>
  <si>
    <t>P(simulations exist)</t>
  </si>
  <si>
    <t>P(hedonium exists)</t>
  </si>
  <si>
    <t>P(paperclips exist)</t>
  </si>
  <si>
    <t>P(dolorium exists)</t>
  </si>
  <si>
    <t>Far-future effect on suffering simulations</t>
  </si>
  <si>
    <t>Pareto posterior</t>
  </si>
  <si>
    <t>Prior (log-normal)</t>
  </si>
  <si>
    <t>mu</t>
  </si>
  <si>
    <t>sigma</t>
  </si>
  <si>
    <t>Far-future effect on insects</t>
  </si>
  <si>
    <t>Negative effect on wild vertebrates</t>
  </si>
  <si>
    <t>P(making this worse if we stop factory farming)</t>
  </si>
  <si>
    <t>Negative effect on insects</t>
  </si>
  <si>
    <t>Total (Pareto)</t>
  </si>
  <si>
    <t>Total (log-normal)</t>
  </si>
  <si>
    <t>Stdev</t>
  </si>
  <si>
    <t>Log-normal posterior</t>
  </si>
  <si>
    <t>Extinction risk reduction</t>
  </si>
  <si>
    <t>poverty ended per $1000</t>
  </si>
  <si>
    <t>Color guide</t>
  </si>
  <si>
    <t>intermediate result</t>
  </si>
  <si>
    <t>final result</t>
  </si>
  <si>
    <t>P(extinction)</t>
  </si>
  <si>
    <t>extinction scenarios averted by ending poverty</t>
  </si>
  <si>
    <t>extinction scenarios caused by ending poverty</t>
  </si>
  <si>
    <t>Extinction risk increase</t>
  </si>
  <si>
    <t>interest rate</t>
  </si>
  <si>
    <t>animals permanently spared per $1000</t>
  </si>
  <si>
    <t>cost per year to end poverty ($)</t>
  </si>
  <si>
    <t>P(AI-related extinction)</t>
  </si>
  <si>
    <t>AI researcher multiplicative effect</t>
  </si>
  <si>
    <t>bad scenarios averted by doubling research</t>
  </si>
  <si>
    <t>hours to solve AI safety</t>
  </si>
  <si>
    <t>size of FAI community when AGI created</t>
  </si>
  <si>
    <t>hours per AI researcher</t>
  </si>
  <si>
    <t>cost per AI researcher</t>
  </si>
  <si>
    <t>1/cost per AI researcher</t>
  </si>
  <si>
    <t>center of distribution</t>
  </si>
  <si>
    <t>annual rate at which vegetarians convert new vegetarians</t>
  </si>
  <si>
    <t>I made the variance 0 because this should only improve the results, but making the variance nontrivial causes the results to get worse. I kept the number low to compensate.</t>
  </si>
  <si>
    <t>Model 1 (GPP)</t>
  </si>
  <si>
    <t>Model 2</t>
  </si>
  <si>
    <t>EV far future</t>
  </si>
  <si>
    <t>General</t>
  </si>
  <si>
    <t>x-risk averted per $1000</t>
  </si>
  <si>
    <t>1/hours to solve</t>
  </si>
  <si>
    <t>TODO: don't know how to calculate this variance</t>
  </si>
  <si>
    <t>Unified condition</t>
  </si>
  <si>
    <t>Model average</t>
  </si>
  <si>
    <t>calculations you should ignore (no color)</t>
  </si>
  <si>
    <t>Pareto</t>
  </si>
  <si>
    <t>Log-normal</t>
  </si>
  <si>
    <t>GiveDirectly</t>
  </si>
  <si>
    <t>Veg Ads</t>
  </si>
  <si>
    <t>AI Safety</t>
  </si>
  <si>
    <t>Unified model</t>
  </si>
  <si>
    <t>Unified</t>
  </si>
  <si>
    <t>Biological/Computronium</t>
  </si>
  <si>
    <t>Split biological/computronium model</t>
  </si>
  <si>
    <t>utility per cage removed</t>
  </si>
  <si>
    <t>years factory farming prevented per $1</t>
  </si>
  <si>
    <t>AMF</t>
  </si>
  <si>
    <t>Corporate Campaigns</t>
  </si>
  <si>
    <t xml:space="preserve">Mean </t>
  </si>
  <si>
    <t>Estimated by doubling the 80% CI given by http://www.animalcharityevaluators.org/research/interventions/impact-calculator/</t>
  </si>
  <si>
    <t>Estimated from FHI x-risk survey</t>
  </si>
  <si>
    <t>Inputs (80% CI)</t>
  </si>
  <si>
    <t>(80% CI)</t>
  </si>
  <si>
    <t>Wikipedia, "Timeline of the Far Future"</t>
  </si>
  <si>
    <t>P(friendly AI gets built)</t>
  </si>
  <si>
    <t>suffering simulations prevented</t>
  </si>
  <si>
    <t>dolorium scenarios prevented by making the FAI animal-friendly</t>
  </si>
  <si>
    <t>values propagation multiplier</t>
  </si>
  <si>
    <t>cost to convince one AI researcher to care about animals</t>
  </si>
  <si>
    <t>P(FAI is bad for animals by default)</t>
  </si>
  <si>
    <t>1/size of FAI community when AGI created</t>
  </si>
  <si>
    <t>user input (or any other color)</t>
  </si>
  <si>
    <t>$1000/cost</t>
  </si>
  <si>
    <t>Increased probability AGI is good for animals per $1000 spent</t>
  </si>
  <si>
    <t>wild vertebrate suffering prevented</t>
  </si>
  <si>
    <t>insect suffering prevented</t>
  </si>
  <si>
    <t>dolorium utility estimate</t>
  </si>
  <si>
    <t>wild vertebrate utility estimate</t>
  </si>
  <si>
    <t>insect utility estimate</t>
  </si>
  <si>
    <t>simulation utility estimate</t>
  </si>
  <si>
    <t>Model</t>
  </si>
  <si>
    <t>dolorium scenarios prevented per $1000</t>
  </si>
  <si>
    <t>wild vertebrate scenarios prevented per $1000</t>
  </si>
  <si>
    <t>insect scenarios prevented per $1000</t>
  </si>
  <si>
    <t>simulation scenarios prevented per $1000</t>
  </si>
  <si>
    <t>TODO: find better way to compute variance for combined estimate</t>
  </si>
  <si>
    <t>*just gives lower bound right now since I can't compute this without knowing how to find the sum of lognormals</t>
  </si>
  <si>
    <t>Unified*</t>
  </si>
  <si>
    <t>AI Targeted Values Spreading</t>
  </si>
  <si>
    <t>Posterior</t>
  </si>
  <si>
    <t>Total utility</t>
  </si>
  <si>
    <t>Ratio vs. GD</t>
  </si>
  <si>
    <t>Utility from direct effects only</t>
  </si>
  <si>
    <t>Negative effect on suffering simulations</t>
  </si>
  <si>
    <t>from looking at random articles I found on Google, adjusting for overconfidence</t>
  </si>
  <si>
    <t>Fully split model</t>
  </si>
  <si>
    <t>TODO</t>
  </si>
  <si>
    <t>Inputs</t>
  </si>
  <si>
    <t>Mean increase by big effort</t>
  </si>
  <si>
    <t>Variance decrease by big effort</t>
  </si>
  <si>
    <t>Researcher-years per big effort</t>
  </si>
  <si>
    <t>Cost per researcher-year</t>
  </si>
  <si>
    <t>Mean increase per $1000</t>
  </si>
  <si>
    <t>Variance decrease per $1000</t>
  </si>
  <si>
    <t>1/researcher-years</t>
  </si>
  <si>
    <t>Baseline posterior</t>
  </si>
  <si>
    <t>Baseline utility estimate</t>
  </si>
  <si>
    <t>Low updated utility estimate</t>
  </si>
  <si>
    <t>Mean updated utility estimate</t>
  </si>
  <si>
    <t>High updated utility estimate</t>
  </si>
  <si>
    <t>Low posterior</t>
  </si>
  <si>
    <t>Mean posterior</t>
  </si>
  <si>
    <t>High posterior</t>
  </si>
  <si>
    <t>Low delta</t>
  </si>
  <si>
    <t>Mean delta</t>
  </si>
  <si>
    <t>High delta</t>
  </si>
  <si>
    <t>Low utility post-ACE</t>
  </si>
  <si>
    <t>High utility post-ACE</t>
  </si>
  <si>
    <t>Mean utility post-ACE</t>
  </si>
  <si>
    <t>TODO: just takes max of individual split values</t>
  </si>
  <si>
    <t>ACE</t>
  </si>
  <si>
    <t>high variance b/c unclear how bad/good wild vertebrate lives actually are</t>
  </si>
  <si>
    <t>for just chickens; higher variance than factory farming b/c there's disagreement about welfare difference for caged vs. cage-free</t>
  </si>
  <si>
    <t xml:space="preserve"> </t>
  </si>
  <si>
    <t>$1000s influenced by ACE per big effort</t>
  </si>
  <si>
    <t>scale (logarithmic base 10); this is the equivalent of standard deviation, not variance</t>
  </si>
  <si>
    <t>global poverty</t>
  </si>
  <si>
    <t>factory farming</t>
  </si>
  <si>
    <t>wild animals</t>
  </si>
  <si>
    <t>sentient simulations</t>
  </si>
  <si>
    <t>far future</t>
  </si>
  <si>
    <t>should be 43.27</t>
  </si>
  <si>
    <t>should be 829.78</t>
  </si>
  <si>
    <t>Enable calculations?</t>
  </si>
  <si>
    <t>0 for false, 1 for true</t>
  </si>
  <si>
    <t>(positive)</t>
  </si>
  <si>
    <t>(negative)</t>
  </si>
  <si>
    <t>extinction averted per $1000</t>
  </si>
  <si>
    <t>animal-years caused per human year</t>
  </si>
  <si>
    <t>This figure is pretty robust but only includes land animals, you could increase the bounds to account for fish/shellfish</t>
  </si>
  <si>
    <t>Correlated with P(AI-related extinction) on the AI Safety sheet</t>
  </si>
  <si>
    <t>buckets</t>
  </si>
  <si>
    <t>for a poor developing-world human. probably less happy than someone in the developed world</t>
  </si>
  <si>
    <t>(1) does not include fish/shellfish; (2) I am willing to trade maybe 5 years normal life vs. 1 year on factory farm, and extremely poor people's lives are about half as good as those in the developed world according to world happiness surveys</t>
  </si>
  <si>
    <t>utility estimate 2</t>
  </si>
  <si>
    <t>right now hedonium only</t>
  </si>
  <si>
    <t>should be TRUE</t>
  </si>
  <si>
    <r>
      <t>EV far future</t>
    </r>
    <r>
      <rPr>
        <sz val="12"/>
        <color theme="1"/>
        <rFont val="Calibri"/>
        <family val="2"/>
        <scheme val="minor"/>
      </rPr>
      <t>, bucketized</t>
    </r>
  </si>
  <si>
    <t>Warning: takes a long time to evaluate (30 seconds on my machine)</t>
  </si>
  <si>
    <t>EV far future (buckets)</t>
  </si>
  <si>
    <t>exp mean/variance</t>
  </si>
  <si>
    <t>TODO: should equal human total utility</t>
  </si>
  <si>
    <t>Adjusted utility estimate (adj. by probability)</t>
  </si>
  <si>
    <t>Probability (used in adjusted utility estimate)</t>
  </si>
  <si>
    <t>TODO: incorporate 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</si>
</sst>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scheme val="minor"/>
    </font>
    <font>
      <sz val="12"/>
      <color rgb="FF000000"/>
      <name val="Calibri"/>
      <family val="2"/>
      <scheme val="minor"/>
    </font>
    <font>
      <sz val="12"/>
      <name val="Calibri"/>
      <scheme val="minor"/>
    </font>
    <font>
      <sz val="12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BD97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49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8">
    <xf numFmtId="0" fontId="0" fillId="0" borderId="0" xfId="0"/>
    <xf numFmtId="0" fontId="4" fillId="0" borderId="0" xfId="0" applyFont="1"/>
    <xf numFmtId="0" fontId="0" fillId="0" borderId="0" xfId="0" applyFont="1"/>
    <xf numFmtId="11" fontId="0" fillId="0" borderId="0" xfId="0" applyNumberFormat="1"/>
    <xf numFmtId="0" fontId="0" fillId="0" borderId="0" xfId="0" applyFill="1"/>
    <xf numFmtId="0" fontId="0" fillId="2" borderId="0" xfId="0" applyFill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11" fontId="0" fillId="3" borderId="0" xfId="0" applyNumberFormat="1" applyFill="1"/>
    <xf numFmtId="0" fontId="0" fillId="4" borderId="0" xfId="0" applyFill="1" applyAlignment="1">
      <alignment wrapText="1"/>
    </xf>
    <xf numFmtId="0" fontId="0" fillId="5" borderId="0" xfId="0" applyFill="1"/>
    <xf numFmtId="0" fontId="0" fillId="6" borderId="0" xfId="0" applyFill="1"/>
    <xf numFmtId="11" fontId="0" fillId="6" borderId="0" xfId="0" applyNumberFormat="1" applyFill="1"/>
    <xf numFmtId="0" fontId="0" fillId="7" borderId="0" xfId="0" applyFill="1"/>
    <xf numFmtId="0" fontId="0" fillId="8" borderId="0" xfId="0" applyFill="1"/>
    <xf numFmtId="0" fontId="0" fillId="0" borderId="0" xfId="0" applyFill="1" applyAlignment="1">
      <alignment wrapText="1"/>
    </xf>
    <xf numFmtId="0" fontId="6" fillId="9" borderId="0" xfId="0" applyFont="1" applyFill="1" applyAlignment="1">
      <alignment wrapText="1"/>
    </xf>
    <xf numFmtId="11" fontId="6" fillId="10" borderId="0" xfId="0" applyNumberFormat="1" applyFont="1" applyFill="1"/>
    <xf numFmtId="11" fontId="0" fillId="0" borderId="0" xfId="0" applyNumberFormat="1" applyFill="1"/>
    <xf numFmtId="0" fontId="0" fillId="11" borderId="0" xfId="0" applyFill="1" applyAlignment="1">
      <alignment wrapText="1"/>
    </xf>
    <xf numFmtId="0" fontId="4" fillId="0" borderId="0" xfId="0" applyFont="1" applyAlignment="1">
      <alignment wrapText="1"/>
    </xf>
    <xf numFmtId="0" fontId="5" fillId="0" borderId="0" xfId="0" applyFont="1" applyAlignment="1"/>
    <xf numFmtId="0" fontId="0" fillId="0" borderId="0" xfId="0" applyAlignment="1"/>
    <xf numFmtId="11" fontId="0" fillId="5" borderId="0" xfId="0" applyNumberFormat="1" applyFill="1"/>
    <xf numFmtId="0" fontId="4" fillId="0" borderId="0" xfId="0" applyFont="1" applyFill="1"/>
    <xf numFmtId="0" fontId="0" fillId="12" borderId="0" xfId="0" applyFill="1"/>
    <xf numFmtId="11" fontId="0" fillId="8" borderId="0" xfId="0" applyNumberFormat="1" applyFill="1"/>
    <xf numFmtId="0" fontId="0" fillId="13" borderId="0" xfId="0" applyFill="1"/>
    <xf numFmtId="0" fontId="0" fillId="11" borderId="0" xfId="0" applyFill="1"/>
    <xf numFmtId="0" fontId="0" fillId="14" borderId="0" xfId="0" applyFill="1"/>
    <xf numFmtId="0" fontId="0" fillId="13" borderId="0" xfId="0" applyFill="1" applyAlignment="1">
      <alignment wrapText="1"/>
    </xf>
    <xf numFmtId="0" fontId="0" fillId="13" borderId="0" xfId="0" applyFont="1" applyFill="1" applyAlignment="1">
      <alignment wrapText="1"/>
    </xf>
    <xf numFmtId="0" fontId="0" fillId="15" borderId="0" xfId="0" applyFill="1"/>
    <xf numFmtId="0" fontId="0" fillId="16" borderId="0" xfId="0" applyFill="1"/>
    <xf numFmtId="0" fontId="0" fillId="16" borderId="0" xfId="0" applyFill="1" applyAlignment="1">
      <alignment horizontal="right"/>
    </xf>
    <xf numFmtId="0" fontId="0" fillId="11" borderId="0" xfId="0" applyFont="1" applyFill="1"/>
    <xf numFmtId="0" fontId="7" fillId="0" borderId="0" xfId="0" applyFont="1" applyFill="1"/>
    <xf numFmtId="0" fontId="0" fillId="0" borderId="0" xfId="0" applyFill="1" applyAlignment="1">
      <alignment horizontal="right"/>
    </xf>
    <xf numFmtId="2" fontId="0" fillId="0" borderId="0" xfId="0" applyNumberFormat="1" applyFont="1"/>
    <xf numFmtId="0" fontId="0" fillId="5" borderId="0" xfId="0" applyNumberFormat="1" applyFill="1"/>
    <xf numFmtId="0" fontId="4" fillId="0" borderId="0" xfId="0" applyFont="1" applyFill="1" applyAlignment="1">
      <alignment wrapText="1"/>
    </xf>
    <xf numFmtId="0" fontId="0" fillId="0" borderId="0" xfId="0" applyFont="1" applyFill="1" applyAlignment="1">
      <alignment wrapText="1"/>
    </xf>
    <xf numFmtId="0" fontId="0" fillId="0" borderId="0" xfId="0" applyNumberFormat="1"/>
    <xf numFmtId="0" fontId="0" fillId="17" borderId="0" xfId="0" applyFill="1"/>
    <xf numFmtId="0" fontId="0" fillId="0" borderId="0" xfId="0" applyFont="1" applyFill="1"/>
    <xf numFmtId="0" fontId="8" fillId="0" borderId="0" xfId="0" applyFont="1" applyFill="1"/>
    <xf numFmtId="0" fontId="0" fillId="15" borderId="0" xfId="0" applyFont="1" applyFill="1"/>
  </cellXfs>
  <cellStyles count="149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15</xdr:row>
      <xdr:rowOff>152400</xdr:rowOff>
    </xdr:from>
    <xdr:to>
      <xdr:col>3</xdr:col>
      <xdr:colOff>241300</xdr:colOff>
      <xdr:row>30</xdr:row>
      <xdr:rowOff>0</xdr:rowOff>
    </xdr:to>
    <xdr:sp macro="" textlink="">
      <xdr:nvSpPr>
        <xdr:cNvPr id="2" name="TextBox 1"/>
        <xdr:cNvSpPr txBox="1"/>
      </xdr:nvSpPr>
      <xdr:spPr>
        <a:xfrm>
          <a:off x="215900" y="3073400"/>
          <a:ext cx="3327400" cy="2705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normal prior doesn’t apply here so instead of adjusting with a prior, just</a:t>
          </a:r>
          <a:r>
            <a:rPr lang="en-US" sz="1100" baseline="0"/>
            <a:t> use get answers for Low CI/Mean/High CI.</a:t>
          </a:r>
        </a:p>
        <a:p>
          <a:endParaRPr lang="en-US" sz="1100"/>
        </a:p>
        <a:p>
          <a:r>
            <a:rPr lang="en-US" sz="1100"/>
            <a:t>TODO: Right</a:t>
          </a:r>
          <a:r>
            <a:rPr lang="en-US" sz="1100" baseline="0"/>
            <a:t> now this only looks at the far-future effect on factory farming. Fix this after you figure out how to handle the Veg Ads model.</a:t>
          </a:r>
        </a:p>
        <a:p>
          <a:endParaRPr lang="en-US" sz="1100" baseline="0"/>
        </a:p>
        <a:p>
          <a:r>
            <a:rPr lang="en-US" sz="1100" baseline="0"/>
            <a:t>TODO: somehow account for future growth increasing money moved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23"/>
  <sheetViews>
    <sheetView workbookViewId="0">
      <selection activeCell="K8" sqref="K8"/>
    </sheetView>
  </sheetViews>
  <sheetFormatPr baseColWidth="10" defaultRowHeight="15" x14ac:dyDescent="0"/>
  <cols>
    <col min="1" max="1" width="21.6640625" customWidth="1"/>
    <col min="2" max="5" width="12.1640625" bestFit="1" customWidth="1"/>
  </cols>
  <sheetData>
    <row r="1" spans="1:12" ht="20">
      <c r="A1" s="7" t="s">
        <v>187</v>
      </c>
      <c r="G1" s="7" t="s">
        <v>189</v>
      </c>
    </row>
    <row r="2" spans="1:12">
      <c r="J2" t="s">
        <v>186</v>
      </c>
    </row>
    <row r="3" spans="1:12">
      <c r="A3" s="1" t="s">
        <v>147</v>
      </c>
      <c r="H3" t="s">
        <v>155</v>
      </c>
      <c r="I3" t="s">
        <v>34</v>
      </c>
      <c r="J3" s="30" t="s">
        <v>142</v>
      </c>
      <c r="K3" s="30" t="s">
        <v>143</v>
      </c>
    </row>
    <row r="4" spans="1:12">
      <c r="B4" s="30" t="s">
        <v>142</v>
      </c>
      <c r="C4" s="30" t="s">
        <v>143</v>
      </c>
      <c r="D4" s="30" t="s">
        <v>188</v>
      </c>
      <c r="G4" s="45" t="s">
        <v>144</v>
      </c>
      <c r="H4" s="4">
        <f>GiveDirectly!G3</f>
        <v>1</v>
      </c>
      <c r="I4">
        <f>GiveDirectly!H3</f>
        <v>6.25E-2</v>
      </c>
      <c r="J4" s="5">
        <f>ParetoPosterior(median,alpha,H4:I4)</f>
        <v>1.0718443947358864</v>
      </c>
      <c r="K4" s="5">
        <f>LognormPosterior(mu_global_poverty,sigma_global_poverty,H4:I4)</f>
        <v>1.1516259366300541</v>
      </c>
    </row>
    <row r="5" spans="1:12">
      <c r="A5" s="30" t="s">
        <v>144</v>
      </c>
      <c r="B5" s="5">
        <f>GiveDirectly!B14</f>
        <v>1.0718443947358864</v>
      </c>
      <c r="C5" s="5">
        <f>GiveDirectly!B15</f>
        <v>1.1516259366300541</v>
      </c>
      <c r="D5" s="5">
        <f>C5/$C$5</f>
        <v>1</v>
      </c>
      <c r="G5" s="4" t="s">
        <v>153</v>
      </c>
      <c r="H5" s="4">
        <v>11</v>
      </c>
      <c r="I5">
        <f>0.5^2</f>
        <v>0.25</v>
      </c>
      <c r="J5" s="5">
        <f>ParetoPosterior(median,alpha,H5:I5)</f>
        <v>5.5189570936889352</v>
      </c>
      <c r="K5" s="5">
        <f>LognormPosterior(mu_global_poverty,sigma_global_poverty,H5:I5)</f>
        <v>6.0877279886251294</v>
      </c>
    </row>
    <row r="6" spans="1:12">
      <c r="A6" s="30" t="s">
        <v>145</v>
      </c>
      <c r="B6" s="5"/>
      <c r="C6" s="5">
        <f>MAX('Veg Ads'!H7,'Veg Ads'!M10,'Veg Ads'!H22,'Veg Ads'!H32,'Veg Ads'!H46)</f>
        <v>68.124229653876696</v>
      </c>
      <c r="D6" s="5">
        <f>C6/C5</f>
        <v>59.154824050963335</v>
      </c>
      <c r="E6" t="s">
        <v>216</v>
      </c>
      <c r="G6" s="4" t="s">
        <v>145</v>
      </c>
      <c r="H6" s="19">
        <f>'Veg Ads'!H5</f>
        <v>15083.103128998355</v>
      </c>
      <c r="I6">
        <f>'Veg Ads'!I5</f>
        <v>0.59504262895320126</v>
      </c>
      <c r="J6" s="5">
        <f>ParetoPosterior(median,alpha,H6:I6)</f>
        <v>682.54425392624319</v>
      </c>
      <c r="K6" s="5">
        <f>LognormPosterior(mu_factory_farming,sigma_factory_farming,H6:I6)</f>
        <v>68.124229653876696</v>
      </c>
    </row>
    <row r="7" spans="1:12">
      <c r="A7" s="30" t="s">
        <v>217</v>
      </c>
      <c r="B7" s="5"/>
      <c r="C7" s="5" t="e">
        <f>ACE!I17</f>
        <v>#VALUE!</v>
      </c>
      <c r="D7" s="5" t="e">
        <f>C7/$C$5</f>
        <v>#VALUE!</v>
      </c>
      <c r="G7" s="4" t="s">
        <v>154</v>
      </c>
      <c r="H7" s="19">
        <v>22000</v>
      </c>
      <c r="I7">
        <v>0.5</v>
      </c>
      <c r="J7" s="5">
        <f>ParetoPosterior(median,alpha,H7:I7)</f>
        <v>1582.0302237467174</v>
      </c>
      <c r="K7" s="5">
        <f>LognormPosterior(mu_factory_farming,sigma_factory_farming,H7:I7)</f>
        <v>114.47918763046155</v>
      </c>
    </row>
    <row r="8" spans="1:12">
      <c r="A8" s="30" t="s">
        <v>146</v>
      </c>
      <c r="B8" s="5">
        <f>'AI Safety'!B11</f>
        <v>8.663706796338341E+27</v>
      </c>
      <c r="C8" s="5">
        <f>'AI Safety'!B12</f>
        <v>21463.827075305344</v>
      </c>
      <c r="D8" s="5">
        <f>C8/$C$5</f>
        <v>18637.846189982381</v>
      </c>
      <c r="G8" s="4"/>
      <c r="H8" s="19"/>
      <c r="I8" s="4"/>
      <c r="K8" s="4"/>
      <c r="L8" s="4"/>
    </row>
    <row r="9" spans="1:12">
      <c r="A9" s="30" t="s">
        <v>185</v>
      </c>
      <c r="B9" s="5" t="e">
        <f>'AI Targeted Values Spreading'!B25</f>
        <v>#VALUE!</v>
      </c>
      <c r="C9" s="5" t="e">
        <f>'AI Targeted Values Spreading'!C25</f>
        <v>#VALUE!</v>
      </c>
      <c r="D9" s="5" t="e">
        <f>C9/$C$5</f>
        <v>#VALUE!</v>
      </c>
    </row>
    <row r="12" spans="1:12">
      <c r="A12" s="1" t="s">
        <v>150</v>
      </c>
    </row>
    <row r="13" spans="1:12">
      <c r="B13" s="30" t="s">
        <v>142</v>
      </c>
      <c r="C13" s="30" t="s">
        <v>143</v>
      </c>
      <c r="D13" s="30" t="s">
        <v>188</v>
      </c>
    </row>
    <row r="14" spans="1:12">
      <c r="A14" s="30" t="s">
        <v>144</v>
      </c>
      <c r="B14" s="5">
        <f>GiveDirectly!B19</f>
        <v>1.0718443947358864</v>
      </c>
      <c r="C14" s="5">
        <f>GiveDirectly!B20</f>
        <v>1.1516259366300541</v>
      </c>
      <c r="D14" s="5">
        <f>C14/$C$14</f>
        <v>1</v>
      </c>
    </row>
    <row r="15" spans="1:12">
      <c r="A15" s="30" t="s">
        <v>145</v>
      </c>
      <c r="B15" s="5">
        <f>'Veg Ads'!B31</f>
        <v>0</v>
      </c>
      <c r="C15" s="5">
        <f>'Veg Ads'!B32</f>
        <v>0</v>
      </c>
      <c r="D15" s="5">
        <f>C15/$C$14</f>
        <v>0</v>
      </c>
    </row>
    <row r="16" spans="1:12">
      <c r="A16" s="30" t="s">
        <v>146</v>
      </c>
      <c r="B16" s="5">
        <f>'AI Safety'!B16</f>
        <v>0</v>
      </c>
      <c r="C16" s="5">
        <f>'AI Safety'!B17</f>
        <v>0</v>
      </c>
      <c r="D16" s="5">
        <f>C16/$C$14</f>
        <v>0</v>
      </c>
    </row>
    <row r="19" spans="1:4">
      <c r="A19" s="1" t="s">
        <v>192</v>
      </c>
    </row>
    <row r="20" spans="1:4">
      <c r="B20" s="30" t="s">
        <v>142</v>
      </c>
      <c r="C20" s="30" t="s">
        <v>143</v>
      </c>
      <c r="D20" s="30" t="s">
        <v>188</v>
      </c>
    </row>
    <row r="21" spans="1:4">
      <c r="A21" s="30" t="s">
        <v>144</v>
      </c>
      <c r="B21" s="5"/>
      <c r="C21" s="5"/>
      <c r="D21" s="5"/>
    </row>
    <row r="22" spans="1:4">
      <c r="A22" s="30" t="s">
        <v>145</v>
      </c>
      <c r="B22" s="5">
        <f>'Veg Ads'!B31</f>
        <v>0</v>
      </c>
      <c r="C22" s="5">
        <f>'Veg Ads'!B32</f>
        <v>0</v>
      </c>
      <c r="D22" s="5"/>
    </row>
    <row r="23" spans="1:4">
      <c r="A23" s="30" t="s">
        <v>146</v>
      </c>
      <c r="B23" s="5">
        <f>'AI Safety'!B21</f>
        <v>0</v>
      </c>
      <c r="C23" s="5">
        <f>'AI Safety'!B22</f>
        <v>0</v>
      </c>
      <c r="D23" s="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P42"/>
  <sheetViews>
    <sheetView workbookViewId="0">
      <selection activeCell="N3" sqref="N3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5" width="10.83203125" customWidth="1"/>
    <col min="7" max="8" width="10.83203125" customWidth="1"/>
    <col min="10" max="10" width="10.83203125" customWidth="1"/>
    <col min="13" max="13" width="10.83203125" customWidth="1"/>
    <col min="14" max="14" width="21.6640625" customWidth="1"/>
  </cols>
  <sheetData>
    <row r="1" spans="1:15" ht="20">
      <c r="A1" s="7" t="s">
        <v>6</v>
      </c>
      <c r="E1" s="7" t="s">
        <v>98</v>
      </c>
      <c r="F1" t="s">
        <v>223</v>
      </c>
      <c r="G1" t="s">
        <v>224</v>
      </c>
      <c r="H1" t="s">
        <v>225</v>
      </c>
      <c r="I1" t="s">
        <v>226</v>
      </c>
      <c r="J1" t="s">
        <v>227</v>
      </c>
      <c r="M1" s="1"/>
      <c r="N1" s="7" t="s">
        <v>230</v>
      </c>
    </row>
    <row r="2" spans="1:15">
      <c r="A2" s="5" t="s">
        <v>5</v>
      </c>
      <c r="B2" s="24">
        <v>1</v>
      </c>
      <c r="D2" t="s">
        <v>129</v>
      </c>
      <c r="E2" s="5" t="s">
        <v>99</v>
      </c>
      <c r="F2" s="11">
        <v>1</v>
      </c>
      <c r="G2" s="11">
        <v>1</v>
      </c>
      <c r="H2" s="40">
        <v>1</v>
      </c>
      <c r="I2" s="11">
        <v>1</v>
      </c>
      <c r="J2" s="11">
        <v>1</v>
      </c>
      <c r="N2" s="44">
        <v>0</v>
      </c>
      <c r="O2" t="s">
        <v>231</v>
      </c>
    </row>
    <row r="3" spans="1:15">
      <c r="A3" s="5" t="s">
        <v>4</v>
      </c>
      <c r="B3" s="11">
        <v>1.5</v>
      </c>
      <c r="D3" t="s">
        <v>222</v>
      </c>
      <c r="E3" s="5" t="s">
        <v>100</v>
      </c>
      <c r="F3" s="11">
        <v>0.6</v>
      </c>
      <c r="G3" s="11">
        <f>sigma_global_poverty</f>
        <v>0.6</v>
      </c>
      <c r="H3" s="11">
        <f>sigma_global_poverty</f>
        <v>0.6</v>
      </c>
      <c r="I3" s="11">
        <f>sigma_global_poverty</f>
        <v>0.6</v>
      </c>
      <c r="J3" s="11">
        <f>sigma_global_poverty</f>
        <v>0.6</v>
      </c>
    </row>
    <row r="5" spans="1:15" ht="20">
      <c r="A5" s="7" t="s">
        <v>17</v>
      </c>
      <c r="N5" s="7" t="s">
        <v>111</v>
      </c>
    </row>
    <row r="6" spans="1:15">
      <c r="A6" s="14" t="s">
        <v>7</v>
      </c>
      <c r="B6" s="12">
        <v>0.2</v>
      </c>
      <c r="C6" s="14" t="s">
        <v>16</v>
      </c>
      <c r="D6" s="12">
        <v>0.7</v>
      </c>
      <c r="N6" s="30" t="s">
        <v>113</v>
      </c>
    </row>
    <row r="7" spans="1:15">
      <c r="N7" s="33" t="s">
        <v>112</v>
      </c>
    </row>
    <row r="8" spans="1:15">
      <c r="A8" s="14" t="s">
        <v>8</v>
      </c>
      <c r="B8" s="12">
        <v>0.7</v>
      </c>
      <c r="C8" s="14" t="s">
        <v>9</v>
      </c>
      <c r="D8" s="12">
        <v>0.8</v>
      </c>
      <c r="E8" s="14" t="s">
        <v>69</v>
      </c>
      <c r="F8" s="12">
        <v>0.3</v>
      </c>
      <c r="N8" s="28" t="s">
        <v>60</v>
      </c>
    </row>
    <row r="9" spans="1:15">
      <c r="A9" s="14"/>
      <c r="B9" s="12"/>
      <c r="C9" s="14"/>
      <c r="D9" s="12"/>
      <c r="E9" s="14" t="s">
        <v>11</v>
      </c>
      <c r="F9" s="13">
        <v>0.4</v>
      </c>
      <c r="N9" t="s">
        <v>141</v>
      </c>
    </row>
    <row r="10" spans="1:15">
      <c r="E10" s="14" t="s">
        <v>10</v>
      </c>
      <c r="F10" s="13">
        <v>0.3</v>
      </c>
      <c r="N10" s="29" t="s">
        <v>168</v>
      </c>
    </row>
    <row r="11" spans="1:15">
      <c r="A11" s="14" t="s">
        <v>13</v>
      </c>
      <c r="B11" s="12">
        <v>0.1</v>
      </c>
      <c r="C11" s="14" t="s">
        <v>12</v>
      </c>
      <c r="D11" s="12">
        <v>0.2</v>
      </c>
      <c r="E11" s="4"/>
    </row>
    <row r="12" spans="1:15">
      <c r="C12" s="14" t="s">
        <v>14</v>
      </c>
      <c r="D12" s="12">
        <v>0.75</v>
      </c>
    </row>
    <row r="13" spans="1:15">
      <c r="C13" s="14" t="s">
        <v>15</v>
      </c>
      <c r="D13" s="12">
        <v>0.05</v>
      </c>
    </row>
    <row r="15" spans="1:15" ht="20">
      <c r="A15" s="7" t="s">
        <v>41</v>
      </c>
    </row>
    <row r="16" spans="1:15" ht="20">
      <c r="B16" t="s">
        <v>50</v>
      </c>
      <c r="C16" s="4" t="s">
        <v>51</v>
      </c>
      <c r="D16" t="s">
        <v>53</v>
      </c>
      <c r="E16" t="s">
        <v>34</v>
      </c>
      <c r="F16" t="s">
        <v>31</v>
      </c>
      <c r="N16" s="7" t="s">
        <v>81</v>
      </c>
    </row>
    <row r="17" spans="1:16">
      <c r="A17" s="20" t="s">
        <v>42</v>
      </c>
      <c r="B17" s="15">
        <v>1</v>
      </c>
      <c r="C17" s="15">
        <v>1</v>
      </c>
      <c r="D17">
        <f>B17*C17</f>
        <v>1</v>
      </c>
      <c r="E17" s="15">
        <v>0</v>
      </c>
      <c r="F17" t="s">
        <v>239</v>
      </c>
      <c r="O17" t="s">
        <v>2</v>
      </c>
    </row>
    <row r="18" spans="1:16" ht="30">
      <c r="A18" s="20" t="s">
        <v>43</v>
      </c>
      <c r="B18" s="15">
        <v>-10</v>
      </c>
      <c r="C18" s="15">
        <v>0.5</v>
      </c>
      <c r="D18">
        <f t="shared" ref="D18:D24" si="0">ABS(B18)*C18</f>
        <v>5</v>
      </c>
      <c r="E18" s="15">
        <v>0.1</v>
      </c>
      <c r="F18" t="s">
        <v>240</v>
      </c>
      <c r="L18" s="3"/>
      <c r="N18" s="29" t="s">
        <v>30</v>
      </c>
      <c r="O18" s="27">
        <v>20000000000</v>
      </c>
      <c r="P18" s="3"/>
    </row>
    <row r="19" spans="1:16">
      <c r="A19" s="29" t="s">
        <v>151</v>
      </c>
      <c r="B19" s="15">
        <v>2</v>
      </c>
      <c r="C19" s="15">
        <v>0.5</v>
      </c>
      <c r="D19">
        <f t="shared" si="0"/>
        <v>1</v>
      </c>
      <c r="E19" s="15">
        <v>0.2</v>
      </c>
      <c r="F19" t="s">
        <v>219</v>
      </c>
      <c r="L19" s="3"/>
      <c r="N19" s="29" t="s">
        <v>118</v>
      </c>
      <c r="O19" s="15">
        <v>0.05</v>
      </c>
      <c r="P19" s="3"/>
    </row>
    <row r="20" spans="1:16" ht="30">
      <c r="A20" s="20" t="s">
        <v>44</v>
      </c>
      <c r="B20" s="15">
        <v>-2</v>
      </c>
      <c r="C20" s="15">
        <v>0.2</v>
      </c>
      <c r="D20">
        <f t="shared" si="0"/>
        <v>0.4</v>
      </c>
      <c r="E20" s="15">
        <v>0.4</v>
      </c>
      <c r="F20" t="s">
        <v>218</v>
      </c>
      <c r="L20" s="3"/>
      <c r="N20" s="3"/>
      <c r="P20" s="3"/>
    </row>
    <row r="21" spans="1:16">
      <c r="A21" s="20" t="s">
        <v>45</v>
      </c>
      <c r="B21" s="15">
        <v>-4</v>
      </c>
      <c r="C21" s="15">
        <v>0.01</v>
      </c>
      <c r="D21">
        <f t="shared" si="0"/>
        <v>0.04</v>
      </c>
      <c r="E21" s="15">
        <v>0.5</v>
      </c>
      <c r="F21" t="s">
        <v>220</v>
      </c>
      <c r="L21" s="3"/>
      <c r="N21" s="3"/>
      <c r="P21" s="3"/>
    </row>
    <row r="22" spans="1:16">
      <c r="A22" s="20" t="s">
        <v>47</v>
      </c>
      <c r="B22" s="15">
        <v>1000</v>
      </c>
      <c r="C22" s="15">
        <f>C17</f>
        <v>1</v>
      </c>
      <c r="D22">
        <f t="shared" si="0"/>
        <v>1000</v>
      </c>
      <c r="E22" s="15">
        <v>0.8</v>
      </c>
      <c r="F22" t="s">
        <v>52</v>
      </c>
    </row>
    <row r="23" spans="1:16">
      <c r="A23" s="20" t="s">
        <v>48</v>
      </c>
      <c r="B23" s="15">
        <v>-2</v>
      </c>
      <c r="C23" s="15">
        <v>0.1</v>
      </c>
      <c r="D23">
        <f t="shared" si="0"/>
        <v>0.2</v>
      </c>
      <c r="E23" s="15">
        <v>1</v>
      </c>
      <c r="F23" t="s">
        <v>52</v>
      </c>
    </row>
    <row r="24" spans="1:16">
      <c r="A24" s="20" t="s">
        <v>49</v>
      </c>
      <c r="B24" s="15">
        <f>-B22</f>
        <v>-1000</v>
      </c>
      <c r="C24" s="15">
        <v>1</v>
      </c>
      <c r="D24">
        <f t="shared" si="0"/>
        <v>1000</v>
      </c>
      <c r="E24" s="15">
        <v>0.8</v>
      </c>
      <c r="F24" t="s">
        <v>52</v>
      </c>
    </row>
    <row r="27" spans="1:16" ht="20">
      <c r="A27" s="7" t="s">
        <v>33</v>
      </c>
      <c r="J27" s="7" t="s">
        <v>35</v>
      </c>
    </row>
    <row r="28" spans="1:16">
      <c r="A28" s="1" t="s">
        <v>40</v>
      </c>
      <c r="E28" s="1" t="s">
        <v>32</v>
      </c>
    </row>
    <row r="29" spans="1:16">
      <c r="B29" t="s">
        <v>0</v>
      </c>
      <c r="C29" t="s">
        <v>1</v>
      </c>
      <c r="D29" t="s">
        <v>31</v>
      </c>
      <c r="F29" t="s">
        <v>0</v>
      </c>
      <c r="G29" t="s">
        <v>1</v>
      </c>
      <c r="H29" t="s">
        <v>31</v>
      </c>
      <c r="K29" t="s">
        <v>2</v>
      </c>
      <c r="L29" t="s">
        <v>34</v>
      </c>
      <c r="O29" t="s">
        <v>2</v>
      </c>
      <c r="P29" t="s">
        <v>34</v>
      </c>
    </row>
    <row r="30" spans="1:16" ht="30">
      <c r="A30" s="10" t="s">
        <v>18</v>
      </c>
      <c r="B30" s="9">
        <v>100000000000</v>
      </c>
      <c r="C30" s="9">
        <v>100000000000000</v>
      </c>
      <c r="D30" t="s">
        <v>37</v>
      </c>
      <c r="E30" s="10" t="s">
        <v>18</v>
      </c>
      <c r="F30" s="9">
        <v>10000000000</v>
      </c>
      <c r="G30" s="9">
        <v>100000000000000</v>
      </c>
      <c r="H30" t="s">
        <v>37</v>
      </c>
      <c r="J30" s="16" t="str">
        <f>A30</f>
        <v>accessible stars</v>
      </c>
      <c r="K30">
        <f>SQRT(B30*C30)</f>
        <v>3162277660168.3794</v>
      </c>
      <c r="L30" s="3">
        <f>LogVariance(B30,C30)</f>
        <v>1.1704562191085683</v>
      </c>
      <c r="N30" s="16" t="str">
        <f>E30</f>
        <v>accessible stars</v>
      </c>
      <c r="O30">
        <f>SQRT(F30*G30)</f>
        <v>1000000000000</v>
      </c>
      <c r="P30" s="3">
        <f>LogVariance(F30,G30)</f>
        <v>1.5606082921447579</v>
      </c>
    </row>
    <row r="31" spans="1:16" ht="30">
      <c r="A31" s="10" t="s">
        <v>20</v>
      </c>
      <c r="B31" s="9">
        <v>100000000000</v>
      </c>
      <c r="C31" s="9">
        <v>1000000000000</v>
      </c>
      <c r="D31" t="s">
        <v>36</v>
      </c>
      <c r="E31" s="17" t="s">
        <v>20</v>
      </c>
      <c r="F31" s="18">
        <v>100000000000</v>
      </c>
      <c r="G31" s="18">
        <v>1000000000000</v>
      </c>
      <c r="H31" s="8" t="s">
        <v>36</v>
      </c>
      <c r="J31" s="16" t="str">
        <f t="shared" ref="J31:J32" si="1">A31</f>
        <v>years of future</v>
      </c>
      <c r="K31">
        <f t="shared" ref="K31:K33" si="2">SQRT(B31*C31)</f>
        <v>316227766016.83789</v>
      </c>
      <c r="L31" s="3">
        <f t="shared" ref="L31:L33" si="3">LogVariance(B31,C31)</f>
        <v>0.39015207303618948</v>
      </c>
      <c r="M31" s="3"/>
      <c r="N31" s="16" t="str">
        <f t="shared" ref="N31:N35" si="4">E31</f>
        <v>years of future</v>
      </c>
      <c r="O31">
        <f t="shared" ref="O31:O35" si="5">SQRT(F31*G31)</f>
        <v>316227766016.83789</v>
      </c>
      <c r="P31" s="3">
        <f t="shared" ref="P31:P36" si="6">LogVariance(F31,G31)</f>
        <v>0.39015207303618948</v>
      </c>
    </row>
    <row r="32" spans="1:16" ht="30">
      <c r="A32" s="10" t="s">
        <v>19</v>
      </c>
      <c r="B32" s="9">
        <v>1E+20</v>
      </c>
      <c r="C32" s="9">
        <v>1.0000000000000001E+25</v>
      </c>
      <c r="D32" t="s">
        <v>37</v>
      </c>
      <c r="E32" s="10" t="s">
        <v>21</v>
      </c>
      <c r="F32" s="9">
        <v>10000000000</v>
      </c>
      <c r="G32" s="9">
        <v>1000000000000</v>
      </c>
      <c r="J32" s="16" t="str">
        <f t="shared" si="1"/>
        <v>usable wattage</v>
      </c>
      <c r="K32">
        <f t="shared" si="2"/>
        <v>3.1622776601683796E+22</v>
      </c>
      <c r="L32" s="3">
        <f t="shared" si="3"/>
        <v>1.9507603651809475</v>
      </c>
      <c r="N32" s="16" t="str">
        <f t="shared" si="4"/>
        <v>humans per star</v>
      </c>
      <c r="O32">
        <f t="shared" si="5"/>
        <v>100000000000</v>
      </c>
      <c r="P32" s="3">
        <f t="shared" si="6"/>
        <v>0.78030414607237897</v>
      </c>
    </row>
    <row r="33" spans="1:16" ht="60">
      <c r="A33" s="10" t="s">
        <v>46</v>
      </c>
      <c r="B33" s="9">
        <v>0.1</v>
      </c>
      <c r="C33" s="9">
        <v>0.1</v>
      </c>
      <c r="D33" t="s">
        <v>37</v>
      </c>
      <c r="E33" s="10" t="s">
        <v>22</v>
      </c>
      <c r="F33" s="9">
        <v>10000000000</v>
      </c>
      <c r="G33" s="9">
        <v>1000000000000</v>
      </c>
      <c r="J33" s="16" t="str">
        <f>A33</f>
        <v>brains per watt</v>
      </c>
      <c r="K33">
        <f t="shared" si="2"/>
        <v>0.1</v>
      </c>
      <c r="L33" s="3">
        <f t="shared" si="3"/>
        <v>0</v>
      </c>
      <c r="N33" s="16" t="str">
        <f t="shared" si="4"/>
        <v>factory farmed animals per star</v>
      </c>
      <c r="O33">
        <f t="shared" si="5"/>
        <v>100000000000</v>
      </c>
      <c r="P33" s="3">
        <f t="shared" si="6"/>
        <v>0.78030414607237897</v>
      </c>
    </row>
    <row r="34" spans="1:16" ht="45">
      <c r="A34" s="16"/>
      <c r="B34" s="19"/>
      <c r="C34" s="19"/>
      <c r="E34" s="10" t="s">
        <v>23</v>
      </c>
      <c r="F34" s="9">
        <v>10000000000000</v>
      </c>
      <c r="G34" s="9">
        <v>1E+16</v>
      </c>
      <c r="H34" t="s">
        <v>38</v>
      </c>
      <c r="J34" s="16"/>
      <c r="L34" s="3"/>
      <c r="N34" s="16" t="str">
        <f t="shared" si="4"/>
        <v>wild vertebrates per star</v>
      </c>
      <c r="O34">
        <f t="shared" si="5"/>
        <v>316227766016837.94</v>
      </c>
      <c r="P34" s="3">
        <f t="shared" si="6"/>
        <v>1.1704562191085683</v>
      </c>
    </row>
    <row r="35" spans="1:16" ht="30">
      <c r="A35" s="16"/>
      <c r="B35" s="19"/>
      <c r="C35" s="19"/>
      <c r="E35" s="10" t="s">
        <v>62</v>
      </c>
      <c r="F35" s="9">
        <v>1E+17</v>
      </c>
      <c r="G35" s="9">
        <v>1E+21</v>
      </c>
      <c r="H35" t="s">
        <v>39</v>
      </c>
      <c r="J35" s="16"/>
      <c r="L35" s="3"/>
      <c r="N35" s="16" t="str">
        <f t="shared" si="4"/>
        <v>insects per star</v>
      </c>
      <c r="O35">
        <f t="shared" si="5"/>
        <v>1E+19</v>
      </c>
      <c r="P35" s="3">
        <f t="shared" si="6"/>
        <v>1.5606082921447579</v>
      </c>
    </row>
    <row r="36" spans="1:16" ht="30">
      <c r="E36" s="10" t="s">
        <v>66</v>
      </c>
      <c r="F36" s="9">
        <v>1E-3</v>
      </c>
      <c r="G36" s="9">
        <v>1</v>
      </c>
      <c r="N36" s="16" t="str">
        <f>E36</f>
        <v>simulations per insect</v>
      </c>
      <c r="O36">
        <f>SQRT(F36*G36)</f>
        <v>3.1622776601683791E-2</v>
      </c>
      <c r="P36" s="3">
        <f t="shared" si="6"/>
        <v>1.1704562191085683</v>
      </c>
    </row>
    <row r="39" spans="1:16" ht="20">
      <c r="A39" s="7" t="s">
        <v>24</v>
      </c>
    </row>
    <row r="40" spans="1:16">
      <c r="A40">
        <v>1</v>
      </c>
      <c r="B40" t="s">
        <v>29</v>
      </c>
      <c r="C40" t="s">
        <v>25</v>
      </c>
    </row>
    <row r="41" spans="1:16">
      <c r="A41">
        <v>2</v>
      </c>
      <c r="B41" t="s">
        <v>160</v>
      </c>
      <c r="C41" t="s">
        <v>26</v>
      </c>
    </row>
    <row r="42" spans="1:16">
      <c r="A42">
        <v>3</v>
      </c>
      <c r="B42" t="s">
        <v>27</v>
      </c>
      <c r="C42" t="s">
        <v>28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W63"/>
  <sheetViews>
    <sheetView tabSelected="1" workbookViewId="0">
      <selection activeCell="L12" sqref="L12"/>
    </sheetView>
  </sheetViews>
  <sheetFormatPr baseColWidth="10" defaultRowHeight="15" customHeight="1" x14ac:dyDescent="0"/>
  <cols>
    <col min="1" max="1" width="21.6640625" style="6" customWidth="1"/>
    <col min="2" max="2" width="12.1640625" bestFit="1" customWidth="1"/>
    <col min="5" max="5" width="10.83203125" customWidth="1"/>
    <col min="6" max="6" width="21.6640625" customWidth="1"/>
    <col min="7" max="7" width="12.1640625" bestFit="1" customWidth="1"/>
    <col min="11" max="11" width="21.6640625" customWidth="1"/>
    <col min="12" max="12" width="12.83203125" bestFit="1" customWidth="1"/>
    <col min="13" max="14" width="12.1640625" bestFit="1" customWidth="1"/>
    <col min="17" max="17" width="12.83203125" bestFit="1" customWidth="1"/>
    <col min="18" max="18" width="12.1640625" bestFit="1" customWidth="1"/>
  </cols>
  <sheetData>
    <row r="1" spans="1:18" s="23" customFormat="1" ht="30" customHeight="1">
      <c r="A1" s="22" t="s">
        <v>59</v>
      </c>
      <c r="F1" s="22" t="s">
        <v>54</v>
      </c>
      <c r="K1" s="22" t="s">
        <v>67</v>
      </c>
    </row>
    <row r="2" spans="1:18" ht="15" customHeight="1">
      <c r="B2" t="s">
        <v>2</v>
      </c>
      <c r="C2" t="s">
        <v>3</v>
      </c>
      <c r="F2" s="6"/>
      <c r="G2" t="s">
        <v>2</v>
      </c>
      <c r="H2" t="s">
        <v>3</v>
      </c>
      <c r="L2" s="28" t="s">
        <v>249</v>
      </c>
      <c r="M2" s="28" t="s">
        <v>34</v>
      </c>
      <c r="N2" t="s">
        <v>68</v>
      </c>
      <c r="P2" t="s">
        <v>250</v>
      </c>
      <c r="Q2" s="4"/>
      <c r="R2" s="4"/>
    </row>
    <row r="3" spans="1:18" ht="15" customHeight="1">
      <c r="A3" s="6" t="s">
        <v>18</v>
      </c>
      <c r="B3" s="4">
        <f>VLOOKUP($A3,Globals!$J$30:$L$34,2,FALSE)</f>
        <v>3162277660168.3794</v>
      </c>
      <c r="C3" s="4">
        <f>VLOOKUP($A3,Globals!$J$30:$L$34,3,FALSE)</f>
        <v>1.1704562191085683</v>
      </c>
      <c r="F3" s="6" t="s">
        <v>18</v>
      </c>
      <c r="G3">
        <f>VLOOKUP($F3,Globals!$N$30:$P$36,2,FALSE)</f>
        <v>1000000000000</v>
      </c>
      <c r="H3">
        <f>VLOOKUP($F3,Globals!$N$30:$P$36,3,FALSE)</f>
        <v>1.5606082921447579</v>
      </c>
      <c r="K3" t="s">
        <v>71</v>
      </c>
      <c r="L3" s="26">
        <f>G10*P3</f>
        <v>2.2135943621178649E+34</v>
      </c>
      <c r="M3" s="26">
        <f>H10</f>
        <v>2.7310645112533267</v>
      </c>
      <c r="N3">
        <v>1</v>
      </c>
      <c r="O3" t="s">
        <v>89</v>
      </c>
      <c r="P3">
        <f>p_biological</f>
        <v>0.7</v>
      </c>
      <c r="Q3" s="4"/>
      <c r="R3" s="4"/>
    </row>
    <row r="4" spans="1:18" ht="15" customHeight="1">
      <c r="A4" s="6" t="s">
        <v>20</v>
      </c>
      <c r="B4" s="4">
        <f>VLOOKUP($A4,Globals!$J$30:$L$34,2,FALSE)</f>
        <v>316227766016.83789</v>
      </c>
      <c r="C4" s="4">
        <f>VLOOKUP($A4,Globals!$J$30:$L$34,3,FALSE)</f>
        <v>0.39015207303618948</v>
      </c>
      <c r="F4" s="6" t="s">
        <v>20</v>
      </c>
      <c r="G4">
        <f>VLOOKUP($F4,Globals!$N$30:$P$36,2,FALSE)</f>
        <v>316227766016.83789</v>
      </c>
      <c r="H4">
        <f>VLOOKUP($F4,Globals!$N$30:$P$36,3,FALSE)</f>
        <v>0.39015207303618948</v>
      </c>
      <c r="K4" t="s">
        <v>70</v>
      </c>
      <c r="L4" s="26">
        <f>G16*P4</f>
        <v>2.6563132345414381E+34</v>
      </c>
      <c r="M4" s="26">
        <f>H16</f>
        <v>2.8310645112533264</v>
      </c>
      <c r="N4">
        <v>-1</v>
      </c>
      <c r="O4" t="s">
        <v>78</v>
      </c>
      <c r="P4">
        <f>p_biological*p_not_care_about_animals*p_factory_farming</f>
        <v>0.16799999999999998</v>
      </c>
      <c r="Q4" s="4"/>
      <c r="R4" s="4"/>
    </row>
    <row r="5" spans="1:18" ht="15" customHeight="1">
      <c r="A5" s="6" t="s">
        <v>19</v>
      </c>
      <c r="B5" s="4">
        <f>VLOOKUP($A5,Globals!$J$30:$L$34,2,FALSE)</f>
        <v>3.1622776601683796E+22</v>
      </c>
      <c r="C5" s="4">
        <f>VLOOKUP($A5,Globals!$J$30:$L$34,3,FALSE)</f>
        <v>1.9507603651809475</v>
      </c>
      <c r="K5" t="s">
        <v>72</v>
      </c>
      <c r="L5" s="26">
        <f>G22*P5</f>
        <v>8.9599999999999976E+36</v>
      </c>
      <c r="M5" s="26">
        <f>H22</f>
        <v>3.5212165842895158</v>
      </c>
      <c r="N5">
        <v>-1</v>
      </c>
      <c r="O5" t="s">
        <v>90</v>
      </c>
      <c r="P5">
        <f>p_biological*p_not_care_about_animals*p_spread_was</f>
        <v>0.22399999999999998</v>
      </c>
      <c r="Q5" s="4"/>
      <c r="R5" s="4"/>
    </row>
    <row r="6" spans="1:18" ht="15" customHeight="1">
      <c r="A6" s="6" t="s">
        <v>46</v>
      </c>
      <c r="B6" s="4">
        <f>VLOOKUP($A6,Globals!$J$30:$L$34,2,FALSE)</f>
        <v>0.1</v>
      </c>
      <c r="C6" s="4">
        <f>VLOOKUP($A6,Globals!$J$30:$L$34,3,FALSE)</f>
        <v>0</v>
      </c>
      <c r="K6" t="s">
        <v>73</v>
      </c>
      <c r="L6" s="26">
        <f>G28*P6</f>
        <v>2.8334007835108666E+40</v>
      </c>
      <c r="M6" s="26">
        <f>H28</f>
        <v>4.0113686573257059</v>
      </c>
      <c r="N6">
        <v>-1</v>
      </c>
      <c r="O6" t="s">
        <v>91</v>
      </c>
      <c r="P6">
        <f>p_biological*p_not_care_about_animals*p_spread_was</f>
        <v>0.22399999999999998</v>
      </c>
      <c r="Q6" s="4"/>
      <c r="R6" s="4"/>
    </row>
    <row r="7" spans="1:18" ht="15" customHeight="1">
      <c r="F7" s="21" t="s">
        <v>58</v>
      </c>
      <c r="K7" t="s">
        <v>74</v>
      </c>
      <c r="L7" s="26">
        <f>G35*P7</f>
        <v>6.7199999999999966E+38</v>
      </c>
      <c r="M7" s="26">
        <f>H35</f>
        <v>5.1818248764342734</v>
      </c>
      <c r="N7">
        <v>-1</v>
      </c>
      <c r="O7" t="s">
        <v>92</v>
      </c>
      <c r="P7">
        <f>p_biological*p_not_care_about_animals*p_suffering_simulations</f>
        <v>0.16799999999999998</v>
      </c>
      <c r="Q7" s="4"/>
      <c r="R7" s="4"/>
    </row>
    <row r="8" spans="1:18" ht="15" customHeight="1">
      <c r="F8" s="6" t="s">
        <v>21</v>
      </c>
      <c r="G8">
        <f>VLOOKUP($F8,Globals!$N$30:$P$36,2,FALSE)</f>
        <v>100000000000</v>
      </c>
      <c r="H8">
        <f>VLOOKUP($F8,Globals!$N$30:$P$36,3,FALSE)</f>
        <v>0.78030414607237897</v>
      </c>
      <c r="K8" t="s">
        <v>75</v>
      </c>
      <c r="L8" s="26">
        <f>B11*P8</f>
        <v>6.3245553203367595E+46</v>
      </c>
      <c r="M8" s="26">
        <f>C11</f>
        <v>4.3113686573257057</v>
      </c>
      <c r="N8">
        <v>1</v>
      </c>
      <c r="O8" t="s">
        <v>93</v>
      </c>
      <c r="P8">
        <f>p_computronium*p_hedonium</f>
        <v>2.0000000000000004E-2</v>
      </c>
      <c r="Q8" s="4"/>
      <c r="R8" s="4"/>
    </row>
    <row r="9" spans="1:18" ht="15" customHeight="1">
      <c r="A9" s="21" t="s">
        <v>55</v>
      </c>
      <c r="F9" s="6" t="s">
        <v>42</v>
      </c>
      <c r="G9">
        <f>VLOOKUP($F9,Globals!$A$17:$E$24,4,FALSE)</f>
        <v>1</v>
      </c>
      <c r="H9">
        <f>VLOOKUP($F9,Globals!$A$17:$E$24,5,FALSE)</f>
        <v>0</v>
      </c>
      <c r="K9" t="s">
        <v>76</v>
      </c>
      <c r="L9" s="26">
        <f>B16*P9</f>
        <v>4.7434164902525701E+43</v>
      </c>
      <c r="M9" s="26">
        <f>C16</f>
        <v>4.5113686573257059</v>
      </c>
      <c r="N9">
        <v>-1</v>
      </c>
      <c r="O9" t="s">
        <v>94</v>
      </c>
      <c r="P9">
        <f>p_computronium*p_paperclip</f>
        <v>7.5000000000000011E-2</v>
      </c>
      <c r="Q9" s="4"/>
      <c r="R9" s="4"/>
    </row>
    <row r="10" spans="1:18" ht="15" customHeight="1">
      <c r="A10" s="6" t="s">
        <v>47</v>
      </c>
      <c r="B10" s="4">
        <f>VLOOKUP($A10,Globals!$A$17:$E$24,4,FALSE)</f>
        <v>1000</v>
      </c>
      <c r="C10" s="4">
        <f>VLOOKUP($A10,Globals!$A$17:$E$24,5,FALSE)</f>
        <v>0.8</v>
      </c>
      <c r="F10" s="32" t="s">
        <v>60</v>
      </c>
      <c r="G10" s="26">
        <f>PRODUCT(G$3:G$4)*PRODUCT(G8:G9)</f>
        <v>3.1622776601683788E+34</v>
      </c>
      <c r="H10" s="26">
        <f>SUM(H$3:H$4)+SUM(H8:H9)</f>
        <v>2.7310645112533267</v>
      </c>
      <c r="K10" t="s">
        <v>77</v>
      </c>
      <c r="L10" s="26">
        <f>B21*P10</f>
        <v>1.5811388300841899E+46</v>
      </c>
      <c r="M10" s="26">
        <f>C21</f>
        <v>4.3113686573257057</v>
      </c>
      <c r="N10">
        <v>-1</v>
      </c>
      <c r="O10" t="s">
        <v>95</v>
      </c>
      <c r="P10">
        <f>p_computronium*p_dolorium</f>
        <v>5.000000000000001E-3</v>
      </c>
      <c r="Q10" s="4"/>
      <c r="R10" s="4"/>
    </row>
    <row r="11" spans="1:18" ht="15" customHeight="1">
      <c r="A11" s="31" t="s">
        <v>60</v>
      </c>
      <c r="B11" s="26">
        <f>PRODUCT($B$3:$B$6)*B10</f>
        <v>3.1622776601683793E+48</v>
      </c>
      <c r="C11" s="26">
        <f>SUM(C$3:C$6)+C10</f>
        <v>4.3113686573257057</v>
      </c>
      <c r="K11" s="33" t="s">
        <v>246</v>
      </c>
      <c r="L11" s="34" t="str">
        <f>WriteArray(SumLognormDists(L3:M3))</f>
        <v>0,2.22675120289531E-210,1.18849593336904E-209,6.32164724508722E-209,3.35096097123825E-208,1.7701702382941E-207,9.31895583210538E-207,4.88906741271895E-206,2.55617952187392E-205,1.33187427476846E-204,6.9157878674603E-204,3.57871117771658E-203,1.8455175933827E-202,9.4845402336331E-202,4.85759083152156E-201,2.47931741373381E-200,1.26110104285375E-199,6.39255086667359E-199,3.22927517275408E-198,1.62570772122919E-197,8.15617314441583E-197,4.07790363280881E-196,2.03186118445173E-195,1.00892216419581E-194,4.99261233366151E-194,2.46209372497852E-193,1.21000696678298E-192,5.92621923734164E-192,2.89250494827726E-191,1.40694480678061E-190,6.82003438877439E-190,3.29459945154518E-189,1.58608052513397E-188,7.60946978639819E-188,3.63822970083336E-187,1.73353408957476E-186,8.23154224554655E-186,3.89526124472148E-185,1.83695501926881E-184,8.63310469501381E-184,4.04335661564571E-183,1.88722482023975E-182,8.77832763212883E-182,4.06917610663124E-181,1.87978309271799E-180,8.65397320234177E-180,3.97036017974472E-179,1.8153100855233E-178,8.27138599230899E-178,3.75588519783226E-177,1.6996241126774E-176,7.6647856137407E-176,3.4447181534379E-175,1.54281527142546E-174,6.88621721728839E-174,3.06304981757131E-173,1.3577942218027E-172,5.99819258528345E-172,2.64066560442152E-171,1.15854515462237E-170,5.06546215848758E-170,2.207149439585E-169,9.58409160693735E-169,4.14740767375623E-168,1.78858280475672E-167,7.68684155037458E-167,3.29225420003176E-166,1.40522330999843E-165,5.97728389978998E-165,2.53378042005609E-164,1.07038649586407E-163,4.50628671449296E-163,1.89061706287271E-162,7.90487267888755E-162,3.29376597582983E-161,1.3677198573803E-160,5.65989167327021E-160,2.33413321930956E-159,9.59289549841777E-159,3.92898472986301E-158,1.60367929439398E-157,6.52320844705489E-157,2.64430499025784E-156,1.06823889373604E-155,4.3006270423594E-155,1.72544742283877E-154,6.89887430712005E-154,2.74891485562272E-153,1.09156825662902E-152,4.31963509144121E-152,1.70352996451571E-151,6.69513050733379E-151,2.62225468880101E-150,1.02352215493398E-149,3.98131168371767E-149,1.54334017872353E-148,5.96216101300413E-148,2.29536783521378E-147,8.80658307853042E-147,3.36720172190839E-146,1.28303170024926E-145,4.87205511076801E-145,1.84371399057352E-144,6.95314784330968E-144,2.61321973851845E-143,9.78761661576624E-143,3.65329315159237E-142,1.3589348912655E-141,5.0375495364357E-141,1.86100081623157E-140,6.85141621217132E-140,2.5137419447373E-139,9.19110201244599E-139,3.34904539598491E-138,1.21613289544391E-137,4.4009617202347E-137,1.58715996333445E-136,5.704273784599E-136,2.04308566976273E-135,7.292548849493E-135,2.59405195304511E-134,9.19569474315548E-134,3.24860550624581E-133,1.14371010846384E-132,4.01274439292947E-132,1.40305141834131E-131,4.88891212571841E-131,1.69768624094975E-130,5.87501770972839E-130,2.02613082963565E-129,6.96357637366522E-129,2.38508441706401E-128,8.14107433673922E-128,2.7692759833035E-127,9.38765912872125E-127,3.17142859561139E-126,1.06772427665144E-125,3.58236514232651E-125,1.19780780064087E-124,3.99126880061759E-124,1.32538292429077E-123,4.38609787144482E-123,1.44651126161525E-122,4.75413898003849E-122,1.55714294146395E-121,5.08266683450177E-121,1.65333689725046E-120,5.35966476620738E-120,1.73149183765617E-119,5.57455011695363E-119,1.78856922359726E-118,5.71884381935275E-118,1.82228907917814E-117,5.78672524329086E-117,1.83128106827744E-116,5.77542173098894E-116,1.81517688762793E-115,5.68539649100186E-115,1.77463529464021E-114,5.52031710576432E-114,1.71129739972385E-113,5.28680763660697E-113,1.62767645167424E-112,4.99400767762275E-112,1.52699243160611E-111,4.65297926185168E-111,1.4129666221402E-110,4.27601521942549E-110,1.28959439037776E-109,3.87590908845498E-109,1.16091542586096E-108,3.46524651679152E-108,1.03079960355778E-107,3.05577169359752E-107,9.02763762465523E-107,2.65787092121732E-106,7.79830482410234E-106,2.28020073871575E-105,6.64435013899932E-105,1.92947205306366E-104,5.58381509068293E-104,1.61038648528522E-103,4.62845195395456E-103,1.32570824119287E-102,3.78413573392135E-102,1.07644540713771E-101,3.05157371871525E-101,8.62109193300637E-101,2.42720937139356E-100,6.81018261574317E-100,1.9042187131328e-99,5.30617358513748e-99,1.47350845241379e-98,4.07784170394671e-98,1.12464290628918e-97,3.09104613431233e-97,8.46647985406631e-97,2.31103660890819e-96,6.28662166010086e-96,1.70425421768684e-95,4.6042403224396e-95,1.23961877103293e-94,3.32602000870063e-94,8.89340611348196e-94,2.36983410523605e-93,6.29324036382499e-93,1.66547166074319e-92,4.3924490086979e-92,1.15447029647326e-91,3.02388556448083e-91,7.89322519887981e-91,2.05328951359974e-90,5.32295063053799e-90,1.37518536150466e-89,3.54059781381303e-89,9.08444723001618e-89,2.32288104297786e-88,5.91918599106979e-88,1.5031542765017e-87,3.80409786014795e-87,9.59414677061813e-87,2.41139074043215e-86,6.03997823147919e-86,1.50768186645987e-85,3.75051237678329e-85,9.29775392852345e-85,2.29705845285773e-84,5.65552073455026e-84,1.38764924815614e-83,3.39307425521841e-83,8.26824956776025e-83,2.00789197156474e-82,4.85929945289849e-82,1.17196201727186e-81,2.81682562984417e-81,6.74703470754767e-81,1.61054357023264e-80,3.83123301046065e-80,9.08262131143428e-80,2.14580573634618e-79,5.05214899749968e-79,1.18540963288492e-78,2.77183457341601e-78,6.45911053050626e-78,1.49997727304859e-77,3.47138829616901e-77,8.00623372888143e-77,1.84017822599324e-76,4.21500470986071e-76,9.62150022717357e-76,2.18873951277369e-75,4.96194465048514e-75,1.12102760299926e-74,2.52398779627789e-74,5.66323715542832e-74,1.26633555315527e-73,2.82188561166274e-73,6.26666622194825e-73,1.38688444055315e-72,3.05879619657074e-72,6.72306578297641e-72,1.47262013230234e-71,3.21455351187837e-71,6.99289713089462e-71,1.51600339187915e-70,3.27529000510528e-70,7.05189602610703e-70,1.51310335563987e-69,3.23547346186479e-69,6.89467252029019e-69,1.46418514967729e-68,3.09873834256628e-68,6.53552330611319e-68,1.37366990306589e-67,2.87733846729748e-67,6.00628691533258e-67,1.24947551547101e-66,2.59033527427086e-66,5.35168770765153e-66,1.10187441545996e-65,2.26089289663317e-65,4.62311219373061e-65,9.4209658653912e-65,1.91321149254045e-64,3.87201548331076e-64,7.80940134908872e-64,1.56965769888993e-63,3.14411714958411e-63,6.27623270937803e-63,1.24854991653028e-62,2.47525151801277e-62,4.8903429302349e-62,9.6286599070518e-62,1.88929133836543e-61,3.69435455501682e-61,7.1992087484689e-61,1.39809767472161e-60,2.70580698640223e-60,5.21870403547214e-60,1.00307885424272e-59,1.92138340879689e-59,3.66774852242454e-59,6.97736783617007e-59,1.32278798214282e-58,2.49916779503135e-58,4.70551480898389e-58,8.82928278875643e-58,1.65101212487184e-57,3.07667520873017e-57,5.71372843300668e-57,1.05746034812863e-56,1.95036161724405e-56,3.5848645013059e-56,6.56654465856202e-56,1.19869201654264e-55,2.18064453353328e-55,3.9533812196252e-55,7.1426450091013e-55,1.286044483948e-54,2.30759436290285e-54,4.12638267440042e-54,7.35336437603407e-54,1.30589790698823e-53,2.31120739484895e-53,4.07638471535648e-53,7.16502919229129e-53,1.25506817543808e-52,2.19090337379025e-52,3.8114101346062e-52,6.60776665900674e-52,1.14164286212193e-51,1.96567804331804e-51,3.37288132737778e-51,5.76761535162828e-51,9.82874506671992e-51,1.66919242748996e-50,2.82501848878585e-50,4.76477872233005e-50,8.0088605616341e-50,1.34154511357723e-49,2.23947585574273e-49,3.7255812650373e-49,6.17658256104954e-49,1.02049061345284e-48,1.68025939125962e-48,2.75708529542833e-48,4.50848496916578e-48,7.34712796098636e-48,1.19319420374287e-47,1.93112870652311e-47,3.11471172734012e-47,5.00646344976588e-47,8.01956469565547e-47,1.28019785216576e-46,2.03661972990588e-46,3.22886102503487e-46,5.10146970935331e-46,8.03244620064631e-46,1.26039563977172e-45,1.97093595535401e-45,3.07145874287162e-45,4.77005529403358e-45,7.3825890503006e-45,1.13867694791395e-44,1.7502452856973e-44,2.68104348489958e-44,4.09275128059414e-44,6.22634816111381e-44,9.43969590088217e-44,1.42622866031829e-43,2.14746882885313e-43,3.2223382861308e-43,4.81861188750947e-43,7.18090725351385e-43,1.06645673414862e-42,1.57838780893162e-42,2.32804166359578e-42,3.42195530165925e-42,5.01261639183935e-42,7.3174735465543e-42,1.06454593459089e-41,1.54338474731126e-41,2.22992653646847e-41,3.21080152833182e-41,4.60726210616305e-41,6.58838443148064e-41,9.38904667873359e-41,1.3334312154811e-40,1.88723634059579e-40,2.66188027040564e-40,3.74159948759289e-40,5.24122291466517e-40,7.31668769957608e-40,1.01789494841286e-39,1.41123049790549e-39,1.94984236037717e-39,2.68477319174209e-39,3.68402236075076e-39,5.03782951000735e-39,6.86548508614387e-39,9.32407039374914e-39,1.26196239248148e-38,1.70213434738995e-38,2.28795675559563e-38,3.06484377065159e-38,4.09143282109637e-38,5.44313444591201e-38,7.21654380149915e-38,9.53489677879715e-38,1.25547853914729e-37,1.64743824719951e-37,2.15434646784002e-37,2.80755651448712e-37,3.64626323731982e-37,4.71926194777794e-37,6.08704766814252e-37,7.82430686791075e-37,1.0022858540768e-36,1.2795105770108e-36,1.62780625607672e-36,2.06380233623109e-36,2.60759440050002e-36,3.28336022924768e-36,4.12006037767859e-36,5.15222927726292e-36,6.4208619909922e-36,7.97440049231468e-36,9.86982163835689e-36,1.21738268176147e-35,1.49641305245024e-35,1.83308418110136e-35,2.23779286652865e-35,2.72247508612071e-35,3.30076417268698e-35,3.98815136330065e-35,4.80214558755763e-35,5.76242871233212e-35,6.89100178616289e-35,8.21231714675043e-35,9.75339059151284e-35,1.15438871894074e-34,1.36161737614919e-34,1.60053306102321e-34,1.87491147679521e-34,2.18878668989465e-34,2.54643540636641e-34,2.95235408716562e-34,3.41122821443358e-34,3.92789311058334e-34,4.50728583405087e-34,5.15438783104311e-34,5.87415821164062e-34,6.67145774006736e-34,7.55096388034481e-34,8.5170775159648e-34,9.5738222601825e-34,1.07247375850926e-33,1.19727673143904e-33,1.33201453369522e-33,1.47682806953171e-33,1.63176444732702e-33,1.79676611380539e-33,1.97166071733225e-33,2.15615199573483e-33,2.34981198867248e-33,2.55207487099433e-33,2.76223269108442e-33,2.97943327646242e-33,3.20268053773186e-33,3.43083736152058e-33,3.66263123385617e-33,3.89666267833706e-33,4.1314165297136e-33,4.36527599463518e-33,4.59653937918269e-33,4.82343928947085e-33,5.04416403932398e-33,5.25688093015099e-33,5.45976100503562e-33,5.6510048240027e-33,5.82886876253382e-33,5.99169130254925e-33,6.13791876575861e-33,6.26612993461521e-33,6.3750590167204e-33,6.46361643453482e-33,6.5309069632539e-33,6.57624479475989e-33,6.59916517322496e-33,6.59943232631302e-33,6.57704350270966e-33,6.53222901929283e-33,6.46544831681323e-33,6.37738211854483e-33,6.26892087905227e-33,6.14114979717151e-33,5.99533074589811e-33,5.83288153981651e-33,5.65535301607405e-33,5.46440444624592e-33,5.26177782281006e-33,5.04927157492348e-33,4.82871426387945e-33,4.60193878964477e-33,4.37075760732135e-33,4.13693940775369e-33,3.90218766166351e-33,3.66812136374698e-33,3.43625824440132e-33,3.20800064451915e-33,2.98462417545254e-33,2.76726921405971e-33,2.55693521378825e-33,2.35447774886503e-33,2.16060815140652e-33,1.97589555186604e-33,1.80077109257278e-33,1.63553405271993e-33,1.48035960120571e-33,1.33530788107823e-33,1.20033412554714e-33,1.07529950991648e-33,9.59982455472267e-34,8.54090119284299e-34,7.57269826908023e-34,6.69120231906907e-34,5.89202015760786e-34,5.17047972925488e-34,4.52172357484325e-34,3.94079399010124e-34,3.42270925094161e-34,2.96253055795079e-34,2.55541960467826e-34,2.19668689652043e-34,1.8818311368003e-34,1.60657015291411e-34,1.36686395822059e-34,1.15893063581351e-34,9.79255790437491e-35,8.24596347251081e-35,6.91979484066063e-35,5.78697470557436e-35,4.82299157344511e-35,4.00578813381244e-35,3.3156295522555e-35,2.73495749715419e-35,2.24823505293985e-35,1.84178699271556e-35,1.50363920882446e-35,1.22336044887382e-35,9.91908891010839e-36,8.01485526352022e-36,6.45395805483108e-36,5.1792055396417e-36,4.1419677030379e-36,3.30108588265612e-36,2.621884112772e-36,2.0752800645354e-36,1.63699174725083e-36,1.28683486582789e-36,1.00810484533544e-36,7.87036979605832e-37,6.12337883116356e-37,4.74781372945903e-37,3.66862033512656e-37,2.82499978828604e-37,2.16790688051691e-37,1.65794218292687e-37,1.26358567174817e-37,9.5972444635405e-38,7.26432014577044e-38,5.4796137601458e-38,4.11918666596378e-38,3.08588368209994e-38,2.30384992033139e-38,1.71409690391811e-38,1.27093432767015e-38,9.39112028506649e-39,6.91541503595553e-39,5.07487851201565e-39,3.71141572819128e-39,2.70495541516502e-39,1.9646589546816e-39,1.42206938376157e-39,1.02579588934878e-39,7.37407713074143e-40,5.28276085320377e-40,3.77155790206464e-40,2.6834107894496e-40,1.90265522167671e-40,1.34443430817134e-40,9.46728888361535e-41,6.64382562926854e-41,4.64640835375041e-41,3.23834473208939e-41,2.24923760495334e-41,1.55687643922071e-41,1.07393874373277e-41,7.38263552187575e-42,5.05766312656193e-42,3.45298684497639e-42,2.34934340234053e-42,1.59295913143765e-42,1.0763891690404e-42,7.24837340070094e-43,4.86427758437019e-43,3.25313957027901e-43,2.16817132217973e-43,1.44009468945368e-43,9.53224191184277e-44,6.28789984558908e-44,4.13354556458834e-44,2.7079858861117e-44,1.76797702599962e-44,1.15030601723225e-44,7.45858974036751e-45,4.81955122818677e-45,3.10358065223496e-45,1.99170963505006e-45,1.273783345759e-45,8.1184227385048e-46,5.15649155795388e-46,3.26395012414041e-46,2.05891904085943e-46,1.29431975487441e-46,8.10868525134255e-47,5.06250960182999e-47,3.14983518786596e-47,1.95306345748938e-47,1.20684482302455e-47,7.43178372884178e-48,4.56080230435869e-48,2.78930487303209e-48,1.70003270845967e-48,1.03258336076472e-48,6.25028068992306e-49,3.77033963516614e-49,2.26656396276023e-49,1.35788202330093e-49,8.10704627139093e-50,4.82358369303652e-50,2.86011528094102e-50,1.6900665721419e-50,9.95246454364345e-51,5.8406881637698e-51,3.41589060613509e-51,1.99090456193352e-51,1.1563877517483e-51,6.69365119986912e-52,3.86126160273675e-52,2.219739080644e-52,1.27168978793337e-52,7.26050774154818e-53,4.13103957422404e-53,2.34238496371357e-53,1.32362128150802e-53,7.45376616937249e-54,4.18306238177582e-54,2.33948072591447e-54,1.30392062652626e-54,7.24251482465444e-55,4.00898271520217e-55,2.21149279246515e-55,1.21574761520229e-55,6.66051603094246e-56,3.63646057140577e-56,1.9785928791684e-56,1.07285382514978e-56,5.79737268221969e-57,3.12196794114382e-57,1.67545285520899e-57,8.96071239513432e-58,4.77594611623527e-58,2.53678027307181e-58,1.34280465726411e-58,7.08352415893585e-59,3.72385252677076e-59,1.95093195056654e-59,1.01858745364044e-59,5.29981948182278e-60,2.74808641732391e-60,1.42005853834183e-60,7.3128836352983e-61,3.75299194088832e-61,1.91943387131873e-61,9.78307156239553e-62,4.96917006105372e-62,2.51535358696143e-62,1.26888066517324e-62,6.3789481194958e-63,3.19583179941878e-63,1.59560471548342e-63,7.93913637218342e-64,3.93665872156082e-64,1.9453100225088e-64,9.57979985778172e-65,4.70143678376507e-65,2.2993830175519e-65,1.12072379173704e-65,5.44367786279166e-66,2.63507388265051e-66,1.27115856868316e-66,6.11101311313922e-67,2.9277450508577e-67,1.39784767653784e-67,6.65109262333949e-68,3.15378945242133e-68,1.49031801219123e-68,7.01829724722264e-69,3.29375369048592e-69,1.54048343921801e-69,7.18008361946906e-70,3.33509741569991e-70,1.5438108866952e-70,7.12174186301968e-71,3.27404700677675e-71,1.49999615708113e-71,6.84860211964746e-72,3.11616380601978e-72,1.41300980531484e-72,6.38523118006279e-73,2.87550832573509e-73,1.29050349964758e-73,5.7717870230229e-74,2.57257450730334e-74,1.14269987425251e-74,5.05828099060231e-75,2.23141462902596e-75,9.80989038124953e-76,4.29788297892419e-76,1.87651297697711e-76,8.16497973635787e-77,3.54050493391337e-77,1.5299662481856e-77,6.58878065682634e-78,2.82770958055528e-78,1.20940319096445e-78,5.15482552761312e-79,2.18959294214313e-79,9.26871123532976e-80,3.91004605724197e-80,1.64380746233299e-80,6.88694438375301e-81,2.87546944758319e-81,1.19645809591994e-81,4.96126907294932e-82,2.05019242153277e-82,8.4431211248827e-83,3.46511752599949e-83,1.41722717773646e-83,5.77653658954301e-84,2.34640047900769e-84,9.49824356841341e-85,3.83169576845135e-85,1.54044178345676e-85,6.17171857358308e-86,2.46418603530806e-86,9.80499605789441e-87,3.88801478957614e-87,1.53643767046702e-87,6.05074065371646e-88,2.37469962764653e-88,9.28785407032228e-89,3.62016725502536e-89,1.40620436579368e-89,5.44345706293761e-90,2.09994400710541e-90,8.07322732821561e-91,3.09309459420945e-91,1.18098879149004e-91,4.4937085649391e-92,1.70400389922284e-92,6.43936167854531e-93,2.42505507800924e-93,9.1013737340087e-94,3.40407283228717e-94,1.26881204324066e-94,4.71305268369398e-95,1.74467223713048e-95,6.43623599081494e-96,2.36622818131605e-96,8.66937599327511e-97,3.16537821278123e-97,1.15178105902336e-97,4.1765800468621e-98,1.50930927179395e-98,5.435534093137e-99,1.95080006679342e-99,6.97733946531494E-100,2.48698690080152E-100,8.83412817405603E-101,3.12723449544529E-101,1.10322413291874E-101,3.87858766891334E-102,1.3589079046173E-102,4.74474624692704E-103,1.65098265460803E-103,5.72504076874745E-104,1.978432375858E-104,6.8135020451848E-105,2.33843942490932E-105,7.99812913320846E-106,2.72619710700997E-106,9.26046185177691E-107,3.13483433604379E-107,1.05755532534751E-107,3.55547927560058E-108,1.19124135010911E-108,3.97747924652346E-109,1.32349601494908E-109,4.38878097075075E-110,1.45034636225467E-110,4.77645957308298E-111,1.56764252588587E-111,5.12736836593762E-112,1.67127746213516E-112,5.42886631169726E-113,1.7574229404312E-113,5.66956826389792E-114,1.82276314929072E-114,5.84005644404539E-115,1.86470614846888E-115,5.9334913640104E-116,1.88155440283553E-116,5.94606700406335E-117,1.8726187658841E-117,5.87726803308901E-118,1.83826524657019E-118,5.72990484417753E-119,1.77989013646281E-119,5.50992308600495E-120,1.69982585286028E-120,5.2260056801932E-121,1.60118634666035E-121,4.88900444978385E-122,1.48766635253483E-122,4.51125318657115E-123,1.36331250029442E-123,4.10582264164087E-124,1.23228597979316E-124,3.68577977811494E-125,1.09863596528936E-125,3.2635088504116E-126,9.6610055377221E-127,2.85014149356347E-127,8.37947991179995E-128,2.45512868803429E-128,7.16866047194852E-129,2.08597123547552E-129,6.04902212418875E-130,1.74810930287475E-130,5.03452554269246E-131,1.44495747738907E-131,4.13293084502113E-132,1.178060958964E-132,3.34644693286365E-133,9.47341744342077E-134,2.67261228683423E-134,7.51401054288468E-135,2.10530098207938E-135,5.87845420915116E-136,1.63575644309904E-136,4.5360798735372E-137,1.2535720498783E-137,3.45242665561532E-138,9.47558813167098E-139,2.59175797220005E-139,7.06462744936152E-140,1.91906921763722E-140,5.19515569673338E-141,1.40156437380937E-141,3.7682012144324E-142,1.0096286693143E-142,2.69585057691151E-143,7.1735893668171E-144,1.90232082711904E-144,5.02733199299738E-145,1.32403029642286E-145,3.47508020888299E-146,9.08946448211963E-147,2.36929050704093E-147,6.15467160652264E-148,1.59330166450701E-148,4.11052872910274E-149,1.05682704702911E-149,2.70780075287767E-150,6.91410615815823E-151,1.7593892561586E-151,4.46163852363033E-152,1.12754369471246E-152,2.8397423193839E-153,7.12739847856293E-154,1.78274694124519E-154,4.44380418364442E-155,1.10389224036892E-155,2.73278207993324E-156,6.7420174974937E-157,1.65760597300954E-157,4.06143291597047E-158,9.91708005428807E-159,2.41320883900349E-159,5.85211092215841E-160,1.41428437938191E-160,3.40617920829282E-161,8.17532066341861E-162,1.95545871927645E-162,4.6612142106059E-163,1.10727635235279E-163,2.62131698564883E-164,6.1842866556085E-165,1.45400612399277E-165,3.4068217641026E-166,7.95498094881762E-167,1.85112364540093E-167,4.29277638559763E-168,9.92082200564076E-169,2.28488108722981E-169,5.24428277982683E-170,1.19954115743696E-170,2.73432894182827E-171,6.21144892613005E-172,1.40618231394765E-172,3.17246542530933E-173,7.13277816894007E-174,1.59818515007264E-174,3.56863407459402E-175,7.9411518105257E-176,1.76104937491019E-176,3.8919398547581E-177,8.57170589136235E-178,1.88137321193416E-178,4.11518348724368E-179,8.97036275660024E-180,1.94866579199881E-180,4.21862838278012E-181,9.10147399761728E-182,1.9568554612059E-182,4.19287889033952E-183,8.95307950697341E-184,1.90519361704411E-184,4.0402882266937E-185,8.53870740091315E-186,1.79836759735292E-186,3.774603686385E-187,7.89533940214661E-188,1.64579902963799E-188,3.41892326374887E-189,7.07796577531747E-190,1.46027320689231E-190,3.00238463527449E-191,6.1518408911587E-192,1.25617577432431E-192,2.55624388455752E-193,5.18394890859268E-194,1.04767285700181E-194,2.11007176272504E-195,4.23521354210849E-196,8.47149293611577E-197,1.68869472595698E-197,3.35466296785448E-198,6.64130148360171E-199,1.31027981344876E-199,2.57621116665609E-200,5.04783813238318E-201,9.85679978981726E-202,1.9181077677352E-202,3.71977461590139E-203,7.18897216904407E-204,1.38459746370983E-204,2.65758286346277E-205,5.08342770150721E-206,9.69020670648453E-207,1.84083975527936E-207,3.48502166323401E-208,6.57508744022501E-209,1.23624382978849E-209,2.31639860542376E-210,4.32542719205044E-211,8.04917317199028E-212,1.49272597286774E-212,2.75876978892097E-213,5.08109584297287E-214,9.32622450987727E-215,1.70592879002253E-215,3.10972857792689E-216,5.64924779104908E-217,1.02274017874934E-217,1.8452132500033E-218,3.31767900777589E-219,5.94468324488256E-220,1.06152353210984E-220,1.8890223100393E-221,3.35004855483557E-222,5.92068109985957E-223,1.04279464266289E-223,1.83034293183169E-224,3.20164145932591E-225,5.58109580184643E-226,9.69555810077332E-227,1.67854389401817E-227,2.89600392039696E-228,</v>
      </c>
      <c r="M11" s="34" t="s">
        <v>238</v>
      </c>
      <c r="N11" t="s">
        <v>245</v>
      </c>
      <c r="Q11" s="4"/>
      <c r="R11" s="4"/>
    </row>
    <row r="12" spans="1:18" ht="15" customHeight="1">
      <c r="B12" s="4"/>
      <c r="K12" s="4" t="s">
        <v>247</v>
      </c>
      <c r="L12" s="4">
        <f>BucketMean(ReadArray(L11))</f>
        <v>4.3213350178892749E+37</v>
      </c>
      <c r="M12" s="4">
        <f>BucketVariance(ReadArray(L11),L12)</f>
        <v>3.2388317426163332E+81</v>
      </c>
      <c r="Q12" s="4"/>
      <c r="R12" s="4"/>
    </row>
    <row r="13" spans="1:18" ht="15" customHeight="1">
      <c r="F13" s="1" t="s">
        <v>61</v>
      </c>
      <c r="K13" s="47" t="s">
        <v>134</v>
      </c>
      <c r="L13" s="34">
        <f>EXP(BucketMu(L12,M12))</f>
        <v>3.28126688198983E+34</v>
      </c>
      <c r="M13" s="34">
        <f>(BucketSigma(L12,M12) / LN(10))^2</f>
        <v>2.7096296169434901</v>
      </c>
      <c r="N13" t="s">
        <v>248</v>
      </c>
      <c r="Q13" s="4"/>
      <c r="R13" s="4"/>
    </row>
    <row r="14" spans="1:18" ht="15" customHeight="1">
      <c r="A14" s="21" t="s">
        <v>56</v>
      </c>
      <c r="F14" t="s">
        <v>22</v>
      </c>
      <c r="G14">
        <f>VLOOKUP($F14,Globals!$N$30:$P$36,2,FALSE)</f>
        <v>100000000000</v>
      </c>
      <c r="H14">
        <f>VLOOKUP($F14,Globals!$N$30:$P$36,3,FALSE)</f>
        <v>0.78030414607237897</v>
      </c>
      <c r="N14" t="s">
        <v>251</v>
      </c>
    </row>
    <row r="15" spans="1:18" ht="15" customHeight="1">
      <c r="A15" s="6" t="s">
        <v>48</v>
      </c>
      <c r="B15" s="4">
        <f>VLOOKUP($A15,Globals!$A$17:$E$24,4,FALSE)</f>
        <v>0.2</v>
      </c>
      <c r="C15" s="4">
        <f>VLOOKUP($A15,Globals!$A$17:$E$24,5,FALSE)</f>
        <v>1</v>
      </c>
      <c r="F15" s="6" t="s">
        <v>43</v>
      </c>
      <c r="G15">
        <f>VLOOKUP($F15,Globals!$A$17:$E$24,4,FALSE)</f>
        <v>5</v>
      </c>
      <c r="H15">
        <f>VLOOKUP($F15,Globals!$A$17:$E$24,5,FALSE)</f>
        <v>0.1</v>
      </c>
    </row>
    <row r="16" spans="1:18" ht="15" customHeight="1">
      <c r="A16" s="31" t="s">
        <v>60</v>
      </c>
      <c r="B16" s="26">
        <f>PRODUCT($B$3:$B$6)*B15</f>
        <v>6.3245553203367596E+44</v>
      </c>
      <c r="C16" s="26">
        <f>SUM(C$3:C$6)+C15</f>
        <v>4.5113686573257059</v>
      </c>
      <c r="F16" s="32" t="s">
        <v>60</v>
      </c>
      <c r="G16" s="26">
        <f>PRODUCT(G$3:G$4)*PRODUCT(G14:G15)</f>
        <v>1.5811388300841894E+35</v>
      </c>
      <c r="H16" s="26">
        <f>SUM(H$3:H$4)+SUM(H14:H15)</f>
        <v>2.8310645112533264</v>
      </c>
    </row>
    <row r="19" spans="1:23" ht="15" customHeight="1">
      <c r="A19" s="21" t="s">
        <v>57</v>
      </c>
      <c r="F19" s="1" t="s">
        <v>63</v>
      </c>
      <c r="S19" s="4"/>
      <c r="T19" s="4"/>
      <c r="U19" s="4"/>
      <c r="V19" s="4"/>
      <c r="W19" s="4"/>
    </row>
    <row r="20" spans="1:23" ht="15" customHeight="1">
      <c r="A20" s="6" t="s">
        <v>49</v>
      </c>
      <c r="B20" s="4">
        <f>VLOOKUP($A20,Globals!$A$17:$E$24,4,FALSE)</f>
        <v>1000</v>
      </c>
      <c r="C20" s="4">
        <f>VLOOKUP($A20,Globals!$A$17:$E$24,5,FALSE)</f>
        <v>0.8</v>
      </c>
      <c r="F20" t="s">
        <v>23</v>
      </c>
      <c r="G20">
        <f>VLOOKUP($F20,Globals!$N$30:$P$36,2,FALSE)</f>
        <v>316227766016837.94</v>
      </c>
      <c r="H20">
        <f>VLOOKUP($F20,Globals!$N$30:$P$36,3,FALSE)</f>
        <v>1.1704562191085683</v>
      </c>
      <c r="S20" s="41"/>
      <c r="T20" s="4"/>
      <c r="U20" s="4"/>
      <c r="V20" s="4"/>
      <c r="W20" s="4"/>
    </row>
    <row r="21" spans="1:23" ht="15" customHeight="1">
      <c r="A21" s="31" t="s">
        <v>60</v>
      </c>
      <c r="B21" s="26">
        <f>PRODUCT($B$3:$B$6)*B20</f>
        <v>3.1622776601683793E+48</v>
      </c>
      <c r="C21" s="26">
        <f>SUM(C$3:C$6)+C20</f>
        <v>4.3113686573257057</v>
      </c>
      <c r="F21" s="6" t="s">
        <v>44</v>
      </c>
      <c r="G21">
        <f>VLOOKUP($F21,Globals!$A$17:$E$24,4,FALSE)</f>
        <v>0.4</v>
      </c>
      <c r="H21">
        <f>VLOOKUP($F21,Globals!$A$17:$E$24,5,FALSE)</f>
        <v>0.4</v>
      </c>
      <c r="S21" s="16"/>
      <c r="T21" s="4"/>
      <c r="U21" s="4"/>
      <c r="V21" s="4"/>
      <c r="W21" s="4"/>
    </row>
    <row r="22" spans="1:23" ht="15" customHeight="1">
      <c r="F22" s="32" t="s">
        <v>60</v>
      </c>
      <c r="G22" s="26">
        <f>PRODUCT(G$3:G$4)*PRODUCT(G20:G21)</f>
        <v>3.9999999999999993E+37</v>
      </c>
      <c r="H22" s="26">
        <f>SUM(H$3:H$4)+SUM(H20:H21)</f>
        <v>3.5212165842895158</v>
      </c>
      <c r="S22" s="16"/>
      <c r="T22" s="4"/>
      <c r="U22" s="4"/>
      <c r="V22" s="4"/>
      <c r="W22" s="4"/>
    </row>
    <row r="23" spans="1:23" ht="15" customHeight="1">
      <c r="B23" s="4"/>
      <c r="C23" s="4"/>
      <c r="S23" s="16"/>
      <c r="T23" s="4"/>
      <c r="U23" s="4"/>
      <c r="V23" s="4"/>
      <c r="W23" s="4"/>
    </row>
    <row r="24" spans="1:23" ht="15" customHeight="1">
      <c r="B24" s="4"/>
      <c r="C24" s="4"/>
      <c r="S24" s="16"/>
      <c r="T24" s="4"/>
      <c r="U24" s="4"/>
      <c r="V24" s="4"/>
      <c r="W24" s="4"/>
    </row>
    <row r="25" spans="1:23" ht="15" customHeight="1">
      <c r="B25" s="4"/>
      <c r="C25" s="4"/>
      <c r="F25" s="1" t="s">
        <v>64</v>
      </c>
      <c r="S25" s="16"/>
      <c r="T25" s="4"/>
      <c r="U25" s="4"/>
      <c r="V25" s="4"/>
      <c r="W25" s="4"/>
    </row>
    <row r="26" spans="1:23" ht="15" customHeight="1">
      <c r="B26" s="4"/>
      <c r="C26" s="4"/>
      <c r="F26" t="s">
        <v>62</v>
      </c>
      <c r="G26">
        <f>VLOOKUP($F26,Globals!$N$30:$P$36,2,FALSE)</f>
        <v>1E+19</v>
      </c>
      <c r="H26">
        <f>VLOOKUP($F26,Globals!$N$30:$P$36,3,FALSE)</f>
        <v>1.5606082921447579</v>
      </c>
      <c r="S26" s="42"/>
      <c r="T26" s="4"/>
      <c r="U26" s="4"/>
      <c r="V26" s="4"/>
      <c r="W26" s="4"/>
    </row>
    <row r="27" spans="1:23" ht="15" customHeight="1">
      <c r="A27" s="16"/>
      <c r="B27" s="4"/>
      <c r="C27" s="4"/>
      <c r="F27" t="s">
        <v>45</v>
      </c>
      <c r="G27">
        <f>VLOOKUP($F27,Globals!$A$17:$E$24,4,FALSE)</f>
        <v>0.04</v>
      </c>
      <c r="H27">
        <f>VLOOKUP($F27,Globals!$A$17:$E$24,5,FALSE)</f>
        <v>0.5</v>
      </c>
      <c r="S27" s="4"/>
      <c r="T27" s="4"/>
      <c r="U27" s="4"/>
      <c r="V27" s="4"/>
      <c r="W27" s="4"/>
    </row>
    <row r="28" spans="1:23" ht="15" customHeight="1">
      <c r="F28" s="32" t="s">
        <v>60</v>
      </c>
      <c r="G28" s="26">
        <f>PRODUCT(G$3:G$4)*PRODUCT(G26:G27)</f>
        <v>1.2649110640673514E+41</v>
      </c>
      <c r="H28" s="26">
        <f>SUM(H$3:H$4)+SUM(H26:H27)</f>
        <v>4.0113686573257059</v>
      </c>
      <c r="S28" s="4"/>
      <c r="T28" s="4"/>
      <c r="U28" s="4"/>
      <c r="V28" s="4"/>
      <c r="W28" s="4"/>
    </row>
    <row r="29" spans="1:23" ht="15" customHeight="1">
      <c r="S29" s="25"/>
      <c r="T29" s="4"/>
      <c r="U29" s="4"/>
      <c r="V29" s="4"/>
      <c r="W29" s="4"/>
    </row>
    <row r="30" spans="1:23" ht="15" customHeight="1">
      <c r="S30" s="4"/>
      <c r="T30" s="4"/>
      <c r="U30" s="4"/>
      <c r="V30" s="4"/>
      <c r="W30" s="4"/>
    </row>
    <row r="31" spans="1:23" ht="15" customHeight="1">
      <c r="A31" s="16"/>
      <c r="B31" s="4"/>
      <c r="C31" s="4"/>
      <c r="F31" s="1" t="s">
        <v>65</v>
      </c>
      <c r="S31" s="4"/>
      <c r="T31" s="4"/>
      <c r="U31" s="4"/>
      <c r="V31" s="4"/>
      <c r="W31" s="4"/>
    </row>
    <row r="32" spans="1:23" ht="15" customHeight="1">
      <c r="A32" s="16"/>
      <c r="B32" s="4"/>
      <c r="C32" s="4"/>
      <c r="F32" t="s">
        <v>62</v>
      </c>
      <c r="G32">
        <f>VLOOKUP($F32,Globals!$N$30:$P$36,2,FALSE)</f>
        <v>1E+19</v>
      </c>
      <c r="H32">
        <f>VLOOKUP($F32,Globals!$N$30:$P$36,3,FALSE)</f>
        <v>1.5606082921447579</v>
      </c>
      <c r="S32" s="4"/>
      <c r="T32" s="4"/>
      <c r="U32" s="4"/>
      <c r="V32" s="4"/>
      <c r="W32" s="4"/>
    </row>
    <row r="33" spans="1:23" ht="15" customHeight="1">
      <c r="A33" s="16"/>
      <c r="B33" s="4"/>
      <c r="C33" s="4"/>
      <c r="F33" t="s">
        <v>66</v>
      </c>
      <c r="G33">
        <f>VLOOKUP($F33,Globals!$N$30:$P$36,2,FALSE)</f>
        <v>3.1622776601683791E-2</v>
      </c>
      <c r="H33">
        <f>VLOOKUP($F33,Globals!$N$30:$P$36,3,FALSE)</f>
        <v>1.1704562191085683</v>
      </c>
      <c r="S33" s="4"/>
      <c r="T33" s="4"/>
      <c r="U33" s="4"/>
      <c r="V33" s="4"/>
      <c r="W33" s="4"/>
    </row>
    <row r="34" spans="1:23" ht="15" customHeight="1">
      <c r="A34" s="16"/>
      <c r="B34" s="4"/>
      <c r="C34" s="4"/>
      <c r="F34" t="s">
        <v>45</v>
      </c>
      <c r="G34">
        <f>VLOOKUP($F34,Globals!$A$17:$E$24,4,FALSE)</f>
        <v>0.04</v>
      </c>
      <c r="H34">
        <f>VLOOKUP($F34,Globals!$A$17:$E$24,5,FALSE)</f>
        <v>0.5</v>
      </c>
      <c r="S34" s="16"/>
      <c r="T34" s="4"/>
      <c r="U34" s="4"/>
      <c r="V34" s="4"/>
      <c r="W34" s="4"/>
    </row>
    <row r="35" spans="1:23" ht="15" customHeight="1">
      <c r="A35" s="16"/>
      <c r="B35" s="4"/>
      <c r="C35" s="4"/>
      <c r="F35" s="28" t="s">
        <v>60</v>
      </c>
      <c r="G35" s="26">
        <f>PRODUCT(G$3:G$4)*PRODUCT(G32:G34)</f>
        <v>3.9999999999999985E+39</v>
      </c>
      <c r="H35" s="26">
        <f>SUM(H$3:H$4)+SUM(H32:H34)</f>
        <v>5.1818248764342734</v>
      </c>
      <c r="S35" s="16"/>
      <c r="T35" s="4"/>
      <c r="U35" s="4"/>
      <c r="V35" s="4"/>
      <c r="W35" s="4"/>
    </row>
    <row r="36" spans="1:23" ht="15" customHeight="1">
      <c r="A36" s="16"/>
      <c r="B36" s="4"/>
      <c r="C36" s="4"/>
      <c r="S36" s="4"/>
      <c r="T36" s="4"/>
      <c r="U36" s="4"/>
      <c r="V36" s="4"/>
      <c r="W36" s="4"/>
    </row>
    <row r="37" spans="1:23" ht="15" customHeight="1">
      <c r="A37" s="16"/>
      <c r="B37" s="4"/>
      <c r="C37" s="4"/>
      <c r="S37" s="4"/>
      <c r="T37" s="4"/>
      <c r="U37" s="4"/>
      <c r="V37" s="4"/>
      <c r="W37" s="4"/>
    </row>
    <row r="38" spans="1:23" ht="15" customHeight="1">
      <c r="S38" s="25"/>
      <c r="T38" s="4"/>
      <c r="U38" s="4"/>
      <c r="V38" s="4"/>
      <c r="W38" s="4"/>
    </row>
    <row r="39" spans="1:23" ht="15" customHeight="1">
      <c r="S39" s="4"/>
      <c r="T39" s="4"/>
      <c r="U39" s="4"/>
      <c r="V39" s="4"/>
      <c r="W39" s="4"/>
    </row>
    <row r="40" spans="1:23" ht="15" customHeight="1">
      <c r="S40" s="4"/>
      <c r="T40" s="4"/>
      <c r="U40" s="4"/>
      <c r="V40" s="4"/>
      <c r="W40" s="4"/>
    </row>
    <row r="41" spans="1:23" ht="15" customHeight="1">
      <c r="S41" s="4"/>
      <c r="T41" s="4"/>
      <c r="U41" s="4"/>
      <c r="V41" s="4"/>
      <c r="W41" s="4"/>
    </row>
    <row r="42" spans="1:23" ht="15" customHeight="1">
      <c r="S42" s="4"/>
      <c r="T42" s="4"/>
      <c r="U42" s="4"/>
      <c r="V42" s="4"/>
      <c r="W42" s="4"/>
    </row>
    <row r="43" spans="1:23" ht="15" customHeight="1">
      <c r="S43" s="16"/>
      <c r="T43" s="4"/>
      <c r="U43" s="4"/>
      <c r="V43" s="4"/>
      <c r="W43" s="4"/>
    </row>
    <row r="44" spans="1:23" ht="15" customHeight="1">
      <c r="S44" s="16"/>
      <c r="T44" s="4"/>
      <c r="U44" s="4"/>
      <c r="V44" s="4"/>
      <c r="W44" s="4"/>
    </row>
    <row r="45" spans="1:23" ht="15" customHeight="1">
      <c r="S45" s="4"/>
      <c r="T45" s="4"/>
      <c r="U45" s="4"/>
      <c r="V45" s="4"/>
      <c r="W45" s="4"/>
    </row>
    <row r="46" spans="1:23" ht="15" customHeight="1">
      <c r="S46" s="4"/>
      <c r="T46" s="4"/>
      <c r="U46" s="4"/>
      <c r="V46" s="4"/>
      <c r="W46" s="4"/>
    </row>
    <row r="47" spans="1:23" ht="15" customHeight="1">
      <c r="S47" s="25"/>
      <c r="T47" s="4"/>
      <c r="U47" s="4"/>
      <c r="V47" s="4"/>
      <c r="W47" s="4"/>
    </row>
    <row r="48" spans="1:23" ht="15" customHeight="1">
      <c r="S48" s="4"/>
      <c r="T48" s="4"/>
      <c r="U48" s="4"/>
      <c r="V48" s="4"/>
      <c r="W48" s="4"/>
    </row>
    <row r="49" spans="19:23" ht="15" customHeight="1">
      <c r="S49" s="4"/>
      <c r="T49" s="4"/>
      <c r="U49" s="4"/>
      <c r="V49" s="4"/>
      <c r="W49" s="4"/>
    </row>
    <row r="50" spans="19:23" ht="15" customHeight="1">
      <c r="S50" s="4"/>
      <c r="T50" s="4"/>
      <c r="U50" s="4"/>
      <c r="V50" s="4"/>
      <c r="W50" s="4"/>
    </row>
    <row r="51" spans="19:23" ht="15" customHeight="1">
      <c r="S51" s="4"/>
      <c r="T51" s="4"/>
      <c r="U51" s="4"/>
      <c r="V51" s="4"/>
      <c r="W51" s="4"/>
    </row>
    <row r="52" spans="19:23" ht="15" customHeight="1">
      <c r="S52" s="16"/>
      <c r="T52" s="4"/>
      <c r="U52" s="4"/>
      <c r="V52" s="4"/>
      <c r="W52" s="4"/>
    </row>
    <row r="53" spans="19:23" ht="15" customHeight="1">
      <c r="S53" s="16"/>
      <c r="T53" s="4"/>
      <c r="U53" s="4"/>
      <c r="V53" s="4"/>
      <c r="W53" s="4"/>
    </row>
    <row r="54" spans="19:23" ht="15" customHeight="1">
      <c r="S54" s="4"/>
      <c r="T54" s="4"/>
      <c r="U54" s="4"/>
      <c r="V54" s="4"/>
      <c r="W54" s="4"/>
    </row>
    <row r="55" spans="19:23" ht="15" customHeight="1">
      <c r="S55" s="4"/>
      <c r="T55" s="4"/>
      <c r="U55" s="4"/>
      <c r="V55" s="4"/>
      <c r="W55" s="4"/>
    </row>
    <row r="56" spans="19:23" ht="15" customHeight="1">
      <c r="S56" s="25"/>
      <c r="T56" s="4"/>
      <c r="U56" s="4"/>
      <c r="V56" s="4"/>
      <c r="W56" s="4"/>
    </row>
    <row r="57" spans="19:23" ht="15" customHeight="1">
      <c r="S57" s="4"/>
      <c r="T57" s="4"/>
      <c r="U57" s="4"/>
      <c r="V57" s="4"/>
      <c r="W57" s="4"/>
    </row>
    <row r="58" spans="19:23" ht="15" customHeight="1">
      <c r="S58" s="4"/>
      <c r="T58" s="4"/>
      <c r="U58" s="4"/>
      <c r="V58" s="4"/>
      <c r="W58" s="4"/>
    </row>
    <row r="59" spans="19:23" ht="15" customHeight="1">
      <c r="S59" s="4"/>
      <c r="T59" s="4"/>
      <c r="U59" s="4"/>
      <c r="V59" s="4"/>
      <c r="W59" s="4"/>
    </row>
    <row r="60" spans="19:23" ht="15" customHeight="1">
      <c r="S60" s="4"/>
      <c r="T60" s="4"/>
      <c r="U60" s="4"/>
      <c r="V60" s="4"/>
      <c r="W60" s="4"/>
    </row>
    <row r="61" spans="19:23" ht="15" customHeight="1">
      <c r="S61" s="4"/>
      <c r="T61" s="4"/>
      <c r="U61" s="4"/>
      <c r="V61" s="4"/>
      <c r="W61" s="4"/>
    </row>
    <row r="62" spans="19:23" ht="15" customHeight="1">
      <c r="S62" s="4"/>
      <c r="T62" s="4"/>
      <c r="U62" s="4"/>
      <c r="V62" s="4"/>
      <c r="W62" s="4"/>
    </row>
    <row r="63" spans="19:23" ht="15" customHeight="1">
      <c r="S63" s="16"/>
      <c r="T63" s="4"/>
      <c r="U63" s="4"/>
      <c r="V63" s="4"/>
      <c r="W63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27"/>
  <sheetViews>
    <sheetView workbookViewId="0">
      <selection activeCell="D5" sqref="D5"/>
    </sheetView>
  </sheetViews>
  <sheetFormatPr baseColWidth="10" defaultRowHeight="15" x14ac:dyDescent="0"/>
  <cols>
    <col min="1" max="1" width="21.6640625" customWidth="1"/>
    <col min="2" max="2" width="12.1640625" bestFit="1" customWidth="1"/>
    <col min="5" max="5" width="10.83203125" customWidth="1"/>
    <col min="6" max="6" width="21.6640625" customWidth="1"/>
    <col min="7" max="7" width="12.83203125" bestFit="1" customWidth="1"/>
    <col min="11" max="11" width="12.83203125" bestFit="1" customWidth="1"/>
  </cols>
  <sheetData>
    <row r="1" spans="1:16" ht="20">
      <c r="A1" s="7" t="s">
        <v>158</v>
      </c>
      <c r="F1" s="1" t="s">
        <v>79</v>
      </c>
    </row>
    <row r="2" spans="1:16">
      <c r="B2" t="s">
        <v>0</v>
      </c>
      <c r="C2" t="s">
        <v>1</v>
      </c>
      <c r="G2" t="s">
        <v>2</v>
      </c>
      <c r="H2" t="s">
        <v>34</v>
      </c>
      <c r="I2" t="s">
        <v>107</v>
      </c>
    </row>
    <row r="3" spans="1:16">
      <c r="A3" s="29" t="s">
        <v>120</v>
      </c>
      <c r="B3" s="27">
        <v>50000000000</v>
      </c>
      <c r="C3" s="27">
        <v>1000000000000</v>
      </c>
      <c r="D3" t="s">
        <v>191</v>
      </c>
      <c r="G3">
        <v>1</v>
      </c>
      <c r="H3">
        <f>I3^2</f>
        <v>6.25E-2</v>
      </c>
      <c r="I3">
        <v>0.25</v>
      </c>
    </row>
    <row r="4" spans="1:16">
      <c r="A4" s="29" t="s">
        <v>114</v>
      </c>
      <c r="B4" s="15">
        <v>0.1</v>
      </c>
      <c r="C4" s="15">
        <v>0.5</v>
      </c>
      <c r="D4" t="s">
        <v>237</v>
      </c>
      <c r="F4" s="33" t="s">
        <v>97</v>
      </c>
      <c r="G4" s="34">
        <f>ParetoPosterior(median,alpha,G3:H3)</f>
        <v>1.0718443947358864</v>
      </c>
      <c r="H4" s="4"/>
    </row>
    <row r="5" spans="1:16">
      <c r="A5" s="29" t="s">
        <v>115</v>
      </c>
      <c r="B5" s="15">
        <v>1.7999999999999999E-2</v>
      </c>
      <c r="C5" s="15">
        <v>0.18</v>
      </c>
      <c r="F5" s="33" t="s">
        <v>108</v>
      </c>
      <c r="G5" s="34">
        <f>LognormPosterior(mu_global_poverty,sigma_global_poverty,G3:H3)</f>
        <v>1.1516259366300541</v>
      </c>
      <c r="H5" s="4"/>
    </row>
    <row r="6" spans="1:16">
      <c r="A6" s="29" t="s">
        <v>116</v>
      </c>
      <c r="B6" s="15">
        <v>0.02</v>
      </c>
      <c r="C6" s="15">
        <v>0.2</v>
      </c>
    </row>
    <row r="7" spans="1:16">
      <c r="A7" s="4" t="s">
        <v>110</v>
      </c>
      <c r="B7" s="19">
        <f>1000/C3*interest_rate</f>
        <v>5.0000000000000008E-11</v>
      </c>
      <c r="C7" s="19">
        <f>1000/B3*interest_rate</f>
        <v>1.0000000000000001E-9</v>
      </c>
    </row>
    <row r="8" spans="1:16">
      <c r="F8" s="1" t="s">
        <v>109</v>
      </c>
    </row>
    <row r="9" spans="1:16">
      <c r="G9" t="s">
        <v>2</v>
      </c>
      <c r="H9" t="s">
        <v>34</v>
      </c>
      <c r="J9" s="25"/>
      <c r="K9" s="4"/>
      <c r="L9" s="4"/>
      <c r="M9" s="4"/>
      <c r="N9" s="25"/>
      <c r="O9" s="4"/>
      <c r="P9" s="4"/>
    </row>
    <row r="10" spans="1:16">
      <c r="F10" t="s">
        <v>114</v>
      </c>
      <c r="G10">
        <f>GEOMEAN($B$4,$C$4)</f>
        <v>0.22360679774997896</v>
      </c>
      <c r="H10">
        <f>LogVariance($B$4,$C$4)</f>
        <v>0.27270459618181209</v>
      </c>
      <c r="J10" s="4"/>
      <c r="K10" s="4"/>
      <c r="L10" s="4"/>
      <c r="M10" s="4"/>
      <c r="N10" s="4"/>
      <c r="O10" s="4"/>
      <c r="P10" s="4"/>
    </row>
    <row r="11" spans="1:16">
      <c r="F11" s="4" t="s">
        <v>115</v>
      </c>
      <c r="G11">
        <f>GEOMEAN($B$5,$C$5)</f>
        <v>5.6920997883030823E-2</v>
      </c>
      <c r="H11">
        <f>LogVariance($B$5,$C$5)</f>
        <v>0.39015207303618948</v>
      </c>
      <c r="J11" s="4"/>
      <c r="K11" s="4"/>
      <c r="L11" s="4"/>
      <c r="M11" s="4"/>
      <c r="N11" s="4"/>
      <c r="O11" s="4"/>
      <c r="P11" s="4"/>
    </row>
    <row r="12" spans="1:16" ht="20">
      <c r="A12" s="7" t="s">
        <v>67</v>
      </c>
      <c r="F12" t="s">
        <v>110</v>
      </c>
      <c r="G12">
        <f>GEOMEAN($B$7,$C$7)</f>
        <v>2.2360679774997899E-10</v>
      </c>
      <c r="H12">
        <f>LogVariance($B$7,$C$7)</f>
        <v>0.50759954989056688</v>
      </c>
      <c r="J12" s="4"/>
      <c r="K12" s="4"/>
      <c r="L12" s="4"/>
      <c r="M12" s="4"/>
      <c r="N12" s="4"/>
      <c r="O12" s="4"/>
      <c r="P12" s="4"/>
    </row>
    <row r="13" spans="1:16">
      <c r="A13" s="1" t="s">
        <v>148</v>
      </c>
      <c r="F13" s="4" t="s">
        <v>234</v>
      </c>
      <c r="G13" s="4">
        <f>PRODUCT(G10:G12)</f>
        <v>2.8460498941515414E-12</v>
      </c>
      <c r="H13" s="4">
        <f>SUM(H10:H12)</f>
        <v>1.1704562191085683</v>
      </c>
      <c r="J13" s="4"/>
      <c r="K13" s="4"/>
      <c r="L13" s="4"/>
      <c r="M13" s="4"/>
      <c r="N13" s="4"/>
      <c r="O13" s="4"/>
      <c r="P13" s="4"/>
    </row>
    <row r="14" spans="1:16">
      <c r="A14" s="30" t="s">
        <v>105</v>
      </c>
      <c r="B14" s="5">
        <f>G15-G26+G4</f>
        <v>1.0718443947358864</v>
      </c>
      <c r="F14" s="4"/>
      <c r="G14" s="4"/>
      <c r="H14" s="4"/>
      <c r="J14" s="4"/>
      <c r="K14" s="4"/>
      <c r="L14" s="4"/>
      <c r="M14" s="4"/>
      <c r="N14" s="4"/>
      <c r="O14" s="4"/>
      <c r="P14" s="4"/>
    </row>
    <row r="15" spans="1:16">
      <c r="A15" s="30" t="s">
        <v>106</v>
      </c>
      <c r="B15" s="5">
        <f>G16-G27+G5</f>
        <v>1.1516259366300541</v>
      </c>
      <c r="F15" s="4"/>
      <c r="G15" s="4"/>
      <c r="H15" s="4"/>
      <c r="J15" s="4"/>
      <c r="K15" s="4"/>
      <c r="L15" s="4"/>
      <c r="M15" s="4"/>
      <c r="N15" s="4"/>
      <c r="O15" s="4"/>
      <c r="P15" s="4"/>
    </row>
    <row r="16" spans="1:16">
      <c r="F16" s="4"/>
      <c r="G16" s="4"/>
      <c r="H16" s="4"/>
      <c r="J16" s="4"/>
      <c r="K16" s="4"/>
      <c r="L16" s="4"/>
      <c r="M16" s="4"/>
      <c r="N16" s="4"/>
      <c r="O16" s="4"/>
      <c r="P16" s="4"/>
    </row>
    <row r="17" spans="1:16">
      <c r="J17" s="4"/>
      <c r="K17" s="4"/>
      <c r="L17" s="4"/>
      <c r="M17" s="4"/>
      <c r="N17" s="4"/>
      <c r="O17" s="4"/>
      <c r="P17" s="4"/>
    </row>
    <row r="18" spans="1:16">
      <c r="A18" s="1" t="s">
        <v>149</v>
      </c>
      <c r="J18" s="4"/>
      <c r="K18" s="4"/>
      <c r="L18" s="4"/>
      <c r="M18" s="4"/>
      <c r="N18" s="4"/>
      <c r="O18" s="4"/>
      <c r="P18" s="4"/>
    </row>
    <row r="19" spans="1:16">
      <c r="A19" s="30" t="s">
        <v>105</v>
      </c>
      <c r="B19" s="5">
        <f>(O12-K12)-(O23-K23)+G4</f>
        <v>1.0718443947358864</v>
      </c>
      <c r="F19" s="1" t="s">
        <v>117</v>
      </c>
      <c r="J19" s="4"/>
      <c r="K19" s="4"/>
      <c r="L19" s="4"/>
      <c r="M19" s="4"/>
      <c r="N19" s="4"/>
      <c r="O19" s="4"/>
      <c r="P19" s="4"/>
    </row>
    <row r="20" spans="1:16">
      <c r="A20" s="30" t="s">
        <v>106</v>
      </c>
      <c r="B20" s="5">
        <f>(O13-K13)-(O24-K24)+G5</f>
        <v>1.1516259366300541</v>
      </c>
      <c r="G20" t="s">
        <v>2</v>
      </c>
      <c r="H20" t="s">
        <v>34</v>
      </c>
      <c r="J20" s="25"/>
      <c r="K20" s="4"/>
      <c r="L20" s="4"/>
      <c r="M20" s="4"/>
      <c r="N20" s="25"/>
      <c r="O20" s="4"/>
      <c r="P20" s="4"/>
    </row>
    <row r="21" spans="1:16">
      <c r="F21" t="s">
        <v>114</v>
      </c>
      <c r="G21">
        <f>GEOMEAN($B$4,$C$4)</f>
        <v>0.22360679774997896</v>
      </c>
      <c r="H21">
        <f>LogVariance($B$4,$C$4)</f>
        <v>0.27270459618181209</v>
      </c>
      <c r="J21" s="4"/>
      <c r="K21" s="4"/>
      <c r="L21" s="4"/>
      <c r="M21" s="4"/>
      <c r="N21" s="4"/>
      <c r="O21" s="4"/>
      <c r="P21" s="4"/>
    </row>
    <row r="22" spans="1:16">
      <c r="F22" s="4" t="s">
        <v>116</v>
      </c>
      <c r="G22">
        <f>GEOMEAN($B$6,$C$6)</f>
        <v>6.3245553203367583E-2</v>
      </c>
      <c r="H22">
        <f>LogVariance($B$6,$C$6)</f>
        <v>0.39015207303618948</v>
      </c>
      <c r="J22" s="4"/>
      <c r="K22" s="4"/>
      <c r="L22" s="4"/>
      <c r="M22" s="4"/>
      <c r="N22" s="4"/>
      <c r="O22" s="4"/>
      <c r="P22" s="4"/>
    </row>
    <row r="23" spans="1:16">
      <c r="A23" s="1" t="s">
        <v>192</v>
      </c>
      <c r="F23" t="s">
        <v>110</v>
      </c>
      <c r="G23">
        <f>GEOMEAN($B$7,$C$7)</f>
        <v>2.2360679774997899E-10</v>
      </c>
      <c r="H23">
        <f>LogVariance($B$7,$C$7)</f>
        <v>0.50759954989056688</v>
      </c>
      <c r="J23" s="4"/>
      <c r="K23" s="4"/>
      <c r="L23" s="4"/>
      <c r="M23" s="4"/>
      <c r="N23" s="4"/>
      <c r="O23" s="4"/>
      <c r="P23" s="4"/>
    </row>
    <row r="24" spans="1:16">
      <c r="A24" t="s">
        <v>193</v>
      </c>
      <c r="F24" t="s">
        <v>134</v>
      </c>
      <c r="G24">
        <f>VLOOKUP(F24,'EV of Far Future'!$K$11:$M$13,2,FALSE)</f>
        <v>3.28126688198983E+34</v>
      </c>
      <c r="H24">
        <f>VLOOKUP(F24,'EV of Far Future'!$K$11:$M$13,3,FALSE)</f>
        <v>2.7096296169434901</v>
      </c>
      <c r="J24" s="4"/>
      <c r="K24" s="4"/>
      <c r="L24" s="4"/>
      <c r="M24" s="4"/>
      <c r="N24" s="4"/>
      <c r="O24" s="4"/>
      <c r="P24" s="4"/>
    </row>
    <row r="25" spans="1:16">
      <c r="F25" s="28" t="s">
        <v>60</v>
      </c>
      <c r="G25" s="26">
        <f>PRODUCT(G21:G24)</f>
        <v>1.0376276957966794E+23</v>
      </c>
      <c r="H25" s="26">
        <f>SUM(H21:H24)</f>
        <v>3.8800858360520585</v>
      </c>
    </row>
    <row r="26" spans="1:16">
      <c r="F26" s="33" t="s">
        <v>97</v>
      </c>
      <c r="G26" s="34"/>
    </row>
    <row r="27" spans="1:16">
      <c r="F27" s="33" t="s">
        <v>108</v>
      </c>
      <c r="G27" s="3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61"/>
  <sheetViews>
    <sheetView workbookViewId="0">
      <selection activeCell="M9" sqref="M9"/>
    </sheetView>
  </sheetViews>
  <sheetFormatPr baseColWidth="10" defaultRowHeight="15" x14ac:dyDescent="0"/>
  <cols>
    <col min="1" max="1" width="21.6640625" customWidth="1"/>
    <col min="2" max="4" width="10.83203125" customWidth="1"/>
    <col min="6" max="6" width="10.83203125" customWidth="1"/>
    <col min="7" max="7" width="12.1640625" bestFit="1" customWidth="1"/>
    <col min="8" max="8" width="12.83203125" bestFit="1" customWidth="1"/>
    <col min="13" max="13" width="12.83203125" bestFit="1" customWidth="1"/>
  </cols>
  <sheetData>
    <row r="1" spans="1:14" ht="20">
      <c r="A1" s="7" t="s">
        <v>158</v>
      </c>
      <c r="G1" s="1" t="s">
        <v>79</v>
      </c>
      <c r="L1" s="25" t="s">
        <v>80</v>
      </c>
    </row>
    <row r="2" spans="1:14">
      <c r="B2" t="s">
        <v>0</v>
      </c>
      <c r="C2" t="s">
        <v>1</v>
      </c>
      <c r="D2" t="s">
        <v>2</v>
      </c>
      <c r="E2" t="s">
        <v>34</v>
      </c>
      <c r="H2" s="4" t="s">
        <v>2</v>
      </c>
      <c r="I2" s="4" t="s">
        <v>3</v>
      </c>
      <c r="M2" t="s">
        <v>2</v>
      </c>
      <c r="N2" t="s">
        <v>34</v>
      </c>
    </row>
    <row r="3" spans="1:14">
      <c r="A3" s="29" t="s">
        <v>152</v>
      </c>
      <c r="B3" s="15">
        <v>0.7</v>
      </c>
      <c r="C3" s="27">
        <v>13</v>
      </c>
      <c r="F3" s="8" t="s">
        <v>156</v>
      </c>
      <c r="G3" t="s">
        <v>84</v>
      </c>
      <c r="H3">
        <f>D5</f>
        <v>3016.620625799671</v>
      </c>
      <c r="I3">
        <f>E5</f>
        <v>0.49504262895320128</v>
      </c>
      <c r="L3" s="4" t="s">
        <v>78</v>
      </c>
      <c r="M3">
        <f>VLOOKUP($L3,'EV of Far Future'!$O$3:$P$10,2,FALSE)</f>
        <v>0.16799999999999998</v>
      </c>
      <c r="N3">
        <v>0</v>
      </c>
    </row>
    <row r="4" spans="1:14">
      <c r="A4" s="29" t="s">
        <v>235</v>
      </c>
      <c r="B4" s="15">
        <v>3</v>
      </c>
      <c r="C4" s="27">
        <v>4</v>
      </c>
      <c r="D4">
        <f>GEOMEAN(B4,C4)</f>
        <v>3.4641016151377548</v>
      </c>
      <c r="E4">
        <f>LogVariance(B4,C4)</f>
        <v>4.8745107090250664E-2</v>
      </c>
      <c r="F4" t="s">
        <v>236</v>
      </c>
      <c r="G4" t="s">
        <v>43</v>
      </c>
      <c r="H4">
        <f>VLOOKUP($G4,Globals!A17:E24,4,FALSE)</f>
        <v>5</v>
      </c>
      <c r="I4">
        <f>VLOOKUP($G4,Globals!A17:E24,5,FALSE)</f>
        <v>0.1</v>
      </c>
      <c r="L4" s="4" t="s">
        <v>86</v>
      </c>
      <c r="M4">
        <v>1</v>
      </c>
      <c r="N4">
        <v>0</v>
      </c>
    </row>
    <row r="5" spans="1:14">
      <c r="A5" t="s">
        <v>84</v>
      </c>
      <c r="B5">
        <f>B3*1000</f>
        <v>700</v>
      </c>
      <c r="C5">
        <f>C3*1000</f>
        <v>13000</v>
      </c>
      <c r="D5">
        <f>GEOMEAN(B5,C5)</f>
        <v>3016.620625799671</v>
      </c>
      <c r="E5">
        <f>LogVariance(B5,C5)</f>
        <v>0.49504262895320128</v>
      </c>
      <c r="G5" s="28" t="s">
        <v>60</v>
      </c>
      <c r="H5" s="26">
        <f>PRODUCT(H3:H4)</f>
        <v>15083.103128998355</v>
      </c>
      <c r="I5" s="26">
        <f>SUM(I3:I4)</f>
        <v>0.59504262895320126</v>
      </c>
      <c r="L5" s="4" t="s">
        <v>70</v>
      </c>
      <c r="M5">
        <f>VLOOKUP($L5,'EV of Far Future'!$K$3:$N$10,2,FALSE)</f>
        <v>2.6563132345414381E+34</v>
      </c>
      <c r="N5">
        <f>VLOOKUP($L5,'EV of Far Future'!$K$3:$N$10,3,FALSE)</f>
        <v>2.8310645112533264</v>
      </c>
    </row>
    <row r="6" spans="1:14">
      <c r="A6" t="s">
        <v>83</v>
      </c>
      <c r="D6">
        <f>PRODUCT(D4:D5)</f>
        <v>10449.880382090505</v>
      </c>
      <c r="E6">
        <f>SUM(E4:E5)</f>
        <v>0.54378773604345199</v>
      </c>
      <c r="G6" s="33" t="s">
        <v>97</v>
      </c>
      <c r="H6" s="34">
        <f>ParetoPosterior(median,alpha,H5:I5)</f>
        <v>682.54425392624319</v>
      </c>
      <c r="L6" s="4" t="s">
        <v>82</v>
      </c>
      <c r="M6">
        <f>1/factory_farmed_animals</f>
        <v>5.0000000000000002E-11</v>
      </c>
      <c r="N6">
        <v>0</v>
      </c>
    </row>
    <row r="7" spans="1:14">
      <c r="A7" s="29" t="s">
        <v>130</v>
      </c>
      <c r="B7" s="15">
        <v>0.01</v>
      </c>
      <c r="C7" s="15">
        <v>0.01</v>
      </c>
      <c r="D7">
        <f>GEOMEAN(B7,C7)</f>
        <v>0.01</v>
      </c>
      <c r="E7">
        <f>LogVariance(B7,C7)</f>
        <v>0</v>
      </c>
      <c r="F7" t="s">
        <v>131</v>
      </c>
      <c r="G7" s="33" t="s">
        <v>85</v>
      </c>
      <c r="H7" s="35">
        <f>LognormPosterior(mu_factory_farming,sigma_factory_farming,H5:I5)</f>
        <v>68.124229653876696</v>
      </c>
      <c r="I7" t="s">
        <v>228</v>
      </c>
      <c r="L7" s="4" t="s">
        <v>119</v>
      </c>
      <c r="M7">
        <f>$D$8</f>
        <v>626.99282292543035</v>
      </c>
      <c r="N7">
        <f>$E$8</f>
        <v>0.54378773604345199</v>
      </c>
    </row>
    <row r="8" spans="1:14">
      <c r="A8" t="s">
        <v>119</v>
      </c>
      <c r="D8">
        <f>D6*(interest_rate+D7)</f>
        <v>626.99282292543035</v>
      </c>
      <c r="E8">
        <f>E6+E7</f>
        <v>0.54378773604345199</v>
      </c>
      <c r="H8" s="38"/>
      <c r="L8" s="28" t="s">
        <v>60</v>
      </c>
      <c r="M8" s="26">
        <f>PRODUCT(M3:M7)</f>
        <v>1.3990110401394262E+26</v>
      </c>
      <c r="N8" s="26">
        <f>SUM(N3:N7)</f>
        <v>3.3748522472967784</v>
      </c>
    </row>
    <row r="9" spans="1:14">
      <c r="H9" s="3"/>
      <c r="L9" s="33" t="s">
        <v>97</v>
      </c>
      <c r="M9" s="34">
        <f>ParetoPosterior(median,alpha,M8:N8)</f>
        <v>2.371027909080873E+18</v>
      </c>
    </row>
    <row r="10" spans="1:14">
      <c r="L10" s="33" t="s">
        <v>85</v>
      </c>
      <c r="M10" s="35" t="str">
        <f>LognormPosterior(mu_factory_farming,sigma_factory_farming,M8:N8)</f>
        <v>disabled</v>
      </c>
      <c r="N10" s="38" t="s">
        <v>229</v>
      </c>
    </row>
    <row r="11" spans="1:14" ht="20">
      <c r="A11" s="7" t="s">
        <v>67</v>
      </c>
      <c r="M11" s="39"/>
      <c r="N11" s="3"/>
    </row>
    <row r="12" spans="1:14">
      <c r="A12" s="1" t="s">
        <v>147</v>
      </c>
      <c r="B12" t="s">
        <v>2</v>
      </c>
      <c r="C12" t="s">
        <v>34</v>
      </c>
      <c r="M12" s="3"/>
    </row>
    <row r="13" spans="1:14">
      <c r="A13" t="s">
        <v>232</v>
      </c>
      <c r="B13">
        <f>H5</f>
        <v>15083.103128998355</v>
      </c>
      <c r="C13">
        <f>I5</f>
        <v>0.59504262895320126</v>
      </c>
      <c r="G13" s="1" t="s">
        <v>88</v>
      </c>
      <c r="L13" s="1" t="s">
        <v>102</v>
      </c>
      <c r="N13" s="4"/>
    </row>
    <row r="14" spans="1:14">
      <c r="B14">
        <f>M8</f>
        <v>1.3990110401394262E+26</v>
      </c>
      <c r="C14">
        <f>N8</f>
        <v>3.3748522472967784</v>
      </c>
      <c r="H14" t="s">
        <v>2</v>
      </c>
      <c r="I14" t="s">
        <v>34</v>
      </c>
      <c r="L14" s="4"/>
      <c r="M14" s="4" t="s">
        <v>2</v>
      </c>
      <c r="N14" s="4" t="s">
        <v>34</v>
      </c>
    </row>
    <row r="15" spans="1:14">
      <c r="B15">
        <f>H20</f>
        <v>6.2919983766212771E+27</v>
      </c>
      <c r="C15">
        <f>I20</f>
        <v>4.0650043203329673</v>
      </c>
      <c r="G15" t="s">
        <v>90</v>
      </c>
      <c r="H15">
        <f>VLOOKUP($G15,'EV of Far Future'!$O$3:$P$10,2,FALSE)</f>
        <v>0.22399999999999998</v>
      </c>
      <c r="I15">
        <v>0</v>
      </c>
      <c r="L15" t="s">
        <v>90</v>
      </c>
      <c r="M15">
        <f>VLOOKUP($G15,'EV of Far Future'!$O$3:$P$10,2,FALSE)</f>
        <v>0.22399999999999998</v>
      </c>
      <c r="N15">
        <v>0</v>
      </c>
    </row>
    <row r="16" spans="1:14">
      <c r="B16">
        <f>H30</f>
        <v>9.9485229521025843E+30</v>
      </c>
      <c r="C16">
        <f>I30</f>
        <v>4.5551563933691579</v>
      </c>
      <c r="G16" s="4" t="s">
        <v>86</v>
      </c>
      <c r="H16" s="2">
        <v>0.1</v>
      </c>
      <c r="I16">
        <v>0</v>
      </c>
      <c r="J16" t="s">
        <v>87</v>
      </c>
      <c r="L16" s="4" t="s">
        <v>103</v>
      </c>
      <c r="M16" s="2">
        <v>0.04</v>
      </c>
      <c r="N16">
        <v>0</v>
      </c>
    </row>
    <row r="17" spans="1:14">
      <c r="B17">
        <f>H40</f>
        <v>3.5392490868494674E+29</v>
      </c>
      <c r="C17">
        <f>I40</f>
        <v>5.7256126124777253</v>
      </c>
      <c r="G17" s="4" t="s">
        <v>72</v>
      </c>
      <c r="H17">
        <f>VLOOKUP($G17,'EV of Far Future'!$K$3:$N$10,2,FALSE)</f>
        <v>8.9599999999999976E+36</v>
      </c>
      <c r="I17">
        <f>VLOOKUP($G17,'EV of Far Future'!$K$3:$N$10,3,FALSE)</f>
        <v>3.5212165842895158</v>
      </c>
      <c r="L17" s="4" t="s">
        <v>72</v>
      </c>
      <c r="M17">
        <f>VLOOKUP($G17,'EV of Far Future'!$K$3:$N$10,2,FALSE)</f>
        <v>8.9599999999999976E+36</v>
      </c>
      <c r="N17">
        <f>VLOOKUP($G17,'EV of Far Future'!$K$3:$N$10,3,FALSE)</f>
        <v>3.5212165842895158</v>
      </c>
    </row>
    <row r="18" spans="1:14">
      <c r="A18" t="s">
        <v>233</v>
      </c>
      <c r="G18" s="4" t="s">
        <v>82</v>
      </c>
      <c r="H18">
        <f>1/factory_farmed_animals</f>
        <v>5.0000000000000002E-11</v>
      </c>
      <c r="I18">
        <v>0</v>
      </c>
      <c r="L18" s="4" t="s">
        <v>82</v>
      </c>
      <c r="M18">
        <f>1/factory_farmed_animals</f>
        <v>5.0000000000000002E-11</v>
      </c>
      <c r="N18">
        <v>0</v>
      </c>
    </row>
    <row r="19" spans="1:14">
      <c r="G19" s="4" t="s">
        <v>119</v>
      </c>
      <c r="H19">
        <f>$D$8</f>
        <v>626.99282292543035</v>
      </c>
      <c r="I19">
        <f>$E$8</f>
        <v>0.54378773604345199</v>
      </c>
      <c r="L19" s="4" t="s">
        <v>119</v>
      </c>
      <c r="M19">
        <f>$D$8</f>
        <v>626.99282292543035</v>
      </c>
      <c r="N19">
        <f>$E$8</f>
        <v>0.54378773604345199</v>
      </c>
    </row>
    <row r="20" spans="1:14">
      <c r="G20" s="28" t="s">
        <v>60</v>
      </c>
      <c r="H20" s="26">
        <f>PRODUCT(H15:H19)</f>
        <v>6.2919983766212771E+27</v>
      </c>
      <c r="I20" s="26">
        <f>SUM(I15:I19)</f>
        <v>4.0650043203329673</v>
      </c>
      <c r="L20" s="28" t="s">
        <v>60</v>
      </c>
      <c r="M20" s="26">
        <f>-PRODUCT(M15:M19)</f>
        <v>-2.5167993506485105E+27</v>
      </c>
      <c r="N20" s="26">
        <f>SUM(N15:N19)</f>
        <v>4.0650043203329673</v>
      </c>
    </row>
    <row r="21" spans="1:14">
      <c r="G21" s="4"/>
      <c r="H21" s="4"/>
      <c r="L21" s="4"/>
      <c r="M21" s="4"/>
    </row>
    <row r="22" spans="1:14">
      <c r="A22" s="30" t="s">
        <v>105</v>
      </c>
      <c r="B22" s="5"/>
      <c r="G22" s="4"/>
      <c r="H22" s="38"/>
      <c r="L22" s="4"/>
      <c r="M22" s="38"/>
    </row>
    <row r="23" spans="1:14">
      <c r="A23" s="30" t="s">
        <v>106</v>
      </c>
      <c r="B23" s="5" t="str">
        <f>LognormPosterior(mu_factory_farming,sigma_factory_farming,B14:C17)</f>
        <v>disabled</v>
      </c>
      <c r="G23" s="1" t="s">
        <v>101</v>
      </c>
      <c r="L23" s="1" t="s">
        <v>104</v>
      </c>
    </row>
    <row r="24" spans="1:14">
      <c r="B24" s="5" t="str">
        <f>LognormPosterior(mu_factory_farming,sigma_factory_farming,B15:C15)</f>
        <v>disabled</v>
      </c>
      <c r="H24" t="s">
        <v>2</v>
      </c>
      <c r="I24" t="s">
        <v>34</v>
      </c>
      <c r="M24" t="s">
        <v>2</v>
      </c>
      <c r="N24" t="s">
        <v>34</v>
      </c>
    </row>
    <row r="25" spans="1:14">
      <c r="B25" s="5" t="str">
        <f>LognormPosterior(mu_factory_farming,sigma_factory_farming,B16:C16)</f>
        <v>disabled</v>
      </c>
      <c r="G25" t="s">
        <v>91</v>
      </c>
      <c r="H25">
        <f>VLOOKUP($G25,'EV of Far Future'!$O$3:$P$10,2,FALSE)</f>
        <v>0.22399999999999998</v>
      </c>
      <c r="I25">
        <v>0</v>
      </c>
      <c r="L25" t="s">
        <v>91</v>
      </c>
      <c r="M25">
        <f>VLOOKUP($G25,'EV of Far Future'!$O$3:$P$10,2,FALSE)</f>
        <v>0.22399999999999998</v>
      </c>
      <c r="N25">
        <v>0</v>
      </c>
    </row>
    <row r="26" spans="1:14">
      <c r="B26" s="5" t="str">
        <f>LognormPosterior(mu_factory_farming,sigma_factory_farming,B17:C17)</f>
        <v>disabled</v>
      </c>
      <c r="C26" s="4"/>
      <c r="D26" s="4"/>
      <c r="G26" s="4" t="s">
        <v>86</v>
      </c>
      <c r="H26" s="2">
        <v>0.05</v>
      </c>
      <c r="I26">
        <v>0</v>
      </c>
      <c r="L26" s="4" t="s">
        <v>103</v>
      </c>
      <c r="M26" s="2">
        <v>0.01</v>
      </c>
      <c r="N26">
        <v>0</v>
      </c>
    </row>
    <row r="27" spans="1:14">
      <c r="B27" s="5"/>
      <c r="D27" s="4"/>
      <c r="G27" s="4" t="s">
        <v>73</v>
      </c>
      <c r="H27">
        <f>VLOOKUP($G27,'EV of Far Future'!$K$3:$N$10,2,FALSE)</f>
        <v>2.8334007835108666E+40</v>
      </c>
      <c r="I27">
        <f>VLOOKUP($G27,'EV of Far Future'!$K$3:$N$10,3,FALSE)</f>
        <v>4.0113686573257059</v>
      </c>
      <c r="L27" s="4" t="s">
        <v>73</v>
      </c>
      <c r="M27">
        <f>VLOOKUP($G27,'EV of Far Future'!$K$3:$N$10,2,FALSE)</f>
        <v>2.8334007835108666E+40</v>
      </c>
      <c r="N27">
        <f>VLOOKUP($G27,'EV of Far Future'!$K$3:$N$10,3,FALSE)</f>
        <v>4.0113686573257059</v>
      </c>
    </row>
    <row r="28" spans="1:14">
      <c r="B28" s="4"/>
      <c r="D28" s="4"/>
      <c r="G28" s="4" t="s">
        <v>82</v>
      </c>
      <c r="H28">
        <f>1/factory_farmed_animals</f>
        <v>5.0000000000000002E-11</v>
      </c>
      <c r="I28">
        <v>0</v>
      </c>
      <c r="L28" s="4" t="s">
        <v>82</v>
      </c>
      <c r="M28">
        <f>1/factory_farmed_animals</f>
        <v>5.0000000000000002E-11</v>
      </c>
      <c r="N28">
        <v>0</v>
      </c>
    </row>
    <row r="29" spans="1:14">
      <c r="D29" s="4"/>
      <c r="G29" s="4" t="s">
        <v>119</v>
      </c>
      <c r="H29">
        <f>$D$8</f>
        <v>626.99282292543035</v>
      </c>
      <c r="I29">
        <f>$E$8</f>
        <v>0.54378773604345199</v>
      </c>
      <c r="L29" s="4" t="s">
        <v>119</v>
      </c>
      <c r="M29">
        <f>$D$8</f>
        <v>626.99282292543035</v>
      </c>
      <c r="N29">
        <f>$E$8</f>
        <v>0.54378773604345199</v>
      </c>
    </row>
    <row r="30" spans="1:14">
      <c r="A30" s="25"/>
      <c r="B30" s="4"/>
      <c r="G30" s="28" t="s">
        <v>60</v>
      </c>
      <c r="H30" s="26">
        <f>PRODUCT(H25:H29)</f>
        <v>9.9485229521025843E+30</v>
      </c>
      <c r="I30" s="26">
        <f>SUM(I25:I29)</f>
        <v>4.5551563933691579</v>
      </c>
      <c r="L30" s="28" t="s">
        <v>60</v>
      </c>
      <c r="M30" s="26">
        <f>-PRODUCT(M25:M29)</f>
        <v>-1.9897045904205165E+30</v>
      </c>
      <c r="N30" s="26">
        <f>SUM(N25:N29)</f>
        <v>4.5551563933691579</v>
      </c>
    </row>
    <row r="31" spans="1:14">
      <c r="A31" s="4"/>
      <c r="B31" s="4"/>
      <c r="G31" s="4"/>
      <c r="H31" s="4"/>
      <c r="L31" s="4"/>
      <c r="M31" s="4"/>
    </row>
    <row r="32" spans="1:14">
      <c r="A32" s="4"/>
      <c r="B32" s="4"/>
      <c r="G32" s="4"/>
      <c r="H32" s="38"/>
      <c r="L32" s="4"/>
      <c r="M32" s="38"/>
    </row>
    <row r="33" spans="7:14">
      <c r="G33" s="1" t="s">
        <v>96</v>
      </c>
      <c r="L33" s="1" t="s">
        <v>190</v>
      </c>
    </row>
    <row r="34" spans="7:14">
      <c r="H34" t="s">
        <v>2</v>
      </c>
      <c r="I34" t="s">
        <v>34</v>
      </c>
      <c r="M34" t="s">
        <v>2</v>
      </c>
      <c r="N34" t="s">
        <v>34</v>
      </c>
    </row>
    <row r="35" spans="7:14">
      <c r="G35" t="s">
        <v>92</v>
      </c>
      <c r="H35">
        <f>VLOOKUP($G35,'EV of Far Future'!$O$3:$P$10,2,FALSE)</f>
        <v>0.16799999999999998</v>
      </c>
      <c r="I35">
        <v>0</v>
      </c>
      <c r="L35" t="s">
        <v>92</v>
      </c>
      <c r="M35">
        <f>VLOOKUP($G35,'EV of Far Future'!$O$3:$P$10,2,FALSE)</f>
        <v>0.16799999999999998</v>
      </c>
      <c r="N35">
        <v>0</v>
      </c>
    </row>
    <row r="36" spans="7:14">
      <c r="G36" s="4" t="s">
        <v>86</v>
      </c>
      <c r="H36" s="2">
        <v>0.1</v>
      </c>
      <c r="I36">
        <v>0</v>
      </c>
      <c r="L36" s="4" t="s">
        <v>103</v>
      </c>
      <c r="M36" s="2">
        <v>0.01</v>
      </c>
      <c r="N36">
        <v>0</v>
      </c>
    </row>
    <row r="37" spans="7:14">
      <c r="G37" s="4" t="s">
        <v>74</v>
      </c>
      <c r="H37">
        <f>VLOOKUP($G37,'EV of Far Future'!$K$3:$N$10,2,FALSE)</f>
        <v>6.7199999999999966E+38</v>
      </c>
      <c r="I37">
        <f>VLOOKUP($G37,'EV of Far Future'!$K$3:$N$10,3,FALSE)</f>
        <v>5.1818248764342734</v>
      </c>
      <c r="L37" s="4" t="s">
        <v>74</v>
      </c>
      <c r="M37">
        <f>VLOOKUP($G37,'EV of Far Future'!$K$3:$N$10,2,FALSE)</f>
        <v>6.7199999999999966E+38</v>
      </c>
      <c r="N37">
        <f>VLOOKUP($G37,'EV of Far Future'!$K$3:$N$10,3,FALSE)</f>
        <v>5.1818248764342734</v>
      </c>
    </row>
    <row r="38" spans="7:14">
      <c r="G38" s="4" t="s">
        <v>82</v>
      </c>
      <c r="H38">
        <f>1/factory_farmed_animals</f>
        <v>5.0000000000000002E-11</v>
      </c>
      <c r="I38">
        <v>0</v>
      </c>
      <c r="L38" s="4" t="s">
        <v>82</v>
      </c>
      <c r="M38">
        <f>1/factory_farmed_animals</f>
        <v>5.0000000000000002E-11</v>
      </c>
      <c r="N38">
        <v>0</v>
      </c>
    </row>
    <row r="39" spans="7:14">
      <c r="G39" s="4" t="s">
        <v>119</v>
      </c>
      <c r="H39">
        <f>$D$8</f>
        <v>626.99282292543035</v>
      </c>
      <c r="I39">
        <f>$E$8</f>
        <v>0.54378773604345199</v>
      </c>
      <c r="L39" s="4" t="s">
        <v>119</v>
      </c>
      <c r="M39">
        <f>$D$8</f>
        <v>626.99282292543035</v>
      </c>
      <c r="N39">
        <f>$E$8</f>
        <v>0.54378773604345199</v>
      </c>
    </row>
    <row r="40" spans="7:14">
      <c r="G40" s="28" t="s">
        <v>60</v>
      </c>
      <c r="H40" s="26">
        <f>PRODUCT(H35:H39)</f>
        <v>3.5392490868494674E+29</v>
      </c>
      <c r="I40" s="26">
        <f>SUM(I35:I39)</f>
        <v>5.7256126124777253</v>
      </c>
      <c r="L40" s="28" t="s">
        <v>60</v>
      </c>
      <c r="M40" s="26">
        <f>-PRODUCT(M35:M39)</f>
        <v>-3.5392490868494672E+28</v>
      </c>
      <c r="N40" s="26">
        <f>SUM(N35:N39)</f>
        <v>5.7256126124777253</v>
      </c>
    </row>
    <row r="45" spans="7:14">
      <c r="G45" s="4"/>
      <c r="H45" s="4"/>
      <c r="L45" s="4"/>
      <c r="M45" s="4"/>
    </row>
    <row r="46" spans="7:14">
      <c r="G46" s="4"/>
      <c r="H46" s="38"/>
      <c r="L46" s="4"/>
      <c r="M46" s="38"/>
    </row>
    <row r="47" spans="7:14">
      <c r="H47" s="39"/>
      <c r="M47" s="39"/>
    </row>
    <row r="48" spans="7:14">
      <c r="M48" s="3"/>
    </row>
    <row r="50" spans="6:16">
      <c r="I50" s="3"/>
    </row>
    <row r="52" spans="6:16">
      <c r="F52">
        <v>4000</v>
      </c>
      <c r="G52">
        <v>1</v>
      </c>
      <c r="H52">
        <f>LognormPosterior(mu_factory_farming,sigma_factory_farming,F52:G52)</f>
        <v>18.123429287799862</v>
      </c>
      <c r="I52">
        <v>11</v>
      </c>
      <c r="J52">
        <v>0.5</v>
      </c>
      <c r="K52">
        <f>LognormPosterior(mu_factory_farming,sigma_factory_farming,I52:J52)</f>
        <v>4.7522582040534349</v>
      </c>
      <c r="M52">
        <v>4000</v>
      </c>
      <c r="N52">
        <v>1</v>
      </c>
      <c r="O52">
        <f>LognormPosterior(mu_factory_farming,sigma_factory_farming,M52:N52)</f>
        <v>18.123429287799862</v>
      </c>
    </row>
    <row r="53" spans="6:16">
      <c r="F53">
        <v>4000</v>
      </c>
      <c r="G53">
        <v>1</v>
      </c>
      <c r="I53" s="43">
        <v>11</v>
      </c>
      <c r="J53">
        <v>0.5</v>
      </c>
      <c r="M53">
        <v>8000</v>
      </c>
      <c r="N53">
        <v>1</v>
      </c>
      <c r="O53">
        <f>LognormPosterior(mu_factory_farming,sigma_factory_farming,M53:N53)</f>
        <v>21.773326661952542</v>
      </c>
      <c r="P53">
        <v>22.06</v>
      </c>
    </row>
    <row r="54" spans="6:16">
      <c r="F54">
        <v>4000</v>
      </c>
      <c r="G54">
        <v>1</v>
      </c>
      <c r="I54" s="43">
        <v>11</v>
      </c>
      <c r="J54">
        <v>0.5</v>
      </c>
      <c r="M54">
        <v>8000</v>
      </c>
      <c r="N54">
        <v>0.56999999999999995</v>
      </c>
      <c r="O54">
        <f>LognormPosterior(mu_factory_farming,sigma_factory_farming,M54:N54)</f>
        <v>58.197010077938451</v>
      </c>
      <c r="P54">
        <v>59.33</v>
      </c>
    </row>
    <row r="55" spans="6:16">
      <c r="F55">
        <v>4000</v>
      </c>
      <c r="G55">
        <v>1</v>
      </c>
      <c r="I55" s="43">
        <v>11</v>
      </c>
      <c r="J55">
        <v>0.5</v>
      </c>
    </row>
    <row r="56" spans="6:16">
      <c r="F56">
        <v>4000</v>
      </c>
      <c r="G56">
        <v>1</v>
      </c>
      <c r="I56" s="43">
        <v>11</v>
      </c>
      <c r="J56">
        <v>0.5</v>
      </c>
    </row>
    <row r="58" spans="6:16">
      <c r="F58">
        <f>LognormPosterior(mu_factory_farming,sigma_factory_farming,F52:G53)</f>
        <v>18.123429287799862</v>
      </c>
      <c r="G58">
        <v>58.93</v>
      </c>
      <c r="I58">
        <f>LognormPosterior(mu_factory_farming,sigma_factory_farming,I52:J53)</f>
        <v>4.7522582040534349</v>
      </c>
      <c r="J58">
        <v>6.0650000000000004</v>
      </c>
    </row>
    <row r="59" spans="6:16">
      <c r="F59">
        <f>LognormPosterior(mu_factory_farming,sigma_factory_farming,F52:G54)</f>
        <v>18.123429287799862</v>
      </c>
      <c r="G59">
        <v>131.93</v>
      </c>
      <c r="I59">
        <f>LognormPosterior(mu_factory_farming,sigma_factory_farming,I52:J54)</f>
        <v>4.7522582040534349</v>
      </c>
      <c r="J59">
        <v>7.48</v>
      </c>
    </row>
    <row r="60" spans="6:16">
      <c r="F60">
        <f>LognormPosterior(mu_factory_farming,sigma_factory_farming,F52:G55)</f>
        <v>18.123429287799862</v>
      </c>
      <c r="G60">
        <v>218.87</v>
      </c>
      <c r="I60">
        <f>LognormPosterior(mu_factory_farming,sigma_factory_farming,I52:J55)</f>
        <v>4.7522582040534349</v>
      </c>
      <c r="J60">
        <v>7.9210000000000003</v>
      </c>
    </row>
    <row r="61" spans="6:16">
      <c r="F61">
        <f>LognormPosterior(mu_factory_farming,sigma_factory_farming,F52:G56)</f>
        <v>18.123429287799862</v>
      </c>
      <c r="G61">
        <v>335.84</v>
      </c>
      <c r="I61">
        <f>LognormPosterior(mu_factory_farming,sigma_factory_farming,I52:J56)</f>
        <v>4.7522582040534349</v>
      </c>
      <c r="J61">
        <v>8.7710000000000008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21"/>
  <sheetViews>
    <sheetView workbookViewId="0">
      <selection activeCell="H19" sqref="H19"/>
    </sheetView>
  </sheetViews>
  <sheetFormatPr baseColWidth="10" defaultRowHeight="15" x14ac:dyDescent="0"/>
  <cols>
    <col min="1" max="1" width="21.6640625" customWidth="1"/>
    <col min="2" max="3" width="12.1640625" bestFit="1" customWidth="1"/>
    <col min="8" max="8" width="21.6640625" customWidth="1"/>
    <col min="9" max="9" width="12.1640625" bestFit="1" customWidth="1"/>
    <col min="11" max="11" width="12.1640625" bestFit="1" customWidth="1"/>
  </cols>
  <sheetData>
    <row r="1" spans="1:12" ht="20">
      <c r="A1" s="7" t="s">
        <v>194</v>
      </c>
      <c r="H1" s="7" t="s">
        <v>177</v>
      </c>
    </row>
    <row r="2" spans="1:12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  <c r="K2" t="s">
        <v>0</v>
      </c>
      <c r="L2" t="s">
        <v>1</v>
      </c>
    </row>
    <row r="3" spans="1:12">
      <c r="A3" s="29" t="s">
        <v>195</v>
      </c>
      <c r="B3" s="15">
        <v>0.2</v>
      </c>
      <c r="C3" s="15">
        <v>2</v>
      </c>
      <c r="D3">
        <f>GEOMEAN(B3,C3)</f>
        <v>0.63245553203367588</v>
      </c>
      <c r="E3">
        <f>LogVariance(B3,C3)</f>
        <v>0.39015207303618948</v>
      </c>
      <c r="H3" t="s">
        <v>199</v>
      </c>
      <c r="I3">
        <f>D3*D8*D9</f>
        <v>1.4907119849998599E-3</v>
      </c>
      <c r="J3">
        <f>E3+E8+E9</f>
        <v>0.50759954989056688</v>
      </c>
      <c r="K3">
        <f>10^_xlfn.NORM.INV(0.1,LOG10(I3),J3)</f>
        <v>3.3333333333333305E-4</v>
      </c>
      <c r="L3">
        <f>10^_xlfn.NORM.INV(0.9,LOG10(I3),J3)</f>
        <v>6.6666666666666628E-3</v>
      </c>
    </row>
    <row r="4" spans="1:12">
      <c r="A4" s="29" t="s">
        <v>196</v>
      </c>
      <c r="B4" s="15">
        <v>0.1</v>
      </c>
      <c r="C4" s="15">
        <v>0.4</v>
      </c>
      <c r="D4">
        <f>GEOMEAN(B4,C4)</f>
        <v>0.2</v>
      </c>
      <c r="E4">
        <f>LogVariance(B4,C4)</f>
        <v>0.23489495370875477</v>
      </c>
      <c r="H4" t="s">
        <v>200</v>
      </c>
      <c r="I4">
        <f>D4*D8*D9</f>
        <v>4.7140452079103175E-4</v>
      </c>
      <c r="J4">
        <f>E4+E8+E9</f>
        <v>0.35234243056313214</v>
      </c>
      <c r="K4">
        <f>10^_xlfn.NORM.INV(0.1,LOG10(I4),J4)</f>
        <v>1.666666666666665E-4</v>
      </c>
      <c r="L4">
        <f>10^_xlfn.NORM.INV(0.9,LOG10(I4),J4)</f>
        <v>1.3333333333333324E-3</v>
      </c>
    </row>
    <row r="5" spans="1:12">
      <c r="A5" s="29" t="s">
        <v>197</v>
      </c>
      <c r="B5" s="15">
        <v>10</v>
      </c>
      <c r="C5" s="15">
        <v>10</v>
      </c>
      <c r="H5" t="s">
        <v>203</v>
      </c>
      <c r="I5">
        <f>'Veg Ads'!M8</f>
        <v>1.3990110401394262E+26</v>
      </c>
      <c r="J5">
        <f>'Veg Ads'!N8</f>
        <v>3.3748522472967784</v>
      </c>
    </row>
    <row r="6" spans="1:12">
      <c r="A6" s="29" t="s">
        <v>198</v>
      </c>
      <c r="B6" s="15">
        <v>30000</v>
      </c>
      <c r="C6" s="15">
        <v>60000</v>
      </c>
      <c r="H6" s="28" t="s">
        <v>204</v>
      </c>
      <c r="I6" s="26">
        <f>I5*(1+K3)</f>
        <v>1.399477377152806E+26</v>
      </c>
      <c r="J6" s="26">
        <f>J5*(1-K4)</f>
        <v>3.3742897719222289</v>
      </c>
    </row>
    <row r="7" spans="1:12">
      <c r="A7" s="29" t="s">
        <v>221</v>
      </c>
      <c r="B7" s="15">
        <v>500</v>
      </c>
      <c r="C7" s="15">
        <v>5000</v>
      </c>
      <c r="D7">
        <f>GEOMEAN(B7,C7)</f>
        <v>1581.1388300841897</v>
      </c>
      <c r="E7">
        <f>LogVariance(B7,C7)</f>
        <v>0.39015207303618948</v>
      </c>
      <c r="H7" s="28" t="s">
        <v>205</v>
      </c>
      <c r="I7" s="26">
        <f>I5*(1+I3)</f>
        <v>1.4010965626641091E+26</v>
      </c>
      <c r="J7" s="26">
        <f>J5*(1-I4)</f>
        <v>3.3732613266904008</v>
      </c>
    </row>
    <row r="8" spans="1:12">
      <c r="A8" s="4" t="s">
        <v>201</v>
      </c>
      <c r="B8">
        <f>1/C5</f>
        <v>0.1</v>
      </c>
      <c r="C8">
        <f>1/B5</f>
        <v>0.1</v>
      </c>
      <c r="D8">
        <f>GEOMEAN(B8,C8)</f>
        <v>0.1</v>
      </c>
      <c r="E8">
        <f>LogVariance(B5,C5)</f>
        <v>0</v>
      </c>
      <c r="H8" s="28" t="s">
        <v>206</v>
      </c>
      <c r="I8" s="26">
        <f>I5*(1+L3)</f>
        <v>1.4083377804070222E+26</v>
      </c>
      <c r="J8" s="26">
        <f>J5*(1-L4)</f>
        <v>3.3703524443003827</v>
      </c>
    </row>
    <row r="9" spans="1:12">
      <c r="A9" s="4" t="s">
        <v>169</v>
      </c>
      <c r="B9">
        <f>1000/C6</f>
        <v>1.6666666666666666E-2</v>
      </c>
      <c r="C9">
        <f>1000/B6</f>
        <v>3.3333333333333333E-2</v>
      </c>
      <c r="D9">
        <f>GEOMEAN(B9,C9)</f>
        <v>2.3570226039551584E-2</v>
      </c>
      <c r="E9">
        <f>LogVariance(B9,C9)</f>
        <v>0.11744747685437738</v>
      </c>
      <c r="H9" s="4" t="s">
        <v>213</v>
      </c>
      <c r="I9">
        <f>I6*$D$7</f>
        <v>2.2127680228406781E+29</v>
      </c>
      <c r="J9" s="4">
        <f>J6+$E$7</f>
        <v>3.7644418449584185</v>
      </c>
    </row>
    <row r="10" spans="1:12">
      <c r="H10" s="4" t="s">
        <v>215</v>
      </c>
      <c r="I10">
        <f t="shared" ref="I10:I11" si="0">I7*$D$7</f>
        <v>2.215328179925709E+29</v>
      </c>
      <c r="J10" s="4">
        <f t="shared" ref="J10:J11" si="1">J7+$E$7</f>
        <v>3.7634133997265904</v>
      </c>
    </row>
    <row r="11" spans="1:12">
      <c r="H11" s="4" t="s">
        <v>214</v>
      </c>
      <c r="I11">
        <f t="shared" si="0"/>
        <v>2.2267775504761237E+29</v>
      </c>
      <c r="J11" s="4">
        <f t="shared" si="1"/>
        <v>3.7605045173365723</v>
      </c>
    </row>
    <row r="12" spans="1:12">
      <c r="H12" s="33" t="s">
        <v>202</v>
      </c>
      <c r="I12" s="34" t="e">
        <f>LognormPosterior(mu,sigma,I5,J5)</f>
        <v>#VALUE!</v>
      </c>
    </row>
    <row r="13" spans="1:12">
      <c r="H13" s="33" t="s">
        <v>207</v>
      </c>
      <c r="I13" s="34" t="e">
        <f>LognormPosterior(mu,sigma,I9,J9)</f>
        <v>#VALUE!</v>
      </c>
    </row>
    <row r="14" spans="1:12">
      <c r="H14" s="33" t="s">
        <v>208</v>
      </c>
      <c r="I14" s="34" t="e">
        <f>LognormPosterior(mu,sigma,I10,J10)</f>
        <v>#VALUE!</v>
      </c>
    </row>
    <row r="15" spans="1:12">
      <c r="H15" s="33" t="s">
        <v>209</v>
      </c>
      <c r="I15" s="34" t="e">
        <f>LognormPosterior(mu,sigma,I11,J11)</f>
        <v>#VALUE!</v>
      </c>
    </row>
    <row r="16" spans="1:12">
      <c r="H16" s="30" t="s">
        <v>210</v>
      </c>
      <c r="I16" s="5" t="e">
        <f>I13-$I$12</f>
        <v>#VALUE!</v>
      </c>
    </row>
    <row r="17" spans="8:9">
      <c r="H17" s="30" t="s">
        <v>211</v>
      </c>
      <c r="I17" s="5" t="e">
        <f>I14-$I$12</f>
        <v>#VALUE!</v>
      </c>
    </row>
    <row r="18" spans="8:9">
      <c r="H18" s="30" t="s">
        <v>212</v>
      </c>
      <c r="I18" s="5" t="e">
        <f>I15-$I$12</f>
        <v>#VALUE!</v>
      </c>
    </row>
    <row r="19" spans="8:9">
      <c r="H19" s="4"/>
      <c r="I19" s="37"/>
    </row>
    <row r="20" spans="8:9">
      <c r="H20" s="4"/>
      <c r="I20" s="37"/>
    </row>
    <row r="21" spans="8:9">
      <c r="H21" s="4"/>
      <c r="I21" s="37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P32"/>
  <sheetViews>
    <sheetView topLeftCell="B1" workbookViewId="0">
      <selection activeCell="N23" sqref="N23"/>
    </sheetView>
  </sheetViews>
  <sheetFormatPr baseColWidth="10" defaultRowHeight="15" x14ac:dyDescent="0"/>
  <cols>
    <col min="1" max="1" width="21.6640625" customWidth="1"/>
    <col min="2" max="2" width="12.83203125" bestFit="1" customWidth="1"/>
    <col min="3" max="3" width="12.1640625" bestFit="1" customWidth="1"/>
    <col min="4" max="4" width="12.83203125" bestFit="1" customWidth="1"/>
    <col min="7" max="7" width="21.6640625" customWidth="1"/>
    <col min="10" max="10" width="12.1640625" bestFit="1" customWidth="1"/>
    <col min="13" max="13" width="21.6640625" customWidth="1"/>
    <col min="14" max="15" width="12.1640625" bestFit="1" customWidth="1"/>
  </cols>
  <sheetData>
    <row r="1" spans="1:16">
      <c r="A1" s="1" t="s">
        <v>135</v>
      </c>
      <c r="B1" t="s">
        <v>159</v>
      </c>
      <c r="G1" s="1" t="s">
        <v>132</v>
      </c>
      <c r="H1" t="s">
        <v>159</v>
      </c>
      <c r="M1" s="1" t="s">
        <v>139</v>
      </c>
    </row>
    <row r="2" spans="1:16">
      <c r="B2" t="s">
        <v>0</v>
      </c>
      <c r="C2" t="s">
        <v>1</v>
      </c>
      <c r="D2" t="s">
        <v>2</v>
      </c>
      <c r="E2" t="s">
        <v>3</v>
      </c>
      <c r="H2" t="s">
        <v>0</v>
      </c>
      <c r="I2" t="s">
        <v>1</v>
      </c>
      <c r="J2" t="s">
        <v>2</v>
      </c>
      <c r="K2" t="s">
        <v>3</v>
      </c>
      <c r="N2" t="s">
        <v>2</v>
      </c>
      <c r="O2" t="s">
        <v>3</v>
      </c>
    </row>
    <row r="3" spans="1:16">
      <c r="A3" s="29" t="s">
        <v>127</v>
      </c>
      <c r="B3" s="15">
        <v>70000</v>
      </c>
      <c r="C3" s="15">
        <v>150000</v>
      </c>
      <c r="G3" s="29" t="s">
        <v>121</v>
      </c>
      <c r="H3" s="15">
        <v>0.03</v>
      </c>
      <c r="I3" s="15">
        <v>0.3</v>
      </c>
      <c r="J3">
        <f>GEOMEAN(H3,I3)</f>
        <v>9.4868329805051374E-2</v>
      </c>
      <c r="K3">
        <f>LogVariance(H3,I3)</f>
        <v>0.39015207303618948</v>
      </c>
      <c r="L3" t="s">
        <v>157</v>
      </c>
      <c r="M3" t="s">
        <v>136</v>
      </c>
      <c r="N3">
        <f>J20</f>
        <v>3.6184352162446591E-7</v>
      </c>
      <c r="O3">
        <f>K20</f>
        <v>1.8154605085273885</v>
      </c>
    </row>
    <row r="4" spans="1:16">
      <c r="A4" t="s">
        <v>128</v>
      </c>
      <c r="B4">
        <f>1/C3</f>
        <v>6.6666666666666666E-6</v>
      </c>
      <c r="C4">
        <f>1/B3</f>
        <v>1.4285714285714285E-5</v>
      </c>
      <c r="D4">
        <f>GEOMEAN(B4,C4)</f>
        <v>9.7590007294853309E-6</v>
      </c>
      <c r="E4">
        <f>LogVariance(B4,C4)</f>
        <v>0.12913769056993327</v>
      </c>
      <c r="G4" s="29" t="s">
        <v>125</v>
      </c>
      <c r="H4" s="15">
        <v>200</v>
      </c>
      <c r="I4" s="15">
        <v>10000</v>
      </c>
      <c r="M4" s="4" t="s">
        <v>134</v>
      </c>
      <c r="N4">
        <f>'EV of Far Future'!L8</f>
        <v>6.3245553203367595E+46</v>
      </c>
      <c r="O4">
        <f>'EV of Far Future'!M8</f>
        <v>4.3113686573257057</v>
      </c>
      <c r="P4" t="s">
        <v>242</v>
      </c>
    </row>
    <row r="5" spans="1:16">
      <c r="G5" s="4" t="s">
        <v>167</v>
      </c>
      <c r="H5">
        <f>1/I4</f>
        <v>1E-4</v>
      </c>
      <c r="I5">
        <f>1/H4</f>
        <v>5.0000000000000001E-3</v>
      </c>
      <c r="J5">
        <f>GEOMEAN(H5,I5)</f>
        <v>7.0710678118654762E-4</v>
      </c>
      <c r="K5">
        <f>LogVariance(H5,I5)</f>
        <v>0.66285666921800146</v>
      </c>
      <c r="M5" s="28" t="s">
        <v>60</v>
      </c>
      <c r="N5" s="26" t="str">
        <f>'EV of Far Future'!L11</f>
        <v>0,2.22675120289531E-210,1.18849593336904E-209,6.32164724508722E-209,3.35096097123825E-208,1.7701702382941E-207,9.31895583210538E-207,4.88906741271895E-206,2.55617952187392E-205,1.33187427476846E-204,6.9157878674603E-204,3.57871117771658E-203,1.8455175933827E-202,9.4845402336331E-202,4.85759083152156E-201,2.47931741373381E-200,1.26110104285375E-199,6.39255086667359E-199,3.22927517275408E-198,1.62570772122919E-197,8.15617314441583E-197,4.07790363280881E-196,2.03186118445173E-195,1.00892216419581E-194,4.99261233366151E-194,2.46209372497852E-193,1.21000696678298E-192,5.92621923734164E-192,2.89250494827726E-191,1.40694480678061E-190,6.82003438877439E-190,3.29459945154518E-189,1.58608052513397E-188,7.60946978639819E-188,3.63822970083336E-187,1.73353408957476E-186,8.23154224554655E-186,3.89526124472148E-185,1.83695501926881E-184,8.63310469501381E-184,4.04335661564571E-183,1.88722482023975E-182,8.77832763212883E-182,4.06917610663124E-181,1.87978309271799E-180,8.65397320234177E-180,3.97036017974472E-179,1.8153100855233E-178,8.27138599230899E-178,3.75588519783226E-177,1.6996241126774E-176,7.6647856137407E-176,3.4447181534379E-175,1.54281527142546E-174,6.88621721728839E-174,3.06304981757131E-173,1.3577942218027E-172,5.99819258528345E-172,2.64066560442152E-171,1.15854515462237E-170,5.06546215848758E-170,2.207149439585E-169,9.58409160693735E-169,4.14740767375623E-168,1.78858280475672E-167,7.68684155037458E-167,3.29225420003176E-166,1.40522330999843E-165,5.97728389978998E-165,2.53378042005609E-164,1.07038649586407E-163,4.50628671449296E-163,1.89061706287271E-162,7.90487267888755E-162,3.29376597582983E-161,1.3677198573803E-160,5.65989167327021E-160,2.33413321930956E-159,9.59289549841777E-159,3.92898472986301E-158,1.60367929439398E-157,6.52320844705489E-157,2.64430499025784E-156,1.06823889373604E-155,4.3006270423594E-155,1.72544742283877E-154,6.89887430712005E-154,2.74891485562272E-153,1.09156825662902E-152,4.31963509144121E-152,1.70352996451571E-151,6.69513050733379E-151,2.62225468880101E-150,1.02352215493398E-149,3.98131168371767E-149,1.54334017872353E-148,5.96216101300413E-148,2.29536783521378E-147,8.80658307853042E-147,3.36720172190839E-146,1.28303170024926E-145,4.87205511076801E-145,1.84371399057352E-144,6.95314784330968E-144,2.61321973851845E-143,9.78761661576624E-143,3.65329315159237E-142,1.3589348912655E-141,5.0375495364357E-141,1.86100081623157E-140,6.85141621217132E-140,2.5137419447373E-139,9.19110201244599E-139,3.34904539598491E-138,1.21613289544391E-137,4.4009617202347E-137,1.58715996333445E-136,5.704273784599E-136,2.04308566976273E-135,7.292548849493E-135,2.59405195304511E-134,9.19569474315548E-134,3.24860550624581E-133,1.14371010846384E-132,4.01274439292947E-132,1.40305141834131E-131,4.88891212571841E-131,1.69768624094975E-130,5.87501770972839E-130,2.02613082963565E-129,6.96357637366522E-129,2.38508441706401E-128,8.14107433673922E-128,2.7692759833035E-127,9.38765912872125E-127,3.17142859561139E-126,1.06772427665144E-125,3.58236514232651E-125,1.19780780064087E-124,3.99126880061759E-124,1.32538292429077E-123,4.38609787144482E-123,1.44651126161525E-122,4.75413898003849E-122,1.55714294146395E-121,5.08266683450177E-121,1.65333689725046E-120,5.35966476620738E-120,1.73149183765617E-119,5.57455011695363E-119,1.78856922359726E-118,5.71884381935275E-118,1.82228907917814E-117,5.78672524329086E-117,1.83128106827744E-116,5.77542173098894E-116,1.81517688762793E-115,5.68539649100186E-115,1.77463529464021E-114,5.52031710576432E-114,1.71129739972385E-113,5.28680763660697E-113,1.62767645167424E-112,4.99400767762275E-112,1.52699243160611E-111,4.65297926185168E-111,1.4129666221402E-110,4.27601521942549E-110,1.28959439037776E-109,3.87590908845498E-109,1.16091542586096E-108,3.46524651679152E-108,1.03079960355778E-107,3.05577169359752E-107,9.02763762465523E-107,2.65787092121732E-106,7.79830482410234E-106,2.28020073871575E-105,6.64435013899932E-105,1.92947205306366E-104,5.58381509068293E-104,1.61038648528522E-103,4.62845195395456E-103,1.32570824119287E-102,3.78413573392135E-102,1.07644540713771E-101,3.05157371871525E-101,8.62109193300637E-101,2.42720937139356E-100,6.81018261574317E-100,1.9042187131328e-99,5.30617358513748e-99,1.47350845241379e-98,4.07784170394671e-98,1.12464290628918e-97,3.09104613431233e-97,8.46647985406631e-97,2.31103660890819e-96,6.28662166010086e-96,1.70425421768684e-95,4.6042403224396e-95,1.23961877103293e-94,3.32602000870063e-94,8.89340611348196e-94,2.36983410523605e-93,6.29324036382499e-93,1.66547166074319e-92,4.3924490086979e-92,1.15447029647326e-91,3.02388556448083e-91,7.89322519887981e-91,2.05328951359974e-90,5.32295063053799e-90,1.37518536150466e-89,3.54059781381303e-89,9.08444723001618e-89,2.32288104297786e-88,5.91918599106979e-88,1.5031542765017e-87,3.80409786014795e-87,9.59414677061813e-87,2.41139074043215e-86,6.03997823147919e-86,1.50768186645987e-85,3.75051237678329e-85,9.29775392852345e-85,2.29705845285773e-84,5.65552073455026e-84,1.38764924815614e-83,3.39307425521841e-83,8.26824956776025e-83,2.00789197156474e-82,4.85929945289849e-82,1.17196201727186e-81,2.81682562984417e-81,6.74703470754767e-81,1.61054357023264e-80,3.83123301046065e-80,9.08262131143428e-80,2.14580573634618e-79,5.05214899749968e-79,1.18540963288492e-78,2.77183457341601e-78,6.45911053050626e-78,1.49997727304859e-77,3.47138829616901e-77,8.00623372888143e-77,1.84017822599324e-76,4.21500470986071e-76,9.62150022717357e-76,2.18873951277369e-75,4.96194465048514e-75,1.12102760299926e-74,2.52398779627789e-74,5.66323715542832e-74,1.26633555315527e-73,2.82188561166274e-73,6.26666622194825e-73,1.38688444055315e-72,3.05879619657074e-72,6.72306578297641e-72,1.47262013230234e-71,3.21455351187837e-71,6.99289713089462e-71,1.51600339187915e-70,3.27529000510528e-70,7.05189602610703e-70,1.51310335563987e-69,3.23547346186479e-69,6.89467252029019e-69,1.46418514967729e-68,3.09873834256628e-68,6.53552330611319e-68,1.37366990306589e-67,2.87733846729748e-67,6.00628691533258e-67,1.24947551547101e-66,2.59033527427086e-66,5.35168770765153e-66,1.10187441545996e-65,2.26089289663317e-65,4.62311219373061e-65,9.4209658653912e-65,1.91321149254045e-64,3.87201548331076e-64,7.80940134908872e-64,1.56965769888993e-63,3.14411714958411e-63,6.27623270937803e-63,1.24854991653028e-62,2.47525151801277e-62,4.8903429302349e-62,9.6286599070518e-62,1.88929133836543e-61,3.69435455501682e-61,7.1992087484689e-61,1.39809767472161e-60,2.70580698640223e-60,5.21870403547214e-60,1.00307885424272e-59,1.92138340879689e-59,3.66774852242454e-59,6.97736783617007e-59,1.32278798214282e-58,2.49916779503135e-58,4.70551480898389e-58,8.82928278875643e-58,1.65101212487184e-57,3.07667520873017e-57,5.71372843300668e-57,1.05746034812863e-56,1.95036161724405e-56,3.5848645013059e-56,6.56654465856202e-56,1.19869201654264e-55,2.18064453353328e-55,3.9533812196252e-55,7.1426450091013e-55,1.286044483948e-54,2.30759436290285e-54,4.12638267440042e-54,7.35336437603407e-54,1.30589790698823e-53,2.31120739484895e-53,4.07638471535648e-53,7.16502919229129e-53,1.25506817543808e-52,2.19090337379025e-52,3.8114101346062e-52,6.60776665900674e-52,1.14164286212193e-51,1.96567804331804e-51,3.37288132737778e-51,5.76761535162828e-51,9.82874506671992e-51,1.66919242748996e-50,2.82501848878585e-50,4.76477872233005e-50,8.0088605616341e-50,1.34154511357723e-49,2.23947585574273e-49,3.7255812650373e-49,6.17658256104954e-49,1.02049061345284e-48,1.68025939125962e-48,2.75708529542833e-48,4.50848496916578e-48,7.34712796098636e-48,1.19319420374287e-47,1.93112870652311e-47,3.11471172734012e-47,5.00646344976588e-47,8.01956469565547e-47,1.28019785216576e-46,2.03661972990588e-46,3.22886102503487e-46,5.10146970935331e-46,8.03244620064631e-46,1.26039563977172e-45,1.97093595535401e-45,3.07145874287162e-45,4.77005529403358e-45,7.3825890503006e-45,1.13867694791395e-44,1.7502452856973e-44,2.68104348489958e-44,4.09275128059414e-44,6.22634816111381e-44,9.43969590088217e-44,1.42622866031829e-43,2.14746882885313e-43,3.2223382861308e-43,4.81861188750947e-43,7.18090725351385e-43,1.06645673414862e-42,1.57838780893162e-42,2.32804166359578e-42,3.42195530165925e-42,5.01261639183935e-42,7.3174735465543e-42,1.06454593459089e-41,1.54338474731126e-41,2.22992653646847e-41,3.21080152833182e-41,4.60726210616305e-41,6.58838443148064e-41,9.38904667873359e-41,1.3334312154811e-40,1.88723634059579e-40,2.66188027040564e-40,3.74159948759289e-40,5.24122291466517e-40,7.31668769957608e-40,1.01789494841286e-39,1.41123049790549e-39,1.94984236037717e-39,2.68477319174209e-39,3.68402236075076e-39,5.03782951000735e-39,6.86548508614387e-39,9.32407039374914e-39,1.26196239248148e-38,1.70213434738995e-38,2.28795675559563e-38,3.06484377065159e-38,4.09143282109637e-38,5.44313444591201e-38,7.21654380149915e-38,9.53489677879715e-38,1.25547853914729e-37,1.64743824719951e-37,2.15434646784002e-37,2.80755651448712e-37,3.64626323731982e-37,4.71926194777794e-37,6.08704766814252e-37,7.82430686791075e-37,1.0022858540768e-36,1.2795105770108e-36,1.62780625607672e-36,2.06380233623109e-36,2.60759440050002e-36,3.28336022924768e-36,4.12006037767859e-36,5.15222927726292e-36,6.4208619909922e-36,7.97440049231468e-36,9.86982163835689e-36,1.21738268176147e-35,1.49641305245024e-35,1.83308418110136e-35,2.23779286652865e-35,2.72247508612071e-35,3.30076417268698e-35,3.98815136330065e-35,4.80214558755763e-35,5.76242871233212e-35,6.89100178616289e-35,8.21231714675043e-35,9.75339059151284e-35,1.15438871894074e-34,1.36161737614919e-34,1.60053306102321e-34,1.87491147679521e-34,2.18878668989465e-34,2.54643540636641e-34,2.95235408716562e-34,3.41122821443358e-34,3.92789311058334e-34,4.50728583405087e-34,5.15438783104311e-34,5.87415821164062e-34,6.67145774006736e-34,7.55096388034481e-34,8.5170775159648e-34,9.5738222601825e-34,1.07247375850926e-33,1.19727673143904e-33,1.33201453369522e-33,1.47682806953171e-33,1.63176444732702e-33,1.79676611380539e-33,1.97166071733225e-33,2.15615199573483e-33,2.34981198867248e-33,2.55207487099433e-33,2.76223269108442e-33,2.97943327646242e-33,3.20268053773186e-33,3.43083736152058e-33,3.66263123385617e-33,3.89666267833706e-33,4.1314165297136e-33,4.36527599463518e-33,4.59653937918269e-33,4.82343928947085e-33,5.04416403932398e-33,5.25688093015099e-33,5.45976100503562e-33,5.6510048240027e-33,5.82886876253382e-33,5.99169130254925e-33,6.13791876575861e-33,6.26612993461521e-33,6.3750590167204e-33,6.46361643453482e-33,6.5309069632539e-33,6.57624479475989e-33,6.59916517322496e-33,6.59943232631302e-33,6.57704350270966e-33,6.53222901929283e-33,6.46544831681323e-33,6.37738211854483e-33,6.26892087905227e-33,6.14114979717151e-33,5.99533074589811e-33,5.83288153981651e-33,5.65535301607405e-33,5.46440444624592e-33,5.26177782281006e-33,5.04927157492348e-33,4.82871426387945e-33,4.60193878964477e-33,4.37075760732135e-33,4.13693940775369e-33,3.90218766166351e-33,3.66812136374698e-33,3.43625824440132e-33,3.20800064451915e-33,2.98462417545254e-33,2.76726921405971e-33,2.55693521378825e-33,2.35447774886503e-33,2.16060815140652e-33,1.97589555186604e-33,1.80077109257278e-33,1.63553405271993e-33,1.48035960120571e-33,1.33530788107823e-33,1.20033412554714e-33,1.07529950991648e-33,9.59982455472267e-34,8.54090119284299e-34,7.57269826908023e-34,6.69120231906907e-34,5.89202015760786e-34,5.17047972925488e-34,4.52172357484325e-34,3.94079399010124e-34,3.42270925094161e-34,2.96253055795079e-34,2.55541960467826e-34,2.19668689652043e-34,1.8818311368003e-34,1.60657015291411e-34,1.36686395822059e-34,1.15893063581351e-34,9.79255790437491e-35,8.24596347251081e-35,6.91979484066063e-35,5.78697470557436e-35,4.82299157344511e-35,4.00578813381244e-35,3.3156295522555e-35,2.73495749715419e-35,2.24823505293985e-35,1.84178699271556e-35,1.50363920882446e-35,1.22336044887382e-35,9.91908891010839e-36,8.01485526352022e-36,6.45395805483108e-36,5.1792055396417e-36,4.1419677030379e-36,3.30108588265612e-36,2.621884112772e-36,2.0752800645354e-36,1.63699174725083e-36,1.28683486582789e-36,1.00810484533544e-36,7.87036979605832e-37,6.12337883116356e-37,4.74781372945903e-37,3.66862033512656e-37,2.82499978828604e-37,2.16790688051691e-37,1.65794218292687e-37,1.26358567174817e-37,9.5972444635405e-38,7.26432014577044e-38,5.4796137601458e-38,4.11918666596378e-38,3.08588368209994e-38,2.30384992033139e-38,1.71409690391811e-38,1.27093432767015e-38,9.39112028506649e-39,6.91541503595553e-39,5.07487851201565e-39,3.71141572819128e-39,2.70495541516502e-39,1.9646589546816e-39,1.42206938376157e-39,1.02579588934878e-39,7.37407713074143e-40,5.28276085320377e-40,3.77155790206464e-40,2.6834107894496e-40,1.90265522167671e-40,1.34443430817134e-40,9.46728888361535e-41,6.64382562926854e-41,4.64640835375041e-41,3.23834473208939e-41,2.24923760495334e-41,1.55687643922071e-41,1.07393874373277e-41,7.38263552187575e-42,5.05766312656193e-42,3.45298684497639e-42,2.34934340234053e-42,1.59295913143765e-42,1.0763891690404e-42,7.24837340070094e-43,4.86427758437019e-43,3.25313957027901e-43,2.16817132217973e-43,1.44009468945368e-43,9.53224191184277e-44,6.28789984558908e-44,4.13354556458834e-44,2.7079858861117e-44,1.76797702599962e-44,1.15030601723225e-44,7.45858974036751e-45,4.81955122818677e-45,3.10358065223496e-45,1.99170963505006e-45,1.273783345759e-45,8.1184227385048e-46,5.15649155795388e-46,3.26395012414041e-46,2.05891904085943e-46,1.29431975487441e-46,8.10868525134255e-47,5.06250960182999e-47,3.14983518786596e-47,1.95306345748938e-47,1.20684482302455e-47,7.43178372884178e-48,4.56080230435869e-48,2.78930487303209e-48,1.70003270845967e-48,1.03258336076472e-48,6.25028068992306e-49,3.77033963516614e-49,2.26656396276023e-49,1.35788202330093e-49,8.10704627139093e-50,4.82358369303652e-50,2.86011528094102e-50,1.6900665721419e-50,9.95246454364345e-51,5.8406881637698e-51,3.41589060613509e-51,1.99090456193352e-51,1.1563877517483e-51,6.69365119986912e-52,3.86126160273675e-52,2.219739080644e-52,1.27168978793337e-52,7.26050774154818e-53,4.13103957422404e-53,2.34238496371357e-53,1.32362128150802e-53,7.45376616937249e-54,4.18306238177582e-54,2.33948072591447e-54,1.30392062652626e-54,7.24251482465444e-55,4.00898271520217e-55,2.21149279246515e-55,1.21574761520229e-55,6.66051603094246e-56,3.63646057140577e-56,1.9785928791684e-56,1.07285382514978e-56,5.79737268221969e-57,3.12196794114382e-57,1.67545285520899e-57,8.96071239513432e-58,4.77594611623527e-58,2.53678027307181e-58,1.34280465726411e-58,7.08352415893585e-59,3.72385252677076e-59,1.95093195056654e-59,1.01858745364044e-59,5.29981948182278e-60,2.74808641732391e-60,1.42005853834183e-60,7.3128836352983e-61,3.75299194088832e-61,1.91943387131873e-61,9.78307156239553e-62,4.96917006105372e-62,2.51535358696143e-62,1.26888066517324e-62,6.3789481194958e-63,3.19583179941878e-63,1.59560471548342e-63,7.93913637218342e-64,3.93665872156082e-64,1.9453100225088e-64,9.57979985778172e-65,4.70143678376507e-65,2.2993830175519e-65,1.12072379173704e-65,5.44367786279166e-66,2.63507388265051e-66,1.27115856868316e-66,6.11101311313922e-67,2.9277450508577e-67,1.39784767653784e-67,6.65109262333949e-68,3.15378945242133e-68,1.49031801219123e-68,7.01829724722264e-69,3.29375369048592e-69,1.54048343921801e-69,7.18008361946906e-70,3.33509741569991e-70,1.5438108866952e-70,7.12174186301968e-71,3.27404700677675e-71,1.49999615708113e-71,6.84860211964746e-72,3.11616380601978e-72,1.41300980531484e-72,6.38523118006279e-73,2.87550832573509e-73,1.29050349964758e-73,5.7717870230229e-74,2.57257450730334e-74,1.14269987425251e-74,5.05828099060231e-75,2.23141462902596e-75,9.80989038124953e-76,4.29788297892419e-76,1.87651297697711e-76,8.16497973635787e-77,3.54050493391337e-77,1.5299662481856e-77,6.58878065682634e-78,2.82770958055528e-78,1.20940319096445e-78,5.15482552761312e-79,2.18959294214313e-79,9.26871123532976e-80,3.91004605724197e-80,1.64380746233299e-80,6.88694438375301e-81,2.87546944758319e-81,1.19645809591994e-81,4.96126907294932e-82,2.05019242153277e-82,8.4431211248827e-83,3.46511752599949e-83,1.41722717773646e-83,5.77653658954301e-84,2.34640047900769e-84,9.49824356841341e-85,3.83169576845135e-85,1.54044178345676e-85,6.17171857358308e-86,2.46418603530806e-86,9.80499605789441e-87,3.88801478957614e-87,1.53643767046702e-87,6.05074065371646e-88,2.37469962764653e-88,9.28785407032228e-89,3.62016725502536e-89,1.40620436579368e-89,5.44345706293761e-90,2.09994400710541e-90,8.07322732821561e-91,3.09309459420945e-91,1.18098879149004e-91,4.4937085649391e-92,1.70400389922284e-92,6.43936167854531e-93,2.42505507800924e-93,9.1013737340087e-94,3.40407283228717e-94,1.26881204324066e-94,4.71305268369398e-95,1.74467223713048e-95,6.43623599081494e-96,2.36622818131605e-96,8.66937599327511e-97,3.16537821278123e-97,1.15178105902336e-97,4.1765800468621e-98,1.50930927179395e-98,5.435534093137e-99,1.95080006679342e-99,6.97733946531494E-100,2.48698690080152E-100,8.83412817405603E-101,3.12723449544529E-101,1.10322413291874E-101,3.87858766891334E-102,1.3589079046173E-102,4.74474624692704E-103,1.65098265460803E-103,5.72504076874745E-104,1.978432375858E-104,6.8135020451848E-105,2.33843942490932E-105,7.99812913320846E-106,2.72619710700997E-106,9.26046185177691E-107,3.13483433604379E-107,1.05755532534751E-107,3.55547927560058E-108,1.19124135010911E-108,3.97747924652346E-109,1.32349601494908E-109,4.38878097075075E-110,1.45034636225467E-110,4.77645957308298E-111,1.56764252588587E-111,5.12736836593762E-112,1.67127746213516E-112,5.42886631169726E-113,1.7574229404312E-113,5.66956826389792E-114,1.82276314929072E-114,5.84005644404539E-115,1.86470614846888E-115,5.9334913640104E-116,1.88155440283553E-116,5.94606700406335E-117,1.8726187658841E-117,5.87726803308901E-118,1.83826524657019E-118,5.72990484417753E-119,1.77989013646281E-119,5.50992308600495E-120,1.69982585286028E-120,5.2260056801932E-121,1.60118634666035E-121,4.88900444978385E-122,1.48766635253483E-122,4.51125318657115E-123,1.36331250029442E-123,4.10582264164087E-124,1.23228597979316E-124,3.68577977811494E-125,1.09863596528936E-125,3.2635088504116E-126,9.6610055377221E-127,2.85014149356347E-127,8.37947991179995E-128,2.45512868803429E-128,7.16866047194852E-129,2.08597123547552E-129,6.04902212418875E-130,1.74810930287475E-130,5.03452554269246E-131,1.44495747738907E-131,4.13293084502113E-132,1.178060958964E-132,3.34644693286365E-133,9.47341744342077E-134,2.67261228683423E-134,7.51401054288468E-135,2.10530098207938E-135,5.87845420915116E-136,1.63575644309904E-136,4.5360798735372E-137,1.2535720498783E-137,3.45242665561532E-138,9.47558813167098E-139,2.59175797220005E-139,7.06462744936152E-140,1.91906921763722E-140,5.19515569673338E-141,1.40156437380937E-141,3.7682012144324E-142,1.0096286693143E-142,2.69585057691151E-143,7.1735893668171E-144,1.90232082711904E-144,5.02733199299738E-145,1.32403029642286E-145,3.47508020888299E-146,9.08946448211963E-147,2.36929050704093E-147,6.15467160652264E-148,1.59330166450701E-148,4.11052872910274E-149,1.05682704702911E-149,2.70780075287767E-150,6.91410615815823E-151,1.7593892561586E-151,4.46163852363033E-152,1.12754369471246E-152,2.8397423193839E-153,7.12739847856293E-154,1.78274694124519E-154,4.44380418364442E-155,1.10389224036892E-155,2.73278207993324E-156,6.7420174974937E-157,1.65760597300954E-157,4.06143291597047E-158,9.91708005428807E-159,2.41320883900349E-159,5.85211092215841E-160,1.41428437938191E-160,3.40617920829282E-161,8.17532066341861E-162,1.95545871927645E-162,4.6612142106059E-163,1.10727635235279E-163,2.62131698564883E-164,6.1842866556085E-165,1.45400612399277E-165,3.4068217641026E-166,7.95498094881762E-167,1.85112364540093E-167,4.29277638559763E-168,9.92082200564076E-169,2.28488108722981E-169,5.24428277982683E-170,1.19954115743696E-170,2.73432894182827E-171,6.21144892613005E-172,1.40618231394765E-172,3.17246542530933E-173,7.13277816894007E-174,1.59818515007264E-174,3.56863407459402E-175,7.9411518105257E-176,1.76104937491019E-176,3.8919398547581E-177,8.57170589136235E-178,1.88137321193416E-178,4.11518348724368E-179,8.97036275660024E-180,1.94866579199881E-180,4.21862838278012E-181,9.10147399761728E-182,1.9568554612059E-182,4.19287889033952E-183,8.95307950697341E-184,1.90519361704411E-184,4.0402882266937E-185,8.53870740091315E-186,1.79836759735292E-186,3.774603686385E-187,7.89533940214661E-188,1.64579902963799E-188,3.41892326374887E-189,7.07796577531747E-190,1.46027320689231E-190,3.00238463527449E-191,6.1518408911587E-192,1.25617577432431E-192,2.55624388455752E-193,5.18394890859268E-194,1.04767285700181E-194,2.11007176272504E-195,4.23521354210849E-196,8.47149293611577E-197,1.68869472595698E-197,3.35466296785448E-198,6.64130148360171E-199,1.31027981344876E-199,2.57621116665609E-200,5.04783813238318E-201,9.85679978981726E-202,1.9181077677352E-202,3.71977461590139E-203,7.18897216904407E-204,1.38459746370983E-204,2.65758286346277E-205,5.08342770150721E-206,9.69020670648453E-207,1.84083975527936E-207,3.48502166323401E-208,6.57508744022501E-209,1.23624382978849E-209,2.31639860542376E-210,4.32542719205044E-211,8.04917317199028E-212,1.49272597286774E-212,2.75876978892097E-213,5.08109584297287E-214,9.32622450987727E-215,1.70592879002253E-215,3.10972857792689E-216,5.64924779104908E-217,1.02274017874934E-217,1.8452132500033E-218,3.31767900777589E-219,5.94468324488256E-220,1.06152353210984E-220,1.8890223100393E-221,3.35004855483557E-222,5.92068109985957E-223,1.04279464266289E-223,1.83034293183169E-224,3.20164145932591E-225,5.58109580184643E-226,9.69555810077332E-227,1.67854389401817E-227,2.89600392039696E-228,</v>
      </c>
      <c r="O5" s="26" t="str">
        <f>'EV of Far Future'!M11</f>
        <v>buckets</v>
      </c>
    </row>
    <row r="6" spans="1:16">
      <c r="G6" s="29" t="s">
        <v>122</v>
      </c>
      <c r="H6" s="15">
        <v>0.5</v>
      </c>
      <c r="I6" s="15">
        <v>3</v>
      </c>
      <c r="J6">
        <f>GEOMEAN(H6,I6)</f>
        <v>1.2247448713915889</v>
      </c>
      <c r="K6">
        <f>LogVariance(H6,I6)</f>
        <v>0.30359732347288149</v>
      </c>
      <c r="N6">
        <f>LognormPosterior(mu_far_future,sigma_far_future,N5:O5)</f>
        <v>21463.827075305344</v>
      </c>
    </row>
    <row r="7" spans="1:16">
      <c r="G7" s="29" t="s">
        <v>123</v>
      </c>
      <c r="H7" s="15">
        <v>0.1</v>
      </c>
      <c r="I7" s="15">
        <v>0.7</v>
      </c>
      <c r="J7">
        <f>GEOMEAN(H7,I7)</f>
        <v>0.26457513110645903</v>
      </c>
      <c r="K7">
        <f>LogVariance(H7,I7)</f>
        <v>0.32971675223038288</v>
      </c>
      <c r="M7" s="45"/>
      <c r="N7" s="4"/>
      <c r="O7" s="4"/>
    </row>
    <row r="8" spans="1:16">
      <c r="G8" s="4" t="s">
        <v>136</v>
      </c>
      <c r="J8">
        <f>J3*J5*J6*J7*D4*1000</f>
        <v>2.1213203435596419E-7</v>
      </c>
      <c r="K8">
        <f>K3+K5+K6+K7+E4</f>
        <v>1.8154605085273885</v>
      </c>
      <c r="M8" s="4"/>
      <c r="N8" s="4"/>
      <c r="O8" s="4"/>
    </row>
    <row r="9" spans="1:16" ht="20">
      <c r="A9" s="7" t="s">
        <v>67</v>
      </c>
      <c r="M9" s="4"/>
      <c r="N9" s="4" t="s">
        <v>220</v>
      </c>
      <c r="O9" s="4"/>
    </row>
    <row r="10" spans="1:16">
      <c r="A10" s="1" t="s">
        <v>147</v>
      </c>
      <c r="M10" s="4" t="s">
        <v>241</v>
      </c>
      <c r="N10">
        <f>N3*N4</f>
        <v>2.2884993698194049E+40</v>
      </c>
      <c r="O10" s="4">
        <f>O3+O4</f>
        <v>6.1268291658530938</v>
      </c>
    </row>
    <row r="11" spans="1:16">
      <c r="A11" s="30" t="s">
        <v>97</v>
      </c>
      <c r="B11" s="5">
        <f>ParetoPosterior(median,alpha,N5:O5)</f>
        <v>8.663706796338341E+27</v>
      </c>
      <c r="G11" s="1" t="s">
        <v>133</v>
      </c>
      <c r="H11" s="8" t="s">
        <v>159</v>
      </c>
      <c r="M11" s="4"/>
      <c r="N11" s="4" t="str">
        <f>LognormPosterior(mu_far_future,sigma_far_future,N10:O10)</f>
        <v>disabled</v>
      </c>
      <c r="O11" s="4"/>
    </row>
    <row r="12" spans="1:16">
      <c r="A12" s="30" t="s">
        <v>108</v>
      </c>
      <c r="B12" s="5">
        <f>LognormPosterior(mu_far_future,sigma_far_future,N5:O5)</f>
        <v>21463.827075305344</v>
      </c>
      <c r="H12" t="s">
        <v>0</v>
      </c>
      <c r="I12" t="s">
        <v>1</v>
      </c>
      <c r="J12" t="s">
        <v>2</v>
      </c>
      <c r="K12" t="s">
        <v>3</v>
      </c>
      <c r="M12" s="4"/>
      <c r="N12" s="46" t="e">
        <f>(N11-N6)/N11 &lt;0.01</f>
        <v>#VALUE!</v>
      </c>
      <c r="O12" s="46" t="s">
        <v>243</v>
      </c>
    </row>
    <row r="13" spans="1:16">
      <c r="G13" s="29" t="s">
        <v>124</v>
      </c>
      <c r="H13" s="27">
        <v>1000000</v>
      </c>
      <c r="I13" s="27">
        <v>1000000000</v>
      </c>
      <c r="J13">
        <f>GEOMEAN(H13,I13)</f>
        <v>31622776.601683792</v>
      </c>
      <c r="K13">
        <f>LogVariance(H13,I13)</f>
        <v>1.1704562191085683</v>
      </c>
      <c r="M13" s="4"/>
      <c r="N13" s="4"/>
      <c r="O13" s="4"/>
    </row>
    <row r="14" spans="1:16">
      <c r="G14" s="29" t="s">
        <v>126</v>
      </c>
      <c r="H14" s="15">
        <v>2000</v>
      </c>
      <c r="I14" s="15">
        <v>2000</v>
      </c>
      <c r="J14">
        <f>GEOMEAN(H14,I14)</f>
        <v>2000</v>
      </c>
      <c r="K14">
        <f>LogVariance(H14,I14)</f>
        <v>0</v>
      </c>
      <c r="M14" s="4"/>
      <c r="N14" s="4"/>
      <c r="O14" s="4"/>
    </row>
    <row r="15" spans="1:16">
      <c r="A15" s="25"/>
      <c r="B15" s="4"/>
      <c r="G15" t="s">
        <v>137</v>
      </c>
      <c r="H15" s="3">
        <f>1/I13</f>
        <v>1.0000000000000001E-9</v>
      </c>
      <c r="I15" s="3">
        <f>1/H13</f>
        <v>9.9999999999999995E-7</v>
      </c>
      <c r="J15">
        <f>GEOMEAN(H15,I15)</f>
        <v>3.1622776601683792E-8</v>
      </c>
      <c r="K15">
        <f>LogVariance(H15,I15)</f>
        <v>1.1704562191085683</v>
      </c>
      <c r="M15" s="45" t="s">
        <v>244</v>
      </c>
      <c r="N15" s="4" t="str">
        <f>WriteArray(DistToBuckets(N4,O4,1,1000))</f>
        <v>disabled</v>
      </c>
      <c r="O15" s="4" t="s">
        <v>238</v>
      </c>
    </row>
    <row r="16" spans="1:16">
      <c r="A16" s="4"/>
      <c r="B16" s="4"/>
      <c r="G16" t="s">
        <v>136</v>
      </c>
      <c r="J16">
        <f>J14*J15*D4*1000</f>
        <v>6.1721339984836745E-7</v>
      </c>
      <c r="K16">
        <f>K14+K15+E4</f>
        <v>1.2995939096785016</v>
      </c>
      <c r="M16" s="4"/>
      <c r="O16" s="4"/>
    </row>
    <row r="17" spans="1:15">
      <c r="A17" s="4"/>
      <c r="B17" s="4"/>
      <c r="M17" s="4"/>
      <c r="O17" s="4"/>
    </row>
    <row r="18" spans="1:15">
      <c r="A18" s="4"/>
      <c r="B18" s="4"/>
      <c r="M18" s="4"/>
      <c r="N18" s="4"/>
      <c r="O18" s="4"/>
    </row>
    <row r="19" spans="1:15">
      <c r="A19" s="4"/>
      <c r="B19" s="4"/>
      <c r="G19" s="1" t="s">
        <v>140</v>
      </c>
      <c r="M19" s="4"/>
      <c r="N19" s="4"/>
      <c r="O19" s="4"/>
    </row>
    <row r="20" spans="1:15">
      <c r="A20" s="25"/>
      <c r="B20" s="4"/>
      <c r="G20" t="s">
        <v>136</v>
      </c>
      <c r="J20">
        <f>GEOMEAN(J8,J16)</f>
        <v>3.6184352162446591E-7</v>
      </c>
      <c r="K20">
        <f>MAX(K8,K16)</f>
        <v>1.8154605085273885</v>
      </c>
      <c r="L20" t="s">
        <v>138</v>
      </c>
      <c r="M20" s="4"/>
      <c r="N20" s="4"/>
      <c r="O20" s="4"/>
    </row>
    <row r="21" spans="1:15">
      <c r="A21" s="4"/>
      <c r="B21" s="4"/>
    </row>
    <row r="22" spans="1:15">
      <c r="A22" s="4"/>
      <c r="B22" s="4"/>
    </row>
    <row r="23" spans="1:15">
      <c r="G23" s="1"/>
    </row>
    <row r="24" spans="1:15">
      <c r="G24" s="4"/>
      <c r="H24" s="4"/>
      <c r="I24" s="4"/>
      <c r="J24" s="4"/>
      <c r="K24" s="4"/>
      <c r="L24" s="4"/>
      <c r="M24" s="4"/>
    </row>
    <row r="25" spans="1:15">
      <c r="G25" s="4"/>
      <c r="H25" s="4"/>
      <c r="I25" s="4"/>
      <c r="J25" s="4"/>
      <c r="K25" s="4"/>
      <c r="L25" s="4"/>
      <c r="M25" s="4"/>
    </row>
    <row r="26" spans="1:15">
      <c r="G26" s="4"/>
      <c r="H26" s="4"/>
      <c r="I26" s="4"/>
      <c r="J26" s="4"/>
      <c r="K26" s="4"/>
      <c r="L26" s="4"/>
      <c r="M26" s="4"/>
    </row>
    <row r="27" spans="1:15">
      <c r="G27" s="4"/>
      <c r="H27" s="4"/>
      <c r="I27" s="4"/>
      <c r="J27" s="4"/>
      <c r="K27" s="4"/>
      <c r="L27" s="4"/>
      <c r="M27" s="4"/>
    </row>
    <row r="28" spans="1:15">
      <c r="G28" s="4"/>
      <c r="H28" s="4"/>
      <c r="I28" s="4"/>
      <c r="J28" s="4"/>
      <c r="K28" s="4"/>
      <c r="L28" s="4"/>
      <c r="M28" s="4"/>
    </row>
    <row r="29" spans="1:15">
      <c r="G29" s="4"/>
      <c r="H29" s="4"/>
      <c r="I29" s="4"/>
      <c r="J29" s="4"/>
      <c r="K29" s="4"/>
      <c r="L29" s="4"/>
      <c r="M29" s="4"/>
    </row>
    <row r="30" spans="1:15">
      <c r="G30" s="4"/>
      <c r="H30" s="4"/>
      <c r="I30" s="4"/>
      <c r="J30" s="4"/>
      <c r="K30" s="4"/>
      <c r="L30" s="4"/>
      <c r="M30" s="4"/>
    </row>
    <row r="31" spans="1:15">
      <c r="G31" s="4"/>
      <c r="H31" s="4"/>
      <c r="I31" s="4"/>
      <c r="J31" s="4"/>
      <c r="K31" s="4"/>
      <c r="L31" s="4"/>
      <c r="M31" s="4"/>
    </row>
    <row r="32" spans="1:15">
      <c r="G32" s="4"/>
      <c r="H32" s="4"/>
      <c r="I32" s="4"/>
      <c r="J32" s="4"/>
      <c r="K32" s="4"/>
      <c r="L32" s="4"/>
      <c r="M32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L28"/>
  <sheetViews>
    <sheetView workbookViewId="0">
      <selection activeCell="H56" sqref="H56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4" width="12.1640625" bestFit="1" customWidth="1"/>
    <col min="8" max="8" width="21.6640625" customWidth="1"/>
    <col min="9" max="9" width="12.83203125" bestFit="1" customWidth="1"/>
    <col min="12" max="12" width="12.1640625" bestFit="1" customWidth="1"/>
  </cols>
  <sheetData>
    <row r="1" spans="1:10" ht="20">
      <c r="A1" s="7" t="s">
        <v>158</v>
      </c>
      <c r="H1" s="1" t="s">
        <v>177</v>
      </c>
    </row>
    <row r="2" spans="1:10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</row>
    <row r="3" spans="1:10">
      <c r="A3" s="36" t="s">
        <v>161</v>
      </c>
      <c r="B3" s="15">
        <v>0.3</v>
      </c>
      <c r="C3" s="15">
        <v>0.3</v>
      </c>
      <c r="D3">
        <f>GEOMEAN(B3,C3)</f>
        <v>0.3</v>
      </c>
      <c r="E3">
        <f>LogVariance(B3,C3)</f>
        <v>0</v>
      </c>
      <c r="H3" t="s">
        <v>178</v>
      </c>
      <c r="I3">
        <f>$D$9*D11</f>
        <v>6.000000000000001E-6</v>
      </c>
      <c r="J3">
        <f>$E$9+E11</f>
        <v>2.1060174845083819</v>
      </c>
    </row>
    <row r="4" spans="1:10">
      <c r="A4" s="36" t="s">
        <v>166</v>
      </c>
      <c r="B4" s="15">
        <v>0.8</v>
      </c>
      <c r="C4" s="15">
        <v>0.8</v>
      </c>
      <c r="D4">
        <f>GEOMEAN(B4,C4)</f>
        <v>0.8</v>
      </c>
      <c r="E4">
        <f>LogVariance(B4,C4)</f>
        <v>0</v>
      </c>
      <c r="H4" t="s">
        <v>179</v>
      </c>
      <c r="I4">
        <f>$D$9*D12</f>
        <v>1.8973665961010282E-5</v>
      </c>
      <c r="J4">
        <f>$E$9+E12</f>
        <v>1.9507603651809473</v>
      </c>
    </row>
    <row r="5" spans="1:10">
      <c r="A5" s="4" t="s">
        <v>167</v>
      </c>
      <c r="B5">
        <f>VLOOKUP(A5,'AI Safety'!G3:I8,2,FALSE)</f>
        <v>1E-4</v>
      </c>
      <c r="C5">
        <f>VLOOKUP(A5,'AI Safety'!G3:I8,3,FALSE)</f>
        <v>5.0000000000000001E-3</v>
      </c>
      <c r="D5">
        <f>GEOMEAN(B5,C5)</f>
        <v>7.0710678118654762E-4</v>
      </c>
      <c r="E5">
        <f>LogVariance(B5,C5)</f>
        <v>0.66285666921800146</v>
      </c>
      <c r="H5" t="s">
        <v>180</v>
      </c>
      <c r="I5">
        <f>$D$9*D13</f>
        <v>1.4696938456699071E-5</v>
      </c>
      <c r="J5">
        <f>$E$9+E13</f>
        <v>2.0373151147442554</v>
      </c>
    </row>
    <row r="6" spans="1:10">
      <c r="A6" s="29" t="s">
        <v>164</v>
      </c>
      <c r="B6" s="15">
        <v>0.5</v>
      </c>
      <c r="C6" s="15">
        <v>5</v>
      </c>
      <c r="D6">
        <f>GEOMEAN(B6,C6)</f>
        <v>1.5811388300841898</v>
      </c>
      <c r="E6">
        <f>LogVariance(B6,C6)</f>
        <v>0.39015207303618948</v>
      </c>
      <c r="H6" t="s">
        <v>181</v>
      </c>
      <c r="I6">
        <f>$D$9*D14</f>
        <v>1.4696938456699071E-5</v>
      </c>
      <c r="J6">
        <f>$E$9+E14</f>
        <v>2.0373151147442554</v>
      </c>
    </row>
    <row r="7" spans="1:10">
      <c r="A7" s="29" t="s">
        <v>165</v>
      </c>
      <c r="B7" s="15">
        <v>1000</v>
      </c>
      <c r="C7" s="15">
        <v>100000</v>
      </c>
    </row>
    <row r="8" spans="1:10">
      <c r="A8" t="s">
        <v>169</v>
      </c>
      <c r="B8">
        <f>1000/C7</f>
        <v>0.01</v>
      </c>
      <c r="C8">
        <f>1000/B7</f>
        <v>1</v>
      </c>
      <c r="D8">
        <f>GEOMEAN(B8,C8)</f>
        <v>0.1</v>
      </c>
      <c r="E8">
        <f>LogVariance(B8,C8)</f>
        <v>0.78030414607237897</v>
      </c>
      <c r="H8" t="s">
        <v>77</v>
      </c>
      <c r="I8">
        <f>VLOOKUP(H8,'EV of Far Future'!$K$3:$M$10,2,FALSE)</f>
        <v>1.5811388300841899E+46</v>
      </c>
      <c r="J8">
        <f>VLOOKUP(H8,'EV of Far Future'!$K$3:$M$10,3,FALSE)</f>
        <v>4.3113686573257057</v>
      </c>
    </row>
    <row r="9" spans="1:10">
      <c r="A9" t="s">
        <v>170</v>
      </c>
      <c r="D9">
        <f>PRODUCT(D3:D6)*D8</f>
        <v>2.6832815729997483E-5</v>
      </c>
      <c r="E9">
        <f>SUM(E3:E6)+E8</f>
        <v>1.8333128883265699</v>
      </c>
      <c r="H9" t="s">
        <v>72</v>
      </c>
      <c r="I9">
        <f>VLOOKUP(H9,'EV of Far Future'!$K$3:$M$10,2,FALSE)</f>
        <v>8.9599999999999976E+36</v>
      </c>
      <c r="J9">
        <f>VLOOKUP(H9,'EV of Far Future'!$K$3:$M$10,3,FALSE)</f>
        <v>3.5212165842895158</v>
      </c>
    </row>
    <row r="10" spans="1:10">
      <c r="H10" t="s">
        <v>73</v>
      </c>
      <c r="I10">
        <f>VLOOKUP(H10,'EV of Far Future'!$K$3:$M$10,2,FALSE)</f>
        <v>2.8334007835108666E+40</v>
      </c>
      <c r="J10">
        <f>VLOOKUP(H10,'EV of Far Future'!$K$3:$M$10,3,FALSE)</f>
        <v>4.0113686573257059</v>
      </c>
    </row>
    <row r="11" spans="1:10">
      <c r="A11" s="29" t="s">
        <v>163</v>
      </c>
      <c r="B11" s="15">
        <v>0.1</v>
      </c>
      <c r="C11" s="15">
        <v>0.5</v>
      </c>
      <c r="D11">
        <f>GEOMEAN(B11,C11)</f>
        <v>0.22360679774997896</v>
      </c>
      <c r="E11">
        <f>LogVariance(B11,C11)</f>
        <v>0.27270459618181209</v>
      </c>
      <c r="H11" t="s">
        <v>74</v>
      </c>
      <c r="I11">
        <f>VLOOKUP(H11,'EV of Far Future'!$K$3:$M$10,2,FALSE)</f>
        <v>6.7199999999999966E+38</v>
      </c>
      <c r="J11">
        <f>VLOOKUP(H11,'EV of Far Future'!$K$3:$M$10,3,FALSE)</f>
        <v>5.1818248764342734</v>
      </c>
    </row>
    <row r="12" spans="1:10">
      <c r="A12" s="29" t="s">
        <v>171</v>
      </c>
      <c r="B12" s="15">
        <v>0.5</v>
      </c>
      <c r="C12" s="15">
        <v>1</v>
      </c>
      <c r="D12">
        <f>GEOMEAN(B12,C12)</f>
        <v>0.70710678118654757</v>
      </c>
      <c r="E12">
        <f>LogVariance(B12,C12)</f>
        <v>0.11744747685437738</v>
      </c>
    </row>
    <row r="13" spans="1:10">
      <c r="A13" s="29" t="s">
        <v>172</v>
      </c>
      <c r="B13" s="15">
        <v>0.3</v>
      </c>
      <c r="C13" s="15">
        <v>1</v>
      </c>
      <c r="D13">
        <f>GEOMEAN(B13,C13)</f>
        <v>0.54772255750516607</v>
      </c>
      <c r="E13">
        <f>LogVariance(B13,C13)</f>
        <v>0.20400222641768539</v>
      </c>
      <c r="H13" t="s">
        <v>95</v>
      </c>
      <c r="I13">
        <f>VLOOKUP(H13,'EV of Far Future'!O3:P10,2,FALSE)</f>
        <v>5.000000000000001E-3</v>
      </c>
      <c r="J13">
        <v>0</v>
      </c>
    </row>
    <row r="14" spans="1:10">
      <c r="A14" s="29" t="s">
        <v>162</v>
      </c>
      <c r="B14" s="15">
        <v>0.3</v>
      </c>
      <c r="C14" s="15">
        <v>1</v>
      </c>
      <c r="D14">
        <f>GEOMEAN(B14,C14)</f>
        <v>0.54772255750516607</v>
      </c>
      <c r="E14">
        <f>LogVariance(B14,C14)</f>
        <v>0.20400222641768539</v>
      </c>
      <c r="H14" t="s">
        <v>90</v>
      </c>
      <c r="I14">
        <f>VLOOKUP(H14,'EV of Far Future'!O4:P11,2,FALSE)</f>
        <v>0.22399999999999998</v>
      </c>
      <c r="J14">
        <v>0</v>
      </c>
    </row>
    <row r="15" spans="1:10">
      <c r="H15" t="s">
        <v>91</v>
      </c>
      <c r="I15">
        <f>VLOOKUP(H15,'EV of Far Future'!O5:P12,2,FALSE)</f>
        <v>0.22399999999999998</v>
      </c>
      <c r="J15">
        <v>0</v>
      </c>
    </row>
    <row r="16" spans="1:10">
      <c r="H16" t="s">
        <v>92</v>
      </c>
      <c r="I16">
        <f>VLOOKUP(H16,'EV of Far Future'!O6:P13,2,FALSE)</f>
        <v>0.16799999999999998</v>
      </c>
      <c r="J16">
        <v>0</v>
      </c>
    </row>
    <row r="17" spans="1:12">
      <c r="K17" s="33" t="s">
        <v>108</v>
      </c>
      <c r="L17" s="33" t="s">
        <v>97</v>
      </c>
    </row>
    <row r="18" spans="1:12">
      <c r="H18" s="28" t="s">
        <v>173</v>
      </c>
      <c r="I18" s="26">
        <f>I3*I8*I13</f>
        <v>4.7434164902525711E+38</v>
      </c>
      <c r="J18" s="26">
        <f>J3+J8+J13</f>
        <v>6.4173861418340881</v>
      </c>
      <c r="K18" s="34" t="e">
        <f>LognormPosterior(mu,sigma,I18,J18)</f>
        <v>#VALUE!</v>
      </c>
      <c r="L18" s="34" t="e">
        <f>ParetoPosterior(median,alpha,I18,J18)</f>
        <v>#VALUE!</v>
      </c>
    </row>
    <row r="19" spans="1:12">
      <c r="H19" s="28" t="s">
        <v>174</v>
      </c>
      <c r="I19" s="26">
        <f>I4*I9*I14</f>
        <v>3.8080906530386058E+31</v>
      </c>
      <c r="J19" s="26">
        <f>J4+J9+J14</f>
        <v>5.4719769494704629</v>
      </c>
      <c r="K19" s="34" t="e">
        <f>LognormPosterior(mu,sigma,I19,J19)</f>
        <v>#VALUE!</v>
      </c>
      <c r="L19" s="34" t="e">
        <f>ParetoPosterior(median,alpha,I19,J19)</f>
        <v>#VALUE!</v>
      </c>
    </row>
    <row r="20" spans="1:12">
      <c r="H20" s="28" t="s">
        <v>175</v>
      </c>
      <c r="I20" s="26">
        <f>I5*I10*I15</f>
        <v>9.3278789942065578E+34</v>
      </c>
      <c r="J20" s="26">
        <f>J5+J10+J15</f>
        <v>6.0486837720699613</v>
      </c>
      <c r="K20" s="34" t="e">
        <f>LognormPosterior(mu,sigma,I20,J20)</f>
        <v>#VALUE!</v>
      </c>
      <c r="L20" s="34" t="e">
        <f>ParetoPosterior(median,alpha,I20,J20)</f>
        <v>#VALUE!</v>
      </c>
    </row>
    <row r="21" spans="1:12">
      <c r="H21" s="28" t="s">
        <v>176</v>
      </c>
      <c r="I21" s="26">
        <f>I6*I11*I16</f>
        <v>1.6592255640074973E+33</v>
      </c>
      <c r="J21" s="26">
        <f>J6+J11+J16</f>
        <v>7.2191399911785288</v>
      </c>
      <c r="K21" s="34" t="e">
        <f>LognormPosterior(mu,sigma,I21,J21)</f>
        <v>#VALUE!</v>
      </c>
      <c r="L21" s="34" t="e">
        <f>ParetoPosterior(median,alpha,I21,J21)</f>
        <v>#VALUE!</v>
      </c>
    </row>
    <row r="23" spans="1:12" ht="20">
      <c r="A23" s="7" t="s">
        <v>67</v>
      </c>
    </row>
    <row r="24" spans="1:12">
      <c r="B24" t="s">
        <v>97</v>
      </c>
      <c r="C24" t="s">
        <v>108</v>
      </c>
      <c r="J24" t="s">
        <v>182</v>
      </c>
    </row>
    <row r="25" spans="1:12">
      <c r="A25" t="s">
        <v>184</v>
      </c>
      <c r="B25" t="e">
        <f>MAX(L18:L21)</f>
        <v>#VALUE!</v>
      </c>
      <c r="C25" t="e">
        <f>MAX(K18:K21)</f>
        <v>#VALUE!</v>
      </c>
    </row>
    <row r="28" spans="1:12">
      <c r="A28" t="s">
        <v>183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Globals</vt:lpstr>
      <vt:lpstr>EV of Far Future</vt:lpstr>
      <vt:lpstr>GiveDirectly</vt:lpstr>
      <vt:lpstr>Veg Ads</vt:lpstr>
      <vt:lpstr>ACE</vt:lpstr>
      <vt:lpstr>AI Safety</vt:lpstr>
      <vt:lpstr>AI Targeted Values Spreading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Dickens</dc:creator>
  <cp:lastModifiedBy>Michael Dickens</cp:lastModifiedBy>
  <dcterms:created xsi:type="dcterms:W3CDTF">2016-03-23T01:55:09Z</dcterms:created>
  <dcterms:modified xsi:type="dcterms:W3CDTF">2016-04-06T20:35:52Z</dcterms:modified>
</cp:coreProperties>
</file>