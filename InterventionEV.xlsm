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20" windowWidth="25600" windowHeight="28320" tabRatio="500" firstSheet="1" activeTab="7"/>
  </bookViews>
  <sheets>
    <sheet name="Summary" sheetId="7" r:id="rId1"/>
    <sheet name="Globals" sheetId="2" r:id="rId2"/>
    <sheet name="EV of Far Future" sheetId="3" r:id="rId3"/>
    <sheet name="GiveWell Analyst" sheetId="13" r:id="rId4"/>
    <sheet name="GiveDirectly" sheetId="5" r:id="rId5"/>
    <sheet name="THL" sheetId="1" r:id="rId6"/>
    <sheet name="Cage-Free" sheetId="12" r:id="rId7"/>
    <sheet name="AI Safety" sheetId="6" r:id="rId8"/>
    <sheet name="AI Targeted Values Spreading" sheetId="10" r:id="rId9"/>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36" i="13" l="1"/>
  <c r="K7" i="6"/>
  <c r="K8" i="6"/>
  <c r="K20" i="6"/>
  <c r="I24" i="6"/>
  <c r="I26" i="6"/>
  <c r="J7" i="6"/>
  <c r="J8" i="6"/>
  <c r="J20" i="6"/>
  <c r="H24" i="6"/>
  <c r="H26" i="6"/>
  <c r="B12" i="6"/>
  <c r="C5" i="7"/>
  <c r="G14" i="7"/>
  <c r="E22" i="7"/>
  <c r="D22" i="7"/>
  <c r="G22" i="7"/>
  <c r="E23" i="7"/>
  <c r="D23" i="7"/>
  <c r="G23" i="7"/>
  <c r="I18" i="13"/>
  <c r="I19" i="13"/>
  <c r="I39" i="13"/>
  <c r="I20" i="13"/>
  <c r="I40" i="13"/>
  <c r="I21" i="13"/>
  <c r="I41" i="13"/>
  <c r="I44" i="13"/>
  <c r="I47" i="13"/>
  <c r="J47" i="13"/>
  <c r="I50" i="13"/>
  <c r="B25" i="13"/>
  <c r="J50" i="13"/>
  <c r="C25" i="13"/>
  <c r="I30" i="13"/>
  <c r="I31" i="13"/>
  <c r="I32" i="13"/>
  <c r="I45" i="13"/>
  <c r="I48" i="13"/>
  <c r="J48" i="13"/>
  <c r="I51" i="13"/>
  <c r="B26" i="13"/>
  <c r="J51" i="13"/>
  <c r="C26" i="13"/>
  <c r="I22" i="13"/>
  <c r="I33" i="13"/>
  <c r="I23" i="13"/>
  <c r="I34" i="13"/>
  <c r="I24" i="13"/>
  <c r="I35" i="13"/>
  <c r="I25" i="13"/>
  <c r="I36" i="13"/>
  <c r="I46" i="13"/>
  <c r="I49" i="13"/>
  <c r="J49" i="13"/>
  <c r="I52" i="13"/>
  <c r="B27" i="13"/>
  <c r="J52" i="13"/>
  <c r="C27" i="13"/>
  <c r="B28" i="13"/>
  <c r="B29" i="13"/>
  <c r="C29" i="13"/>
  <c r="C30" i="13"/>
  <c r="B30" i="13"/>
  <c r="B31" i="13"/>
  <c r="D36" i="13"/>
  <c r="C37" i="13"/>
  <c r="G21" i="7"/>
  <c r="G20" i="7"/>
  <c r="G19" i="7"/>
  <c r="G18" i="7"/>
  <c r="G17" i="7"/>
  <c r="G16" i="7"/>
  <c r="I9" i="1"/>
  <c r="I7" i="1"/>
  <c r="K5" i="7"/>
  <c r="J5" i="7"/>
  <c r="G5" i="5"/>
  <c r="K3" i="7"/>
  <c r="J3" i="7"/>
  <c r="K6" i="7"/>
  <c r="J6" i="7"/>
  <c r="K4" i="7"/>
  <c r="I7" i="12"/>
  <c r="I16" i="10"/>
  <c r="D10" i="1"/>
  <c r="L6" i="3"/>
  <c r="L15" i="3"/>
  <c r="I13" i="1"/>
  <c r="D11" i="1"/>
  <c r="E11" i="1"/>
  <c r="D12" i="1"/>
  <c r="I15" i="1"/>
  <c r="I16" i="1"/>
  <c r="N19" i="1"/>
  <c r="J13" i="1"/>
  <c r="E12" i="1"/>
  <c r="J15" i="1"/>
  <c r="J16" i="1"/>
  <c r="O19" i="1"/>
  <c r="I25" i="1"/>
  <c r="I26" i="1"/>
  <c r="N20" i="1"/>
  <c r="J25" i="1"/>
  <c r="J26" i="1"/>
  <c r="O20" i="1"/>
  <c r="I34" i="1"/>
  <c r="I35" i="1"/>
  <c r="N21" i="1"/>
  <c r="J34" i="1"/>
  <c r="J35" i="1"/>
  <c r="O21" i="1"/>
  <c r="N6" i="1"/>
  <c r="N7" i="1"/>
  <c r="N22" i="1"/>
  <c r="O6" i="1"/>
  <c r="O7" i="1"/>
  <c r="O22" i="1"/>
  <c r="N14" i="1"/>
  <c r="N15" i="1"/>
  <c r="N23" i="1"/>
  <c r="O14" i="1"/>
  <c r="O15" i="1"/>
  <c r="O23" i="1"/>
  <c r="N24" i="1"/>
  <c r="L16" i="3"/>
  <c r="M16" i="3"/>
  <c r="L7" i="3"/>
  <c r="M7" i="3"/>
  <c r="M18" i="3"/>
  <c r="L18" i="3"/>
  <c r="L19" i="3"/>
  <c r="L13" i="5"/>
  <c r="L14" i="5"/>
  <c r="L25" i="5"/>
  <c r="M19" i="3"/>
  <c r="M13" i="5"/>
  <c r="M14" i="5"/>
  <c r="M25" i="5"/>
  <c r="L27" i="5"/>
  <c r="N25" i="1"/>
  <c r="O25" i="1"/>
  <c r="C24" i="1"/>
  <c r="B24" i="1"/>
  <c r="C25" i="1"/>
  <c r="B25" i="1"/>
  <c r="B27" i="1"/>
  <c r="B31" i="1"/>
  <c r="C4" i="7"/>
  <c r="G12" i="7"/>
  <c r="G11" i="7"/>
  <c r="P36" i="2"/>
  <c r="H3" i="3"/>
  <c r="P37" i="2"/>
  <c r="H4" i="3"/>
  <c r="P41" i="2"/>
  <c r="H26" i="3"/>
  <c r="H26" i="2"/>
  <c r="J26" i="2"/>
  <c r="L26" i="2"/>
  <c r="H27" i="3"/>
  <c r="H28" i="3"/>
  <c r="M11" i="3"/>
  <c r="G3" i="3"/>
  <c r="G4" i="3"/>
  <c r="G26" i="3"/>
  <c r="G27" i="3"/>
  <c r="G28" i="3"/>
  <c r="O11" i="3"/>
  <c r="L11" i="3"/>
  <c r="G14" i="3"/>
  <c r="G15" i="3"/>
  <c r="G16" i="3"/>
  <c r="O9" i="3"/>
  <c r="L9" i="3"/>
  <c r="P39" i="2"/>
  <c r="H14" i="3"/>
  <c r="H23" i="2"/>
  <c r="J23" i="2"/>
  <c r="L23" i="2"/>
  <c r="H15" i="3"/>
  <c r="H16" i="3"/>
  <c r="M9" i="3"/>
  <c r="G20" i="3"/>
  <c r="G21" i="3"/>
  <c r="G22" i="3"/>
  <c r="O10" i="3"/>
  <c r="L10" i="3"/>
  <c r="P40" i="2"/>
  <c r="H20" i="3"/>
  <c r="H25" i="2"/>
  <c r="J25" i="2"/>
  <c r="L25" i="2"/>
  <c r="H21" i="3"/>
  <c r="H22" i="3"/>
  <c r="M10" i="3"/>
  <c r="G32" i="3"/>
  <c r="G33" i="3"/>
  <c r="G34" i="3"/>
  <c r="G35" i="3"/>
  <c r="O12" i="3"/>
  <c r="L12" i="3"/>
  <c r="H32" i="3"/>
  <c r="P42" i="2"/>
  <c r="H33" i="3"/>
  <c r="H34" i="3"/>
  <c r="H35" i="3"/>
  <c r="M12" i="3"/>
  <c r="B3" i="3"/>
  <c r="B4" i="3"/>
  <c r="B5" i="3"/>
  <c r="B6" i="3"/>
  <c r="B10" i="3"/>
  <c r="B11" i="3"/>
  <c r="O4" i="3"/>
  <c r="L4" i="3"/>
  <c r="L36" i="2"/>
  <c r="C3" i="3"/>
  <c r="L37" i="2"/>
  <c r="C4" i="3"/>
  <c r="L38" i="2"/>
  <c r="C5" i="3"/>
  <c r="L39" i="2"/>
  <c r="C6" i="3"/>
  <c r="H27" i="2"/>
  <c r="J27" i="2"/>
  <c r="L27" i="2"/>
  <c r="C10" i="3"/>
  <c r="C11" i="3"/>
  <c r="M4" i="3"/>
  <c r="F4" i="2"/>
  <c r="K9" i="13"/>
  <c r="K10" i="13"/>
  <c r="E16" i="7"/>
  <c r="I14" i="1"/>
  <c r="D8" i="1"/>
  <c r="E4" i="1"/>
  <c r="E5" i="1"/>
  <c r="E6" i="1"/>
  <c r="E8" i="1"/>
  <c r="E7" i="1"/>
  <c r="E9" i="1"/>
  <c r="I22" i="1"/>
  <c r="I23" i="1"/>
  <c r="I24" i="1"/>
  <c r="E14" i="1"/>
  <c r="J22" i="1"/>
  <c r="J23" i="1"/>
  <c r="I31" i="1"/>
  <c r="I32" i="1"/>
  <c r="I33" i="1"/>
  <c r="E15" i="1"/>
  <c r="J31" i="1"/>
  <c r="J32" i="1"/>
  <c r="N3" i="1"/>
  <c r="N4" i="1"/>
  <c r="N5" i="1"/>
  <c r="E16" i="1"/>
  <c r="O3" i="1"/>
  <c r="O4" i="1"/>
  <c r="N11" i="1"/>
  <c r="N12" i="1"/>
  <c r="N13" i="1"/>
  <c r="L9" i="13"/>
  <c r="L4" i="13"/>
  <c r="L5" i="13"/>
  <c r="L6" i="13"/>
  <c r="L10" i="13"/>
  <c r="K11" i="13"/>
  <c r="L7" i="13"/>
  <c r="L11" i="13"/>
  <c r="K12" i="13"/>
  <c r="I25" i="6"/>
  <c r="H25" i="6"/>
  <c r="L8" i="13"/>
  <c r="L12" i="13"/>
  <c r="D43" i="13"/>
  <c r="C43" i="13"/>
  <c r="B43" i="13"/>
  <c r="J4" i="13"/>
  <c r="I4" i="13"/>
  <c r="K7" i="13"/>
  <c r="K4" i="13"/>
  <c r="K5" i="13"/>
  <c r="K8" i="13"/>
  <c r="K6" i="13"/>
  <c r="D17" i="13"/>
  <c r="E17" i="13"/>
  <c r="J39" i="13"/>
  <c r="D18" i="13"/>
  <c r="E18" i="13"/>
  <c r="J40" i="13"/>
  <c r="D19" i="13"/>
  <c r="E19" i="13"/>
  <c r="J41" i="13"/>
  <c r="D7" i="13"/>
  <c r="E7" i="13"/>
  <c r="J30" i="13"/>
  <c r="D8" i="13"/>
  <c r="E8" i="13"/>
  <c r="J31" i="13"/>
  <c r="D9" i="13"/>
  <c r="E9" i="13"/>
  <c r="J32" i="13"/>
  <c r="D10" i="13"/>
  <c r="E10" i="13"/>
  <c r="J33" i="13"/>
  <c r="D11" i="13"/>
  <c r="E11" i="13"/>
  <c r="J34" i="13"/>
  <c r="D12" i="13"/>
  <c r="G13" i="7"/>
  <c r="E12" i="13"/>
  <c r="J35" i="13"/>
  <c r="D13" i="13"/>
  <c r="E13" i="13"/>
  <c r="J36" i="13"/>
  <c r="L3" i="13"/>
  <c r="K3" i="13"/>
  <c r="I3" i="7"/>
  <c r="H3" i="7"/>
  <c r="O12" i="1"/>
  <c r="E17" i="1"/>
  <c r="O11" i="1"/>
  <c r="J4" i="1"/>
  <c r="J3" i="1"/>
  <c r="J5" i="1"/>
  <c r="I4" i="1"/>
  <c r="I5" i="1"/>
  <c r="H24" i="2"/>
  <c r="J24" i="2"/>
  <c r="L24" i="2"/>
  <c r="J4" i="12"/>
  <c r="E4" i="12"/>
  <c r="E5" i="12"/>
  <c r="E6" i="12"/>
  <c r="E7" i="12"/>
  <c r="E8" i="12"/>
  <c r="E9" i="12"/>
  <c r="J3" i="12"/>
  <c r="J5" i="12"/>
  <c r="I6" i="7"/>
  <c r="I4" i="12"/>
  <c r="I5" i="12"/>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K3" i="6"/>
  <c r="K5" i="6"/>
  <c r="K6" i="6"/>
  <c r="E4" i="6"/>
  <c r="K14" i="6"/>
  <c r="K15" i="6"/>
  <c r="K16" i="6"/>
  <c r="D16" i="7"/>
  <c r="E17" i="7"/>
  <c r="D17" i="7"/>
  <c r="E18" i="7"/>
  <c r="D18" i="7"/>
  <c r="E19" i="7"/>
  <c r="D19" i="7"/>
  <c r="E20" i="7"/>
  <c r="D20" i="7"/>
  <c r="E21" i="7"/>
  <c r="D21" i="7"/>
  <c r="I3" i="10"/>
  <c r="I10" i="10"/>
  <c r="J3" i="10"/>
  <c r="E13" i="10"/>
  <c r="J10" i="10"/>
  <c r="I4" i="10"/>
  <c r="I11" i="10"/>
  <c r="J4" i="10"/>
  <c r="E14" i="10"/>
  <c r="J11" i="10"/>
  <c r="I5" i="10"/>
  <c r="I12" i="10"/>
  <c r="J5" i="10"/>
  <c r="E15" i="10"/>
  <c r="J12" i="10"/>
  <c r="I6" i="10"/>
  <c r="I13" i="10"/>
  <c r="J6" i="10"/>
  <c r="E16" i="10"/>
  <c r="J13" i="10"/>
  <c r="I7" i="10"/>
  <c r="I14" i="10"/>
  <c r="J7" i="10"/>
  <c r="E17" i="10"/>
  <c r="J14" i="10"/>
  <c r="I8" i="10"/>
  <c r="I15" i="10"/>
  <c r="J8" i="10"/>
  <c r="E18" i="10"/>
  <c r="J15" i="10"/>
  <c r="I17" i="10"/>
  <c r="J17" i="10"/>
  <c r="J18" i="10"/>
  <c r="I18" i="10"/>
  <c r="B24" i="10"/>
  <c r="C6" i="7"/>
  <c r="G15" i="7"/>
  <c r="B23" i="10"/>
  <c r="B6" i="7"/>
  <c r="F15" i="7"/>
  <c r="B11" i="6"/>
  <c r="B5" i="7"/>
  <c r="F14" i="7"/>
  <c r="F13" i="7"/>
  <c r="B26" i="1"/>
  <c r="I6" i="1"/>
  <c r="B30" i="1"/>
  <c r="B4" i="7"/>
  <c r="F12" i="7"/>
  <c r="F11" i="7"/>
  <c r="F16" i="7"/>
  <c r="F17" i="7"/>
  <c r="F18" i="7"/>
  <c r="F19" i="7"/>
  <c r="F20" i="7"/>
  <c r="F21" i="7"/>
  <c r="F22" i="7"/>
  <c r="F23" i="7"/>
  <c r="I4" i="7"/>
  <c r="H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D5" i="12"/>
  <c r="D6" i="12"/>
  <c r="D8" i="12"/>
  <c r="D9" i="12"/>
  <c r="I3" i="12"/>
  <c r="G24" i="2"/>
  <c r="I24" i="2"/>
  <c r="K24" i="2"/>
  <c r="I5" i="7"/>
  <c r="H5" i="7"/>
  <c r="B7" i="5"/>
  <c r="C7" i="5"/>
  <c r="L12" i="5"/>
  <c r="M12" i="5"/>
  <c r="M10" i="5"/>
  <c r="M11" i="5"/>
  <c r="L20" i="5"/>
  <c r="L21" i="5"/>
  <c r="L26" i="5"/>
  <c r="M20" i="5"/>
  <c r="M19" i="5"/>
  <c r="M21" i="5"/>
  <c r="M26" i="5"/>
  <c r="L28" i="5"/>
  <c r="M28" i="5"/>
  <c r="G12" i="5"/>
  <c r="G13" i="5"/>
  <c r="G14" i="5"/>
  <c r="H12" i="5"/>
  <c r="H13" i="5"/>
  <c r="H10" i="5"/>
  <c r="H11" i="5"/>
  <c r="H14" i="5"/>
  <c r="H15" i="5"/>
  <c r="G15" i="5"/>
  <c r="C24" i="5"/>
  <c r="B24" i="5"/>
  <c r="C25" i="5"/>
  <c r="B25" i="5"/>
  <c r="B27" i="5"/>
  <c r="B31" i="5"/>
  <c r="C22" i="2"/>
  <c r="C4" i="12"/>
  <c r="B4" i="12"/>
  <c r="D4" i="12"/>
  <c r="D7" i="12"/>
  <c r="I6" i="12"/>
  <c r="B26" i="5"/>
  <c r="G4" i="5"/>
  <c r="B30" i="5"/>
  <c r="L10" i="5"/>
  <c r="B6" i="5"/>
  <c r="C6" i="5"/>
  <c r="L11" i="5"/>
  <c r="B9" i="5"/>
  <c r="C9" i="5"/>
  <c r="L19" i="5"/>
  <c r="D7" i="1"/>
  <c r="D9" i="1"/>
  <c r="D4" i="1"/>
  <c r="B5" i="1"/>
  <c r="C5" i="1"/>
  <c r="D5" i="1"/>
  <c r="D6" i="1"/>
  <c r="I32" i="6"/>
  <c r="I33" i="6"/>
  <c r="H32" i="6"/>
  <c r="H33" i="6"/>
  <c r="K33" i="6"/>
  <c r="J33" i="6"/>
  <c r="H15" i="6"/>
  <c r="D14" i="1"/>
  <c r="D15" i="1"/>
  <c r="D16" i="1"/>
  <c r="D17" i="1"/>
  <c r="I3" i="1"/>
  <c r="H3" i="5"/>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C3" i="7"/>
  <c r="D4" i="7"/>
  <c r="H5" i="6"/>
  <c r="C4" i="6"/>
  <c r="B4" i="6"/>
  <c r="D6" i="7"/>
  <c r="D3" i="7"/>
  <c r="B3" i="7"/>
  <c r="K13" i="6"/>
  <c r="D5" i="7"/>
</calcChain>
</file>

<file path=xl/sharedStrings.xml><?xml version="1.0" encoding="utf-8"?>
<sst xmlns="http://schemas.openxmlformats.org/spreadsheetml/2006/main" count="639" uniqueCount="348">
  <si>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</si>
  <si>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</si>
  <si>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</si>
  <si>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</si>
  <si>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</si>
  <si>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</si>
  <si>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</si>
  <si>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</si>
  <si>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</si>
  <si>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</si>
  <si>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</si>
  <si>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</si>
  <si>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</si>
  <si>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</si>
  <si>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</si>
  <si>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</si>
  <si>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</si>
  <si>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</si>
  <si>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</si>
  <si>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</si>
  <si>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</si>
  <si>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</si>
  <si>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</si>
  <si>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</si>
  <si>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</si>
  <si>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</si>
  <si>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</si>
  <si>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</si>
  <si>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</si>
  <si>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</si>
  <si>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</si>
  <si>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</si>
  <si>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</si>
  <si>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</si>
  <si>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</si>
  <si>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</si>
  <si>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</si>
  <si>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</si>
  <si>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</si>
  <si>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</si>
  <si>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</si>
  <si>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</si>
  <si>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</si>
  <si>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</si>
  <si>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</si>
  <si>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</si>
  <si>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</si>
  <si>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</si>
  <si>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</si>
  <si>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</si>
  <si>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</si>
  <si>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</si>
  <si>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</si>
  <si>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</si>
  <si>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</si>
  <si>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</si>
  <si>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</si>
  <si>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</si>
  <si>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</si>
  <si>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</si>
  <si>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</si>
  <si>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</si>
  <si>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</si>
  <si>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</si>
  <si>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</si>
  <si>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</si>
  <si>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</si>
  <si>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</si>
  <si>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</si>
  <si>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</si>
  <si>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</si>
  <si>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</si>
  <si>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</si>
  <si>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</si>
  <si>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</si>
  <si>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</si>
  <si>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</si>
  <si>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</si>
  <si>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</si>
  <si>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</si>
  <si>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</si>
  <si>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</si>
  <si>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</si>
  <si>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</si>
  <si>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</si>
  <si>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</si>
  <si>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</si>
  <si>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</si>
  <si>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</si>
  <si>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</si>
  <si>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</si>
  <si>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</si>
  <si>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</si>
  <si>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</si>
  <si>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</si>
  <si>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</si>
  <si>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</si>
  <si>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</si>
  <si>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</si>
  <si>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</si>
  <si>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</si>
  <si>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</si>
  <si>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</si>
  <si>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</si>
  <si>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</si>
  <si>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</si>
  <si>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</si>
  <si>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</si>
  <si>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</si>
  <si>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</si>
  <si>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</si>
  <si>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</si>
  <si>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</si>
  <si>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</si>
  <si>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</si>
  <si>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</si>
  <si>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</si>
  <si>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</si>
  <si>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</si>
  <si>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</si>
  <si>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</si>
  <si>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</si>
  <si>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</si>
  <si>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</si>
  <si>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</si>
  <si>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</si>
  <si>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</si>
  <si>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</si>
  <si>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</si>
  <si>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</si>
  <si>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</si>
  <si>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</si>
  <si>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</si>
  <si>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</si>
  <si>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</si>
  <si>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</si>
  <si>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</si>
  <si>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</si>
  <si>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</si>
  <si>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</si>
  <si>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</si>
  <si>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</si>
  <si>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</si>
  <si>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</si>
  <si>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</si>
  <si>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</si>
  <si>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</si>
  <si>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</si>
  <si>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</si>
  <si>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</si>
  <si>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</si>
  <si>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</si>
  <si>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animal-years caused per human year</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</si>
  <si>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</si>
  <si>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</si>
  <si>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</si>
  <si>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</si>
  <si>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</si>
  <si>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</si>
  <si>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</si>
  <si>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</si>
  <si>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</si>
  <si>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</si>
  <si>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</si>
  <si>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</si>
  <si>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</si>
  <si>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</si>
  <si>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</si>
  <si>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</si>
  <si>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</si>
  <si>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</si>
  <si>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</si>
  <si>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</si>
  <si>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</si>
  <si>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</si>
  <si>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</si>
  <si>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</si>
  <si>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</si>
  <si>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</si>
  <si>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</si>
  <si>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</si>
  <si>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</si>
  <si>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</si>
  <si>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</si>
  <si>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</si>
  <si>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</si>
  <si>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</si>
  <si>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</si>
  <si>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</si>
  <si>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</si>
  <si>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</si>
  <si>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</si>
  <si>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</si>
  <si>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</si>
  <si>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</si>
  <si>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</si>
  <si>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</si>
  <si>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</si>
  <si>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</si>
  <si>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</si>
  <si>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</si>
  <si>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</si>
  <si>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</si>
  <si>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</si>
  <si>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</si>
  <si>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</si>
  <si>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</si>
  <si>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</si>
  <si>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</si>
  <si>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</si>
  <si>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</si>
  <si>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</si>
  <si>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</si>
  <si>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</si>
  <si>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</si>
  <si>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</si>
  <si>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</si>
  <si>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</si>
  <si>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</si>
  <si>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</si>
  <si>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</si>
  <si>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</si>
  <si>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</si>
  <si>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</si>
  <si>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</si>
  <si>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</si>
  <si>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</si>
  <si>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</si>
  <si>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</si>
  <si>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</si>
  <si>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</si>
  <si>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animals directly spared per $1000</t>
  </si>
  <si>
    <t>animals indirectly spared per $1000</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</si>
  <si>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</si>
  <si>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</si>
  <si>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</si>
  <si>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</si>
  <si>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</si>
  <si>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</si>
  <si>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</si>
  <si>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</si>
  <si>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</si>
  <si>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</si>
  <si>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</si>
  <si>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</si>
  <si>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</si>
  <si>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</si>
  <si>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</si>
  <si>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suffering sumulations prevented</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</si>
  <si>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</si>
  <si>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</si>
  <si>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</si>
  <si>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</si>
  <si>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</si>
  <si>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</si>
  <si>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</si>
  <si>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</si>
  <si>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</si>
  <si>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Non-GV future money moved ($M)</t>
  </si>
  <si>
    <t>was ~6 in 2015</t>
  </si>
  <si>
    <t>(doesn't include standouts or potential new top charities; standouts don't get much, and probably won't be any new top charities)</t>
  </si>
  <si>
    <t>http://www.openphilanthropy.org/blog/our-progress-2015-and-plans-2016</t>
  </si>
  <si>
    <t>https://docs.google.com/spreadsheets/d/1rIpnWtuYSfsjLWkJMO5FTOQE6SRGzJnnyFgyKSwIKOM/</t>
  </si>
  <si>
    <t>was ~15 in 2015 (found by looking at total money moved and subtracting grants listed on Good Ventures website)</t>
  </si>
  <si>
    <t>policy</t>
  </si>
  <si>
    <t>GW (non-GV)</t>
  </si>
  <si>
    <t>GW (GV)</t>
  </si>
  <si>
    <t>total analysts in near future</t>
  </si>
  <si>
    <t>research-money-moved attributable to research analysts</t>
  </si>
  <si>
    <t>GW (non-GV) money moved attributable to marginal research</t>
  </si>
  <si>
    <t>GW (GV) money moved attributable to marginal research</t>
  </si>
  <si>
    <t>OP money moved attributable to marginal research</t>
  </si>
  <si>
    <t>OP money moved per analyst multiplier</t>
  </si>
  <si>
    <t>GW (non-GV) money moved per analyst multiplier</t>
  </si>
  <si>
    <t>GW (GV) money moved per analyst multiplier</t>
  </si>
  <si>
    <t>Money moved per analyst multipliers</t>
  </si>
  <si>
    <t>Good Ventures (GV) future money moved ($M)</t>
  </si>
  <si>
    <t>All Cause Areas</t>
  </si>
  <si>
    <t>Cage-Free Campaigns</t>
  </si>
  <si>
    <t>Cage-free Campaigns</t>
  </si>
  <si>
    <t>Baseline</t>
  </si>
  <si>
    <t>Deworming</t>
  </si>
  <si>
    <t>Criminal Justice</t>
  </si>
  <si>
    <t>Immigration</t>
  </si>
  <si>
    <t>Macroeconomic Policy</t>
  </si>
  <si>
    <t>Biosecurity</t>
  </si>
  <si>
    <t>Land Use Reform</t>
  </si>
  <si>
    <t>Geoengineering</t>
  </si>
  <si>
    <t>includes direct effects only</t>
  </si>
  <si>
    <t>leaves out AI targeted values spreading</t>
  </si>
  <si>
    <t>TODO: maybe far future sigma should be bigger</t>
  </si>
  <si>
    <t>Impact weights</t>
  </si>
  <si>
    <t>was ~23 in 2015. GW money probably helps GD scale up, so we should count that</t>
  </si>
  <si>
    <t>Impact-weighted money moved ($M)</t>
  </si>
  <si>
    <t>Good Ventures</t>
  </si>
  <si>
    <t>Non-Good Ventures</t>
  </si>
  <si>
    <t>Totals</t>
  </si>
  <si>
    <t>OP</t>
  </si>
  <si>
    <t>Impact-weighted money moved per analyst ($K)</t>
  </si>
  <si>
    <t>As of April 2016, there are 18 analysts and 15 other (manager/program officer/operations) http://www.givewell.org/about/people</t>
  </si>
  <si>
    <t>as opposed to management/program officers/operations</t>
  </si>
  <si>
    <t>need to add up to 1</t>
  </si>
  <si>
    <t>total</t>
  </si>
  <si>
    <t>1/total analysts</t>
  </si>
  <si>
    <t>Money moved ($K) prior (log-normal)</t>
  </si>
  <si>
    <t>by efficient-market hypothesis, grantmaking should be about as good as earning to give</t>
  </si>
  <si>
    <t>Posterior (log-normal)</t>
  </si>
  <si>
    <t>Significance</t>
  </si>
  <si>
    <t>direct impact</t>
  </si>
  <si>
    <t>skills</t>
  </si>
  <si>
    <t>network</t>
  </si>
  <si>
    <t>option value</t>
  </si>
  <si>
    <t>risk</t>
  </si>
  <si>
    <t>replaceability</t>
  </si>
  <si>
    <t>1=no replaceability, 0=perfect replaceability</t>
  </si>
  <si>
    <t>other</t>
  </si>
  <si>
    <t>E2G</t>
  </si>
  <si>
    <t>GW</t>
  </si>
  <si>
    <t>weighted score</t>
  </si>
  <si>
    <t>Career Score</t>
  </si>
  <si>
    <t>Doesn't properly account for harm of reneging offer</t>
  </si>
  <si>
    <t>TODO: would make more sense to compute posterior before impact weighting</t>
  </si>
  <si>
    <t>TODO: US policy has (potentially negative) flow-through effects</t>
  </si>
  <si>
    <t>TODO: if AI-targeted values spreading is supportable and OP won't do it, that makes OP look much worse</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</si>
  <si>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</si>
  <si>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</si>
  <si>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</si>
  <si>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</si>
  <si>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</si>
  <si>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</si>
  <si>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</si>
  <si>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</si>
  <si>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</si>
  <si>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</si>
  <si>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</si>
  <si>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</si>
  <si>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</si>
  <si>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</si>
  <si>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</si>
  <si>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</si>
  <si>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money moved ($K)</t>
  </si>
  <si>
    <t>TODO: instead of proprtional significance, weight by equivalent donated dollars (so like, good option value is worth $10K in donations or something)</t>
  </si>
  <si>
    <t>TODO: break out categories into each individual factor</t>
  </si>
  <si>
    <t>TODO: should include far future effects</t>
  </si>
  <si>
    <t>user input</t>
  </si>
  <si>
    <t>Outcomes in a column are conditional on outcomes to the left, e.g. P(we reduce WAS on balance) = D8*B8. I explain my reasoning here: http://mdickens.me/2016/04/17/preventing_human_extinction,_now_with_numbers!/</t>
  </si>
  <si>
    <t>TODO: prior should be that markets are efficient for people with "normal" values, not for me</t>
  </si>
  <si>
    <t>http://globalprioritiesproject.org/2015/08/quantifyingaisafety/</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</si>
</sst>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
      <u/>
      <sz val="12"/>
      <color theme="1"/>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09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4">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8" borderId="0" xfId="0" applyFill="1"/>
    <xf numFmtId="0" fontId="0" fillId="11" borderId="0" xfId="0" applyFill="1"/>
    <xf numFmtId="0" fontId="0" fillId="0" borderId="0" xfId="0" applyNumberFormat="1" applyFill="1" applyBorder="1" applyAlignment="1">
      <alignment horizontal="center" vertical="center" wrapText="1"/>
    </xf>
    <xf numFmtId="0" fontId="1" fillId="0" borderId="0" xfId="2019"/>
    <xf numFmtId="0" fontId="0" fillId="14" borderId="0" xfId="0" applyFill="1"/>
    <xf numFmtId="0" fontId="0" fillId="0" borderId="0" xfId="0" applyFont="1" applyFill="1" applyBorder="1" applyAlignment="1">
      <alignment horizontal="center" vertical="center" wrapText="1"/>
    </xf>
    <xf numFmtId="0" fontId="0" fillId="16" borderId="0" xfId="0" applyNumberFormat="1" applyFill="1" applyBorder="1" applyAlignment="1">
      <alignment horizontal="center" vertical="center" wrapText="1"/>
    </xf>
    <xf numFmtId="0" fontId="0" fillId="16" borderId="0" xfId="0"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0" fillId="5" borderId="0" xfId="0" applyFill="1"/>
    <xf numFmtId="0" fontId="9" fillId="0" borderId="0" xfId="0" applyFont="1"/>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cellXfs>
  <cellStyles count="209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www.openphilanthropy.org/blog/our-progress-2015-and-plans-2016" TargetMode="External"/><Relationship Id="rId2" Type="http://schemas.openxmlformats.org/officeDocument/2006/relationships/hyperlink" Target="https://docs.google.com/spreadsheets/d/1rIpnWtuYSfsjLWkJMO5FTOQE6SRGzJnnyFgyKSwIK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D5" sqref="D5"/>
    </sheetView>
  </sheetViews>
  <sheetFormatPr baseColWidth="10" defaultRowHeight="15" x14ac:dyDescent="0"/>
  <cols>
    <col min="1" max="1" width="28.83203125" customWidth="1"/>
    <col min="2" max="5" width="12.1640625" bestFit="1" customWidth="1"/>
    <col min="7" max="7" width="12.1640625" bestFit="1" customWidth="1"/>
    <col min="8" max="8" width="11.1640625" bestFit="1" customWidth="1"/>
    <col min="10" max="11" width="11.83203125" bestFit="1" customWidth="1"/>
    <col min="13" max="13" width="11.83203125" bestFit="1" customWidth="1"/>
  </cols>
  <sheetData>
    <row r="1" spans="1:12" ht="30" customHeight="1">
      <c r="A1" s="6" t="s">
        <v>143</v>
      </c>
      <c r="G1" s="6" t="s">
        <v>145</v>
      </c>
    </row>
    <row r="2" spans="1:12" ht="30" customHeight="1">
      <c r="A2" s="44"/>
      <c r="B2" s="58" t="s">
        <v>114</v>
      </c>
      <c r="C2" s="58" t="s">
        <v>115</v>
      </c>
      <c r="D2" s="58" t="s">
        <v>144</v>
      </c>
      <c r="G2" s="44"/>
      <c r="H2" s="44" t="s">
        <v>122</v>
      </c>
      <c r="I2" s="44" t="s">
        <v>30</v>
      </c>
      <c r="J2" s="58" t="s">
        <v>114</v>
      </c>
      <c r="K2" s="58" t="s">
        <v>115</v>
      </c>
    </row>
    <row r="3" spans="1:12" ht="30" customHeight="1">
      <c r="A3" s="96" t="s">
        <v>116</v>
      </c>
      <c r="B3" s="97">
        <f>GiveDirectly!B30</f>
        <v>-1026948244859616</v>
      </c>
      <c r="C3" s="97">
        <f>GiveDirectly!B31</f>
        <v>-1950.6813110214819</v>
      </c>
      <c r="D3" s="97">
        <f>C3/$C$3</f>
        <v>1</v>
      </c>
      <c r="G3" s="143" t="s">
        <v>116</v>
      </c>
      <c r="H3" s="80">
        <f>GiveDirectly!G3</f>
        <v>1</v>
      </c>
      <c r="I3" s="79">
        <f>GiveDirectly!H3</f>
        <v>6.25E-2</v>
      </c>
      <c r="J3" s="97">
        <f>GiveDirectly!G4</f>
        <v>1.0718443947358864</v>
      </c>
      <c r="K3" s="97">
        <f>GiveDirectly!G5</f>
        <v>1.1417331931971864</v>
      </c>
    </row>
    <row r="4" spans="1:12" ht="30" customHeight="1">
      <c r="A4" s="96" t="s">
        <v>176</v>
      </c>
      <c r="B4" s="97">
        <f>THL!B30</f>
        <v>5.7048332425094957E+27</v>
      </c>
      <c r="C4" s="97">
        <f>THL!B31</f>
        <v>16707.059390734114</v>
      </c>
      <c r="D4" s="97">
        <f>C4/C3</f>
        <v>-8.564730331058227</v>
      </c>
      <c r="G4" s="80" t="s">
        <v>121</v>
      </c>
      <c r="H4" s="140">
        <f>Summary!B16</f>
        <v>9</v>
      </c>
      <c r="I4" s="140">
        <f>Summary!C16</f>
        <v>14</v>
      </c>
      <c r="J4" s="97">
        <f>ParetoPosterior(median,alpha,H4:I4)</f>
        <v>2.0679148941705034</v>
      </c>
      <c r="K4" s="97">
        <f>LognormPosterior(mu_global_poverty,sigma_global_poverty,H4:I4)</f>
        <v>1.9930339862033075</v>
      </c>
    </row>
    <row r="5" spans="1:12" ht="30" customHeight="1">
      <c r="A5" s="96" t="s">
        <v>117</v>
      </c>
      <c r="B5" s="97">
        <f>'AI Safety'!B11</f>
        <v>6.3112967095697785E+27</v>
      </c>
      <c r="C5" s="97">
        <f>'AI Safety'!B12</f>
        <v>9726.1535524662831</v>
      </c>
      <c r="D5" s="97">
        <f>C5/$C$3</f>
        <v>-4.9860289825472028</v>
      </c>
      <c r="G5" s="80" t="s">
        <v>176</v>
      </c>
      <c r="H5" s="140">
        <f>THL!I5</f>
        <v>5429.9171264394072</v>
      </c>
      <c r="I5" s="79">
        <f>THL!J5</f>
        <v>0.49504262895320128</v>
      </c>
      <c r="J5" s="97">
        <f>THL!I6</f>
        <v>417.62178374956346</v>
      </c>
      <c r="K5" s="97">
        <f>THL!I7</f>
        <v>128.50116005609027</v>
      </c>
    </row>
    <row r="6" spans="1:12" ht="30" customHeight="1">
      <c r="A6" s="96" t="s">
        <v>142</v>
      </c>
      <c r="B6" s="97">
        <f>'AI Targeted Values Spreading'!B23</f>
        <v>7.2132299652590788E+36</v>
      </c>
      <c r="C6" s="97">
        <f>'AI Targeted Values Spreading'!B24</f>
        <v>102893.57115660656</v>
      </c>
      <c r="D6" s="97">
        <f>C6/$C$3</f>
        <v>-52.747504461774916</v>
      </c>
      <c r="G6" s="80" t="s">
        <v>279</v>
      </c>
      <c r="H6" s="140">
        <f>'Cage-Free'!I5</f>
        <v>88741.196746494257</v>
      </c>
      <c r="I6" s="140">
        <f>'Cage-Free'!J5</f>
        <v>0.31528753718843733</v>
      </c>
      <c r="J6" s="97">
        <f>'Cage-Free'!I6</f>
        <v>16688.962205545566</v>
      </c>
      <c r="K6" s="97">
        <f>'Cage-Free'!I7</f>
        <v>806.49565877976409</v>
      </c>
    </row>
    <row r="7" spans="1:12" ht="30" customHeight="1"/>
    <row r="8" spans="1:12" ht="30" customHeight="1">
      <c r="G8" s="3"/>
      <c r="H8" s="9"/>
      <c r="I8" s="3"/>
      <c r="K8" s="3"/>
      <c r="L8" s="3"/>
    </row>
    <row r="9" spans="1:12" ht="30" customHeight="1">
      <c r="A9" s="6" t="s">
        <v>277</v>
      </c>
    </row>
    <row r="10" spans="1:12" ht="30" customHeight="1">
      <c r="A10" s="44" t="s">
        <v>256</v>
      </c>
      <c r="B10" s="44" t="s">
        <v>0</v>
      </c>
      <c r="C10" s="44" t="s">
        <v>1</v>
      </c>
      <c r="D10" s="44" t="s">
        <v>161</v>
      </c>
      <c r="E10" s="44" t="s">
        <v>163</v>
      </c>
      <c r="F10" s="58" t="s">
        <v>114</v>
      </c>
      <c r="G10" s="58" t="s">
        <v>115</v>
      </c>
      <c r="H10" s="44" t="s">
        <v>27</v>
      </c>
    </row>
    <row r="11" spans="1:12" ht="30" customHeight="1">
      <c r="A11" s="44" t="s">
        <v>116</v>
      </c>
      <c r="B11" s="44"/>
      <c r="C11" s="44"/>
      <c r="D11" s="44"/>
      <c r="E11" s="44"/>
      <c r="F11" s="146">
        <f>J3</f>
        <v>1.0718443947358864</v>
      </c>
      <c r="G11" s="146">
        <f>K3</f>
        <v>1.1417331931971864</v>
      </c>
      <c r="H11" t="s">
        <v>288</v>
      </c>
    </row>
    <row r="12" spans="1:12" ht="30" customHeight="1">
      <c r="A12" s="44" t="s">
        <v>176</v>
      </c>
      <c r="B12" s="44"/>
      <c r="C12" s="44"/>
      <c r="D12" s="44"/>
      <c r="E12" s="44"/>
      <c r="F12" s="146">
        <f>B4</f>
        <v>5.7048332425094957E+27</v>
      </c>
      <c r="G12" s="146">
        <f>C4</f>
        <v>16707.059390734114</v>
      </c>
    </row>
    <row r="13" spans="1:12" ht="30" customHeight="1">
      <c r="A13" s="44" t="s">
        <v>278</v>
      </c>
      <c r="B13" s="44"/>
      <c r="C13" s="44"/>
      <c r="D13" s="44"/>
      <c r="E13" s="44"/>
      <c r="F13" s="146">
        <f>J6</f>
        <v>16688.962205545566</v>
      </c>
      <c r="G13" s="146">
        <f>K6</f>
        <v>806.49565877976409</v>
      </c>
    </row>
    <row r="14" spans="1:12" ht="30" customHeight="1">
      <c r="A14" s="44" t="s">
        <v>117</v>
      </c>
      <c r="B14" s="44"/>
      <c r="C14" s="44"/>
      <c r="D14" s="44"/>
      <c r="E14" s="44"/>
      <c r="F14" s="146">
        <f>B5</f>
        <v>6.3112967095697785E+27</v>
      </c>
      <c r="G14" s="146">
        <f>C5</f>
        <v>9726.1535524662831</v>
      </c>
    </row>
    <row r="15" spans="1:12" ht="30" customHeight="1">
      <c r="A15" s="44" t="s">
        <v>142</v>
      </c>
      <c r="B15" s="44"/>
      <c r="C15" s="44"/>
      <c r="D15" s="44"/>
      <c r="E15" s="44"/>
      <c r="F15" s="146">
        <f>B6</f>
        <v>7.2132299652590788E+36</v>
      </c>
      <c r="G15" s="146">
        <f>C6</f>
        <v>102893.57115660656</v>
      </c>
    </row>
    <row r="16" spans="1:12" ht="30" customHeight="1">
      <c r="A16" s="62" t="s">
        <v>121</v>
      </c>
      <c r="B16" s="92">
        <v>9</v>
      </c>
      <c r="C16" s="92">
        <v>14</v>
      </c>
      <c r="D16" s="140">
        <f t="shared" ref="D16:D21" si="0">GEOMEAN(B16,C16)</f>
        <v>11.224972160321824</v>
      </c>
      <c r="E16" s="80">
        <f t="shared" ref="E16:E21" si="1">LogVariance(B16,C16)</f>
        <v>7.4864535847752101E-2</v>
      </c>
      <c r="F16" s="146">
        <f t="shared" ref="F16:F21" si="2">ParetoPosterior(median,alpha,$D16:$E16)</f>
        <v>8.4924674931130699</v>
      </c>
      <c r="G16" s="146">
        <f>LognormPosterior(mu_global_poverty,sigma_global_poverty,$D16:$E16)</f>
        <v>7.4903150222803587</v>
      </c>
    </row>
    <row r="17" spans="1:8" ht="30" customHeight="1">
      <c r="A17" s="62" t="s">
        <v>281</v>
      </c>
      <c r="B17" s="92">
        <v>6</v>
      </c>
      <c r="C17" s="92">
        <v>30</v>
      </c>
      <c r="D17" s="140">
        <f t="shared" si="0"/>
        <v>13.416407864998737</v>
      </c>
      <c r="E17" s="80">
        <f t="shared" si="1"/>
        <v>0.27270459618181209</v>
      </c>
      <c r="F17" s="146">
        <f t="shared" si="2"/>
        <v>6.0915157613294326</v>
      </c>
      <c r="G17" s="146">
        <f>LognormPosterior(mu_global_poverty,sigma_global_poverty,$D17:$E17)</f>
        <v>4.8920435271201423</v>
      </c>
    </row>
    <row r="18" spans="1:8" ht="30" customHeight="1">
      <c r="A18" s="62" t="s">
        <v>282</v>
      </c>
      <c r="B18" s="92">
        <v>0.5</v>
      </c>
      <c r="C18" s="92">
        <v>15</v>
      </c>
      <c r="D18" s="140">
        <f t="shared" si="0"/>
        <v>2.7386127875258306</v>
      </c>
      <c r="E18" s="80">
        <f t="shared" si="1"/>
        <v>0.57630191965469357</v>
      </c>
      <c r="F18" s="146">
        <f t="shared" si="2"/>
        <v>2.0691452948002396</v>
      </c>
      <c r="G18" s="146">
        <f>LognormPosterior(mu_policy,sigma_policy,$D18:$E18)</f>
        <v>2.1533645828888015</v>
      </c>
      <c r="H18" s="127" t="s">
        <v>257</v>
      </c>
    </row>
    <row r="19" spans="1:8" ht="30" customHeight="1">
      <c r="A19" s="62" t="s">
        <v>283</v>
      </c>
      <c r="B19" s="92">
        <v>2</v>
      </c>
      <c r="C19" s="92">
        <v>25</v>
      </c>
      <c r="D19" s="140">
        <f t="shared" si="0"/>
        <v>7.0710678118654755</v>
      </c>
      <c r="E19" s="80">
        <f t="shared" si="1"/>
        <v>0.42796171550924683</v>
      </c>
      <c r="F19" s="146">
        <f t="shared" si="2"/>
        <v>3.4386945133587363</v>
      </c>
      <c r="G19" s="146">
        <f>LognormPosterior(mu_policy,sigma_policy,$D19:$E19)</f>
        <v>3.1256280054935086</v>
      </c>
    </row>
    <row r="20" spans="1:8" ht="30" customHeight="1">
      <c r="A20" s="62" t="s">
        <v>286</v>
      </c>
      <c r="B20" s="92">
        <v>0.1</v>
      </c>
      <c r="C20" s="92">
        <v>10</v>
      </c>
      <c r="D20" s="140">
        <f t="shared" si="0"/>
        <v>1</v>
      </c>
      <c r="E20" s="80">
        <f t="shared" si="1"/>
        <v>0.78030414607237897</v>
      </c>
      <c r="F20" s="146">
        <f t="shared" si="2"/>
        <v>1.4238519533703335</v>
      </c>
      <c r="G20" s="146">
        <f>LognormPosterior(mu_policy,sigma_policy,$D20:$E20)</f>
        <v>1.6519000818440668</v>
      </c>
    </row>
    <row r="21" spans="1:8" ht="30" customHeight="1">
      <c r="A21" s="62" t="s">
        <v>284</v>
      </c>
      <c r="B21" s="92">
        <v>1</v>
      </c>
      <c r="C21" s="92">
        <v>100</v>
      </c>
      <c r="D21" s="140">
        <f t="shared" si="0"/>
        <v>10</v>
      </c>
      <c r="E21" s="80">
        <f t="shared" si="1"/>
        <v>0.78030414607237897</v>
      </c>
      <c r="F21" s="146">
        <f t="shared" si="2"/>
        <v>3.2990094699021735</v>
      </c>
      <c r="G21" s="146">
        <f>LognormPosterior(mu_policy,sigma_policy,$D21:$E21)</f>
        <v>2.8882219933171887</v>
      </c>
    </row>
    <row r="22" spans="1:8" ht="30" customHeight="1">
      <c r="A22" s="62" t="s">
        <v>285</v>
      </c>
      <c r="B22" s="44"/>
      <c r="C22" s="44"/>
      <c r="D22" s="147">
        <f>'AI Safety'!H26/10</f>
        <v>9.7766637805357065E+38</v>
      </c>
      <c r="E22" s="147">
        <f>'AI Safety'!I26</f>
        <v>5.2940810392801163</v>
      </c>
      <c r="F22" s="146">
        <f>ParetoPosterior(1,alpha,$D22:$E22)</f>
        <v>6.3112967095697741E+26</v>
      </c>
      <c r="G22" s="146">
        <f>LognormPosterior(mu_far_future,sigma_far_future,$D22:$E22)</f>
        <v>8766.9390209764206</v>
      </c>
    </row>
    <row r="23" spans="1:8" ht="30" customHeight="1">
      <c r="A23" s="62" t="s">
        <v>287</v>
      </c>
      <c r="B23" s="44"/>
      <c r="C23" s="44"/>
      <c r="D23" s="147">
        <f>D22</f>
        <v>9.7766637805357065E+38</v>
      </c>
      <c r="E23" s="147">
        <f>E22</f>
        <v>5.2940810392801163</v>
      </c>
      <c r="F23" s="146">
        <f>ParetoPosterior(median,alpha,$D23:$E23)</f>
        <v>6.3112967095697741E+26</v>
      </c>
      <c r="G23" s="146">
        <f>LognormPosterior(mu_far_future,sigma_far_future,$D23:$E23)</f>
        <v>8766.9390209764206</v>
      </c>
    </row>
    <row r="24" spans="1:8" ht="30" customHeight="1">
      <c r="A24" s="3"/>
      <c r="B24" s="3"/>
      <c r="C24" s="3"/>
      <c r="D24" s="3"/>
    </row>
    <row r="25" spans="1:8" ht="30" customHeight="1"/>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M21" sqref="M21"/>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150</v>
      </c>
      <c r="C1" s="6" t="s">
        <v>81</v>
      </c>
      <c r="J1" s="6" t="s">
        <v>4</v>
      </c>
      <c r="M1" s="1"/>
    </row>
    <row r="2" spans="1:13" ht="30" customHeight="1">
      <c r="A2" s="24">
        <v>1</v>
      </c>
      <c r="B2" t="s">
        <v>151</v>
      </c>
      <c r="D2" t="s">
        <v>264</v>
      </c>
      <c r="E2" s="5" t="s">
        <v>147</v>
      </c>
      <c r="F2" s="5" t="s">
        <v>148</v>
      </c>
      <c r="G2" s="5" t="s">
        <v>149</v>
      </c>
      <c r="H2" s="3"/>
    </row>
    <row r="3" spans="1:13" s="44" customFormat="1" ht="30" customHeight="1">
      <c r="A3" s="39" t="s">
        <v>255</v>
      </c>
      <c r="C3" s="71" t="s">
        <v>82</v>
      </c>
      <c r="D3" s="72">
        <v>1</v>
      </c>
      <c r="E3" s="72">
        <v>1</v>
      </c>
      <c r="F3" s="72">
        <v>10</v>
      </c>
      <c r="G3" s="109">
        <v>100</v>
      </c>
      <c r="H3" s="71" t="s">
        <v>82</v>
      </c>
      <c r="I3" s="73" t="s">
        <v>194</v>
      </c>
      <c r="J3" s="74"/>
      <c r="K3" s="71" t="s">
        <v>3</v>
      </c>
      <c r="L3" s="75">
        <v>1</v>
      </c>
    </row>
    <row r="4" spans="1:13" s="44" customFormat="1" ht="30" customHeight="1">
      <c r="C4" s="71" t="s">
        <v>83</v>
      </c>
      <c r="D4" s="72">
        <v>0.5</v>
      </c>
      <c r="E4" s="72">
        <v>0.5</v>
      </c>
      <c r="F4" s="72">
        <f>sigma_global_poverty</f>
        <v>0.5</v>
      </c>
      <c r="G4" s="72">
        <v>0.5</v>
      </c>
      <c r="H4" s="71" t="s">
        <v>83</v>
      </c>
      <c r="I4" s="73" t="s">
        <v>195</v>
      </c>
      <c r="J4" s="74"/>
      <c r="K4" s="71" t="s">
        <v>2</v>
      </c>
      <c r="L4" s="72">
        <v>1.5</v>
      </c>
    </row>
    <row r="5" spans="1:13" ht="30" customHeight="1">
      <c r="C5" s="103" t="s">
        <v>196</v>
      </c>
      <c r="G5" s="103" t="s">
        <v>290</v>
      </c>
    </row>
    <row r="6" spans="1:13" ht="30" customHeight="1"/>
    <row r="7" spans="1:13" ht="30" customHeight="1">
      <c r="A7" s="76" t="s">
        <v>13</v>
      </c>
      <c r="B7" s="34"/>
      <c r="C7" s="34"/>
      <c r="D7" s="119" t="s">
        <v>345</v>
      </c>
      <c r="E7" s="34"/>
      <c r="F7" s="34"/>
      <c r="J7" s="6" t="s">
        <v>90</v>
      </c>
      <c r="L7" s="48" t="s">
        <v>65</v>
      </c>
    </row>
    <row r="8" spans="1:13" s="44" customFormat="1" ht="30" customHeight="1">
      <c r="A8" s="77" t="s">
        <v>5</v>
      </c>
      <c r="B8" s="78">
        <v>0.2</v>
      </c>
      <c r="C8" s="77" t="s">
        <v>12</v>
      </c>
      <c r="D8" s="78">
        <v>0.7</v>
      </c>
      <c r="E8" s="79" t="s">
        <v>253</v>
      </c>
      <c r="F8" s="79"/>
      <c r="J8" s="58" t="s">
        <v>92</v>
      </c>
      <c r="L8" s="66" t="s">
        <v>26</v>
      </c>
      <c r="M8" s="108">
        <v>20000000000</v>
      </c>
    </row>
    <row r="9" spans="1:13" s="44" customFormat="1" ht="30" customHeight="1">
      <c r="A9" s="77" t="s">
        <v>224</v>
      </c>
      <c r="B9" s="78">
        <v>0.4</v>
      </c>
      <c r="C9" s="77" t="s">
        <v>6</v>
      </c>
      <c r="D9" s="78">
        <v>0.8</v>
      </c>
      <c r="E9" s="77" t="s">
        <v>61</v>
      </c>
      <c r="F9" s="78">
        <v>0.3</v>
      </c>
      <c r="J9" s="59" t="s">
        <v>91</v>
      </c>
      <c r="L9" s="66" t="s">
        <v>97</v>
      </c>
      <c r="M9" s="92">
        <v>0.05</v>
      </c>
    </row>
    <row r="10" spans="1:13" s="44" customFormat="1" ht="30" customHeight="1">
      <c r="A10" s="80"/>
      <c r="B10" s="80"/>
      <c r="C10" s="80"/>
      <c r="D10" s="126" t="s">
        <v>240</v>
      </c>
      <c r="E10" s="77" t="s">
        <v>8</v>
      </c>
      <c r="F10" s="81">
        <v>0.4</v>
      </c>
      <c r="J10" s="60" t="s">
        <v>52</v>
      </c>
    </row>
    <row r="11" spans="1:13" s="44" customFormat="1" ht="30" customHeight="1">
      <c r="A11" s="79"/>
      <c r="B11" s="79"/>
      <c r="C11" s="79"/>
      <c r="D11" s="79"/>
      <c r="E11" s="77" t="s">
        <v>7</v>
      </c>
      <c r="F11" s="81">
        <v>0.3</v>
      </c>
      <c r="J11" s="61" t="s">
        <v>190</v>
      </c>
    </row>
    <row r="12" spans="1:13" s="44" customFormat="1" ht="30" customHeight="1">
      <c r="A12" s="77" t="s">
        <v>225</v>
      </c>
      <c r="B12" s="78">
        <v>0.4</v>
      </c>
      <c r="C12" s="77" t="s">
        <v>9</v>
      </c>
      <c r="D12" s="78">
        <v>0.05</v>
      </c>
      <c r="E12" s="80" t="s">
        <v>250</v>
      </c>
      <c r="F12" s="79"/>
      <c r="J12" s="44" t="s">
        <v>191</v>
      </c>
    </row>
    <row r="13" spans="1:13" s="44" customFormat="1" ht="30" customHeight="1">
      <c r="A13" s="79"/>
      <c r="B13" s="79"/>
      <c r="C13" s="77" t="s">
        <v>201</v>
      </c>
      <c r="D13" s="78">
        <v>0.3</v>
      </c>
      <c r="E13" s="79" t="s">
        <v>249</v>
      </c>
      <c r="F13" s="79"/>
      <c r="J13" s="62" t="s">
        <v>344</v>
      </c>
    </row>
    <row r="14" spans="1:13" s="44" customFormat="1" ht="30" customHeight="1">
      <c r="A14" s="79"/>
      <c r="B14" s="79"/>
      <c r="C14" s="77" t="s">
        <v>10</v>
      </c>
      <c r="D14" s="78">
        <v>0.64</v>
      </c>
      <c r="E14" s="79" t="s">
        <v>251</v>
      </c>
      <c r="F14" s="79"/>
      <c r="J14" s="152" t="s">
        <v>344</v>
      </c>
    </row>
    <row r="15" spans="1:13" s="44" customFormat="1" ht="30" customHeight="1">
      <c r="A15" s="79"/>
      <c r="B15" s="79"/>
      <c r="C15" s="77" t="s">
        <v>11</v>
      </c>
      <c r="D15" s="78">
        <v>0.01</v>
      </c>
      <c r="E15" s="79" t="s">
        <v>252</v>
      </c>
      <c r="F15" s="79"/>
      <c r="J15" s="153" t="s">
        <v>344</v>
      </c>
    </row>
    <row r="16" spans="1:13" ht="30" customHeight="1">
      <c r="D16" s="103" t="s">
        <v>239</v>
      </c>
    </row>
    <row r="17" spans="1:13" ht="30" customHeight="1"/>
    <row r="18" spans="1:13" ht="30" customHeight="1">
      <c r="A18" s="6" t="s">
        <v>37</v>
      </c>
      <c r="D18" s="39" t="s">
        <v>247</v>
      </c>
    </row>
    <row r="19" spans="1:13" ht="30" customHeight="1">
      <c r="A19" s="6"/>
      <c r="B19" s="39" t="s">
        <v>214</v>
      </c>
      <c r="D19" s="39" t="s">
        <v>209</v>
      </c>
    </row>
    <row r="20" spans="1:13" ht="30" customHeight="1">
      <c r="B20" s="44" t="s">
        <v>0</v>
      </c>
      <c r="C20" s="44" t="s">
        <v>1</v>
      </c>
      <c r="D20" s="45" t="s">
        <v>0</v>
      </c>
      <c r="E20" s="44" t="s">
        <v>1</v>
      </c>
      <c r="F20" s="44" t="s">
        <v>60</v>
      </c>
      <c r="G20" s="104" t="s">
        <v>210</v>
      </c>
      <c r="H20" s="44" t="s">
        <v>212</v>
      </c>
      <c r="I20" s="44" t="s">
        <v>211</v>
      </c>
      <c r="J20" s="44" t="s">
        <v>213</v>
      </c>
      <c r="K20" s="44" t="s">
        <v>161</v>
      </c>
      <c r="L20" s="44" t="s">
        <v>163</v>
      </c>
      <c r="M20" s="44" t="s">
        <v>27</v>
      </c>
    </row>
    <row r="21" spans="1:13" ht="30" customHeight="1">
      <c r="A21" s="62" t="s">
        <v>227</v>
      </c>
      <c r="B21" s="65">
        <v>1</v>
      </c>
      <c r="C21" s="92">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246</v>
      </c>
    </row>
    <row r="22" spans="1:13" s="44" customFormat="1" ht="30" customHeight="1">
      <c r="A22" s="64" t="s">
        <v>226</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228</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154</v>
      </c>
    </row>
    <row r="24" spans="1:13" s="44" customFormat="1" ht="30" customHeight="1">
      <c r="A24" s="66" t="s">
        <v>119</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146</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198</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161</v>
      </c>
      <c r="L35" s="54" t="s">
        <v>162</v>
      </c>
      <c r="O35" s="54" t="s">
        <v>161</v>
      </c>
      <c r="P35" s="54" t="s">
        <v>162</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126</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8" sqref="L8"/>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230</v>
      </c>
    </row>
    <row r="2" spans="1:18" ht="45">
      <c r="B2" s="110" t="s">
        <v>161</v>
      </c>
      <c r="C2" s="110" t="s">
        <v>162</v>
      </c>
      <c r="D2" s="5" t="s">
        <v>27</v>
      </c>
      <c r="E2" s="5"/>
      <c r="F2" s="5"/>
      <c r="G2" s="110" t="s">
        <v>161</v>
      </c>
      <c r="H2" s="110" t="s">
        <v>162</v>
      </c>
      <c r="I2" s="5" t="s">
        <v>27</v>
      </c>
      <c r="L2" s="3" t="s">
        <v>165</v>
      </c>
      <c r="M2" s="3" t="s">
        <v>163</v>
      </c>
      <c r="O2" t="s">
        <v>166</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188</v>
      </c>
      <c r="L3" s="14">
        <f>G10*O3</f>
        <v>1.2649110640673517E+34</v>
      </c>
      <c r="M3" s="14">
        <f>H10</f>
        <v>2.7310645112533267</v>
      </c>
      <c r="N3" t="s">
        <v>72</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182</v>
      </c>
      <c r="L4" s="14">
        <f>B11*O4</f>
        <v>6.3245553203367595E+46</v>
      </c>
      <c r="M4" s="14">
        <f>C11</f>
        <v>3.5113686573257055</v>
      </c>
      <c r="N4" t="s">
        <v>76</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199</v>
      </c>
      <c r="L5" s="14">
        <f>B16*O5</f>
        <v>3.7947331922020553E+44</v>
      </c>
      <c r="M5" s="14">
        <f>C16</f>
        <v>3.5113686573257055</v>
      </c>
      <c r="N5" t="s">
        <v>200</v>
      </c>
      <c r="O5">
        <f>p_computronium*p_ems</f>
        <v>0.12</v>
      </c>
      <c r="Q5" s="3"/>
      <c r="R5" s="3"/>
    </row>
    <row r="6" spans="1:18">
      <c r="A6" s="5" t="s">
        <v>41</v>
      </c>
      <c r="B6" s="8">
        <f>VLOOKUP($A6,Globals!$J$36:$L$40,2,FALSE)</f>
        <v>0.1</v>
      </c>
      <c r="C6" s="8">
        <f>VLOOKUP($A6,Globals!$J$36:$L$40,3,FALSE)</f>
        <v>0</v>
      </c>
      <c r="D6" s="5"/>
      <c r="E6" s="5"/>
      <c r="F6" s="5"/>
      <c r="G6" s="5"/>
      <c r="H6" s="5"/>
      <c r="I6" s="5"/>
      <c r="K6" s="30" t="s">
        <v>157</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153</v>
      </c>
      <c r="Q6" s="3"/>
      <c r="R6" s="3"/>
    </row>
    <row r="7" spans="1:18">
      <c r="B7" s="5"/>
      <c r="C7" s="5"/>
      <c r="D7" s="5"/>
      <c r="E7" s="5"/>
      <c r="F7" s="10" t="s">
        <v>50</v>
      </c>
      <c r="G7" s="5"/>
      <c r="H7" s="5"/>
      <c r="I7" s="5"/>
      <c r="K7" s="3" t="s">
        <v>160</v>
      </c>
      <c r="L7" s="3">
        <f>STupidExcelMean(L6)</f>
        <v>7.0620256985400632E+50</v>
      </c>
      <c r="M7" s="3">
        <f>STupidExcelVariance(L6,L7)</f>
        <v>5.959747492242024E+109</v>
      </c>
      <c r="N7" t="s">
        <v>155</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227</v>
      </c>
      <c r="G9" s="5">
        <f>VLOOKUP(F9,Globals!$A$21:$L$30,11,FALSE)</f>
        <v>1</v>
      </c>
      <c r="H9" s="5">
        <f>VLOOKUP(F9,Globals!$A$21:$L$30,12,FALSE)</f>
        <v>0</v>
      </c>
      <c r="I9" s="12" t="s">
        <v>229</v>
      </c>
      <c r="K9" s="15" t="s">
        <v>187</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184</v>
      </c>
      <c r="L10" s="14">
        <f>G22*O10</f>
        <v>5.1200000000000003E+36</v>
      </c>
      <c r="M10" s="14">
        <f>H22</f>
        <v>3.1212165842895159</v>
      </c>
      <c r="N10" t="s">
        <v>73</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185</v>
      </c>
      <c r="L11" s="14">
        <f>G28*O11</f>
        <v>1.6190861620062103E+40</v>
      </c>
      <c r="M11" s="14">
        <f>H28</f>
        <v>3.5113686573257055</v>
      </c>
      <c r="N11" t="s">
        <v>74</v>
      </c>
      <c r="O11">
        <f>p_biological*p_not_care_about_animals*p_spread_was</f>
        <v>0.12800000000000003</v>
      </c>
      <c r="Q11" s="3"/>
      <c r="R11" s="3"/>
    </row>
    <row r="12" spans="1:18">
      <c r="B12" s="8"/>
      <c r="C12" s="5"/>
      <c r="D12" s="5"/>
      <c r="E12" s="5"/>
      <c r="F12" s="5"/>
      <c r="G12" s="5"/>
      <c r="H12" s="5"/>
      <c r="I12" s="5"/>
      <c r="K12" s="15" t="s">
        <v>186</v>
      </c>
      <c r="L12" s="14">
        <f>G35*O12</f>
        <v>3.8399999999999992E+38</v>
      </c>
      <c r="M12" s="14">
        <f>H35</f>
        <v>4.6818248764342734</v>
      </c>
      <c r="N12" t="s">
        <v>75</v>
      </c>
      <c r="O12">
        <f>p_biological*p_not_care_about_animals*p_suffering_simulations</f>
        <v>9.6000000000000016E-2</v>
      </c>
      <c r="Q12" s="3"/>
      <c r="R12" s="3"/>
    </row>
    <row r="13" spans="1:18" ht="30">
      <c r="B13" s="5"/>
      <c r="C13" s="5"/>
      <c r="D13" s="5"/>
      <c r="E13" s="5"/>
      <c r="F13" s="10" t="s">
        <v>53</v>
      </c>
      <c r="G13" s="5"/>
      <c r="H13" s="5"/>
      <c r="I13" s="5"/>
      <c r="K13" s="15" t="s">
        <v>189</v>
      </c>
      <c r="L13" s="14">
        <f>B21*O13</f>
        <v>8.0954308100310524E+43</v>
      </c>
      <c r="M13" s="14">
        <f>C21</f>
        <v>3.5113686573257055</v>
      </c>
      <c r="N13" t="s">
        <v>77</v>
      </c>
      <c r="O13">
        <f>p_computronium*p_paperclip</f>
        <v>0.25600000000000001</v>
      </c>
      <c r="Q13" s="3"/>
      <c r="R13" s="3"/>
    </row>
    <row r="14" spans="1:18" ht="30">
      <c r="A14" s="10" t="s">
        <v>197</v>
      </c>
      <c r="B14" s="5"/>
      <c r="C14" s="5"/>
      <c r="D14" s="5"/>
      <c r="E14" s="5"/>
      <c r="F14" s="5" t="s">
        <v>18</v>
      </c>
      <c r="G14" s="5">
        <f>VLOOKUP($F14,Globals!$N$36:$P$42,2,FALSE)</f>
        <v>100000000000</v>
      </c>
      <c r="H14" s="5">
        <f>VLOOKUP($F14,Globals!$N$36:$P$42,3,FALSE)</f>
        <v>0.78030414607237897</v>
      </c>
      <c r="I14" s="5"/>
      <c r="K14" s="15" t="s">
        <v>183</v>
      </c>
      <c r="L14" s="14">
        <f>B26*O14</f>
        <v>1.2649110640673518E+46</v>
      </c>
      <c r="M14" s="14">
        <f>C26</f>
        <v>3.5113686573257055</v>
      </c>
      <c r="N14" t="s">
        <v>78</v>
      </c>
      <c r="O14">
        <f>p_computronium*p_dolorium</f>
        <v>4.0000000000000001E-3</v>
      </c>
    </row>
    <row r="15" spans="1:18" ht="30">
      <c r="A15" s="5" t="s">
        <v>198</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158</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153</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159</v>
      </c>
      <c r="L16" s="3">
        <f>STupidExcelMean(L15)</f>
        <v>1.4217858907253908E+50</v>
      </c>
      <c r="M16" s="3">
        <f>STupidExcelVariance(L15,L16)</f>
        <v>2.3987886749258687E+108</v>
      </c>
      <c r="N16" s="7" t="s">
        <v>155</v>
      </c>
    </row>
    <row r="17" spans="1:23">
      <c r="B17" s="5"/>
      <c r="C17" s="5"/>
      <c r="D17" s="5"/>
      <c r="E17" s="5"/>
      <c r="F17" s="5"/>
      <c r="G17" s="5"/>
      <c r="H17" s="5"/>
      <c r="I17" s="5"/>
    </row>
    <row r="18" spans="1:23">
      <c r="B18" s="5"/>
      <c r="C18" s="5"/>
      <c r="D18" s="5"/>
      <c r="E18" s="5"/>
      <c r="F18" s="5"/>
      <c r="G18" s="5"/>
      <c r="H18" s="5"/>
      <c r="I18" s="5"/>
      <c r="K18" s="3" t="s">
        <v>156</v>
      </c>
      <c r="L18" s="3">
        <f>L7-L16</f>
        <v>5.6402398078146723E+50</v>
      </c>
      <c r="M18">
        <f>DifferenceVariance(L7:M7,L16:M16)</f>
        <v>6.1996263597346108E+109</v>
      </c>
    </row>
    <row r="19" spans="1:23" ht="30">
      <c r="A19" s="10" t="s">
        <v>48</v>
      </c>
      <c r="B19" s="5"/>
      <c r="C19" s="5"/>
      <c r="D19" s="5"/>
      <c r="E19" s="5"/>
      <c r="F19" s="10" t="s">
        <v>55</v>
      </c>
      <c r="G19" s="5"/>
      <c r="H19" s="5"/>
      <c r="I19" s="5"/>
      <c r="K19" s="27" t="s">
        <v>109</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2"/>
  <sheetViews>
    <sheetView workbookViewId="0">
      <selection activeCell="J25" sqref="J25"/>
    </sheetView>
  </sheetViews>
  <sheetFormatPr baseColWidth="10" defaultRowHeight="15" x14ac:dyDescent="0"/>
  <cols>
    <col min="1" max="1" width="21.6640625" customWidth="1"/>
    <col min="2" max="2" width="12.1640625" bestFit="1" customWidth="1"/>
    <col min="8" max="8" width="21.6640625" customWidth="1"/>
    <col min="11" max="12" width="11.83203125" bestFit="1" customWidth="1"/>
  </cols>
  <sheetData>
    <row r="1" spans="1:13">
      <c r="A1" s="1" t="s">
        <v>304</v>
      </c>
      <c r="H1" s="1" t="s">
        <v>275</v>
      </c>
    </row>
    <row r="2" spans="1:13">
      <c r="A2" s="4" t="s">
        <v>82</v>
      </c>
      <c r="B2" s="148">
        <v>50</v>
      </c>
      <c r="C2" t="s">
        <v>305</v>
      </c>
      <c r="I2" t="s">
        <v>0</v>
      </c>
      <c r="J2" t="s">
        <v>1</v>
      </c>
      <c r="K2" t="s">
        <v>161</v>
      </c>
      <c r="L2" t="s">
        <v>163</v>
      </c>
      <c r="M2" t="s">
        <v>27</v>
      </c>
    </row>
    <row r="3" spans="1:13">
      <c r="A3" s="4" t="s">
        <v>83</v>
      </c>
      <c r="B3" s="148">
        <v>0.5</v>
      </c>
      <c r="H3" s="139" t="s">
        <v>267</v>
      </c>
      <c r="I3" s="138">
        <v>20</v>
      </c>
      <c r="J3" s="138">
        <v>30</v>
      </c>
      <c r="K3" s="140">
        <f t="shared" ref="K3" si="0">GEOMEAN(I3,J3)</f>
        <v>24.494897427831781</v>
      </c>
      <c r="L3" s="80">
        <f t="shared" ref="L3" si="1">LogVariance(I3,J3)</f>
        <v>6.8702369764126706E-2</v>
      </c>
      <c r="M3" t="s">
        <v>299</v>
      </c>
    </row>
    <row r="4" spans="1:13">
      <c r="H4" s="3" t="s">
        <v>303</v>
      </c>
      <c r="I4" s="3">
        <f>1/J3</f>
        <v>3.3333333333333333E-2</v>
      </c>
      <c r="J4" s="3">
        <f>1/I3</f>
        <v>0.05</v>
      </c>
      <c r="K4" s="140">
        <f t="shared" ref="K4" si="2">GEOMEAN(I4,J4)</f>
        <v>4.0824829046386304E-2</v>
      </c>
      <c r="L4" s="80">
        <f t="shared" ref="L4" si="3">LogVariance(I4,J4)</f>
        <v>6.8702369764126706E-2</v>
      </c>
      <c r="M4" t="s">
        <v>301</v>
      </c>
    </row>
    <row r="5" spans="1:13">
      <c r="A5" s="1" t="s">
        <v>276</v>
      </c>
      <c r="H5" s="139" t="s">
        <v>268</v>
      </c>
      <c r="I5" s="138">
        <v>0.25</v>
      </c>
      <c r="J5" s="138">
        <v>0.7</v>
      </c>
      <c r="K5" s="140">
        <f>GEOMEAN(I5,J5)</f>
        <v>0.41833001326703778</v>
      </c>
      <c r="L5" s="80">
        <f t="shared" ref="L5" si="4">LogVariance(I5,J5)</f>
        <v>0.17445963290294819</v>
      </c>
    </row>
    <row r="6" spans="1:13">
      <c r="B6" t="s">
        <v>0</v>
      </c>
      <c r="C6" t="s">
        <v>1</v>
      </c>
      <c r="D6" t="s">
        <v>161</v>
      </c>
      <c r="E6" t="s">
        <v>163</v>
      </c>
      <c r="F6" t="s">
        <v>27</v>
      </c>
      <c r="H6" s="139" t="s">
        <v>269</v>
      </c>
      <c r="I6" s="138">
        <v>0.05</v>
      </c>
      <c r="J6" s="138">
        <v>0.3</v>
      </c>
      <c r="K6" s="140">
        <f>GEOMEAN(I6,J6)</f>
        <v>0.1224744871391589</v>
      </c>
      <c r="L6" s="80">
        <f>LogVariance(I6,J6)</f>
        <v>0.30359732347288149</v>
      </c>
    </row>
    <row r="7" spans="1:13">
      <c r="A7" s="139" t="s">
        <v>121</v>
      </c>
      <c r="B7" s="138">
        <v>15</v>
      </c>
      <c r="C7" s="138">
        <v>30</v>
      </c>
      <c r="D7" s="140">
        <f t="shared" ref="D7" si="5">GEOMEAN(B7,C7)</f>
        <v>21.213203435596427</v>
      </c>
      <c r="E7" s="80">
        <f t="shared" ref="E7" si="6">LogVariance(B7,C7)</f>
        <v>0.11744747685437738</v>
      </c>
      <c r="F7" s="141" t="s">
        <v>262</v>
      </c>
      <c r="H7" s="139" t="s">
        <v>270</v>
      </c>
      <c r="I7" s="138">
        <v>0.01</v>
      </c>
      <c r="J7" s="138">
        <v>0.1</v>
      </c>
      <c r="K7" s="140">
        <f>GEOMEAN(I7,J7)</f>
        <v>3.1622776601683791E-2</v>
      </c>
      <c r="L7" s="80">
        <f>LogVariance(I7,J7)</f>
        <v>0.39015207303618948</v>
      </c>
    </row>
    <row r="8" spans="1:13">
      <c r="A8" s="139" t="s">
        <v>281</v>
      </c>
      <c r="B8" s="138">
        <v>10</v>
      </c>
      <c r="C8" s="138">
        <v>20</v>
      </c>
      <c r="D8" s="140">
        <f t="shared" ref="D8:D13" si="7">GEOMEAN(B8,C8)</f>
        <v>14.142135623730951</v>
      </c>
      <c r="E8" s="80">
        <f t="shared" ref="E8:E13" si="8">LogVariance(B8,C8)</f>
        <v>0.11744747685437738</v>
      </c>
      <c r="H8" s="139" t="s">
        <v>271</v>
      </c>
      <c r="I8" s="138">
        <v>1</v>
      </c>
      <c r="J8" s="138">
        <v>1</v>
      </c>
      <c r="K8" s="140">
        <f>GEOMEAN(I8,J8)</f>
        <v>1</v>
      </c>
      <c r="L8" s="80">
        <f>LogVariance(I8,J8)</f>
        <v>0</v>
      </c>
      <c r="M8" t="s">
        <v>300</v>
      </c>
    </row>
    <row r="9" spans="1:13">
      <c r="A9" s="139" t="s">
        <v>116</v>
      </c>
      <c r="B9" s="138">
        <v>15</v>
      </c>
      <c r="C9" s="138">
        <v>40</v>
      </c>
      <c r="D9" s="140">
        <f t="shared" si="7"/>
        <v>24.494897427831781</v>
      </c>
      <c r="E9" s="80">
        <f t="shared" si="8"/>
        <v>0.16619258394462808</v>
      </c>
      <c r="H9" s="139" t="s">
        <v>313</v>
      </c>
      <c r="I9" s="138">
        <v>0.3</v>
      </c>
      <c r="J9" s="138">
        <v>0.8</v>
      </c>
      <c r="K9" s="140">
        <f>GEOMEAN(I9,J9)</f>
        <v>0.4898979485566356</v>
      </c>
      <c r="L9" s="80">
        <f>LogVariance(I9,J9)</f>
        <v>0.16619258394462808</v>
      </c>
      <c r="M9" t="s">
        <v>314</v>
      </c>
    </row>
    <row r="10" spans="1:13">
      <c r="A10" s="139" t="s">
        <v>117</v>
      </c>
      <c r="B10" s="138">
        <v>8</v>
      </c>
      <c r="C10" s="138">
        <v>24</v>
      </c>
      <c r="D10" s="140">
        <f t="shared" si="7"/>
        <v>13.856406460551019</v>
      </c>
      <c r="E10" s="80">
        <f t="shared" si="8"/>
        <v>0.18614984661850412</v>
      </c>
      <c r="F10" s="141" t="s">
        <v>261</v>
      </c>
      <c r="H10" s="18" t="s">
        <v>273</v>
      </c>
      <c r="K10" s="144">
        <f>K$4*K$5*K6*K$9</f>
        <v>1.02469507659596E-3</v>
      </c>
      <c r="L10" s="145">
        <f>L$4+L$5+L6+L$9</f>
        <v>0.71295191008458447</v>
      </c>
    </row>
    <row r="11" spans="1:13">
      <c r="A11" s="139" t="s">
        <v>285</v>
      </c>
      <c r="B11" s="138">
        <v>5</v>
      </c>
      <c r="C11" s="138">
        <v>15</v>
      </c>
      <c r="D11" s="140">
        <f t="shared" si="7"/>
        <v>8.6602540378443873</v>
      </c>
      <c r="E11" s="80">
        <f t="shared" si="8"/>
        <v>0.18614984661850412</v>
      </c>
      <c r="H11" s="18" t="s">
        <v>274</v>
      </c>
      <c r="K11" s="144">
        <f>K$4*K$5*K7*K$9</f>
        <v>2.645751311064591E-4</v>
      </c>
      <c r="L11" s="145">
        <f>L$4+L$5+L7+L$9</f>
        <v>0.79950665964789247</v>
      </c>
    </row>
    <row r="12" spans="1:13">
      <c r="A12" s="139" t="s">
        <v>278</v>
      </c>
      <c r="B12" s="138">
        <v>5</v>
      </c>
      <c r="C12" s="138">
        <v>15</v>
      </c>
      <c r="D12" s="140">
        <f t="shared" si="7"/>
        <v>8.6602540378443873</v>
      </c>
      <c r="E12" s="80">
        <f t="shared" si="8"/>
        <v>0.18614984661850412</v>
      </c>
      <c r="F12" t="s">
        <v>343</v>
      </c>
      <c r="H12" s="18" t="s">
        <v>272</v>
      </c>
      <c r="K12" s="144">
        <f>K$4*K$5*K8*K$9</f>
        <v>8.3666002653407564E-3</v>
      </c>
      <c r="L12" s="145">
        <f>L$4+L$5+L8+L$9</f>
        <v>0.40935458661170299</v>
      </c>
    </row>
    <row r="13" spans="1:13">
      <c r="A13" s="139" t="s">
        <v>282</v>
      </c>
      <c r="B13" s="138">
        <v>7</v>
      </c>
      <c r="C13" s="138">
        <v>20</v>
      </c>
      <c r="D13" s="140">
        <f t="shared" si="7"/>
        <v>11.832159566199232</v>
      </c>
      <c r="E13" s="80">
        <f t="shared" si="8"/>
        <v>0.17788279766018394</v>
      </c>
      <c r="F13" t="s">
        <v>322</v>
      </c>
    </row>
    <row r="15" spans="1:13">
      <c r="A15" s="1" t="s">
        <v>258</v>
      </c>
    </row>
    <row r="16" spans="1:13">
      <c r="B16" t="s">
        <v>0</v>
      </c>
      <c r="C16" t="s">
        <v>1</v>
      </c>
      <c r="D16" t="s">
        <v>161</v>
      </c>
      <c r="E16" t="s">
        <v>163</v>
      </c>
      <c r="H16" s="1" t="s">
        <v>291</v>
      </c>
      <c r="I16" s="3"/>
      <c r="J16" s="3"/>
    </row>
    <row r="17" spans="1:11">
      <c r="A17" s="139" t="s">
        <v>121</v>
      </c>
      <c r="B17" s="138">
        <v>15</v>
      </c>
      <c r="C17" s="138">
        <v>30</v>
      </c>
      <c r="D17" s="140">
        <f t="shared" ref="D17:D19" si="9">GEOMEAN(B17,C17)</f>
        <v>21.213203435596427</v>
      </c>
      <c r="E17" s="80">
        <f t="shared" ref="E17:E19" si="10">LogVariance(B17,C17)</f>
        <v>0.11744747685437738</v>
      </c>
      <c r="F17" t="s">
        <v>263</v>
      </c>
      <c r="H17" s="3"/>
      <c r="I17" s="3" t="s">
        <v>161</v>
      </c>
      <c r="J17" s="3" t="s">
        <v>163</v>
      </c>
      <c r="K17" t="s">
        <v>27</v>
      </c>
    </row>
    <row r="18" spans="1:11">
      <c r="A18" s="139" t="s">
        <v>281</v>
      </c>
      <c r="B18" s="138">
        <v>6</v>
      </c>
      <c r="C18" s="138">
        <v>15</v>
      </c>
      <c r="D18" s="140">
        <f t="shared" si="9"/>
        <v>9.4868329805051381</v>
      </c>
      <c r="E18" s="80">
        <f t="shared" si="10"/>
        <v>0.15525711932743469</v>
      </c>
      <c r="F18" t="s">
        <v>259</v>
      </c>
      <c r="H18" s="3" t="s">
        <v>280</v>
      </c>
      <c r="I18" s="3">
        <f>MAX(Summary!G11:G14,Summary!G16:G23)</f>
        <v>16707.059390734114</v>
      </c>
      <c r="J18" s="3">
        <v>0</v>
      </c>
      <c r="K18" t="s">
        <v>289</v>
      </c>
    </row>
    <row r="19" spans="1:11">
      <c r="A19" s="139" t="s">
        <v>116</v>
      </c>
      <c r="B19" s="138">
        <v>35</v>
      </c>
      <c r="C19" s="138">
        <v>80</v>
      </c>
      <c r="D19" s="140">
        <f t="shared" si="9"/>
        <v>52.915026221291818</v>
      </c>
      <c r="E19" s="80">
        <f t="shared" si="10"/>
        <v>0.14007315518712665</v>
      </c>
      <c r="F19" t="s">
        <v>292</v>
      </c>
      <c r="H19" s="3" t="s">
        <v>121</v>
      </c>
      <c r="I19">
        <f>VLOOKUP(H19,Summary!$A$11:$G$23,7,FALSE)/$I$18</f>
        <v>4.4833233946810262E-4</v>
      </c>
      <c r="J19" s="3">
        <v>0</v>
      </c>
    </row>
    <row r="20" spans="1:11">
      <c r="A20" t="s">
        <v>260</v>
      </c>
      <c r="H20" s="3" t="s">
        <v>281</v>
      </c>
      <c r="I20">
        <f>VLOOKUP(H20,Summary!$A$11:$G$23,7,FALSE)/$I$18</f>
        <v>2.9281296083937512E-4</v>
      </c>
      <c r="J20" s="3">
        <v>0</v>
      </c>
    </row>
    <row r="21" spans="1:11">
      <c r="H21" s="3" t="s">
        <v>116</v>
      </c>
      <c r="I21">
        <f>VLOOKUP(H21,Summary!$A$11:$G$23,7,FALSE)/$I$18</f>
        <v>6.8338369218367775E-5</v>
      </c>
      <c r="J21" s="3">
        <v>0</v>
      </c>
    </row>
    <row r="22" spans="1:11">
      <c r="A22" s="1"/>
      <c r="H22" s="3" t="s">
        <v>117</v>
      </c>
      <c r="I22">
        <f>VLOOKUP(H22,Summary!$A$11:$G$23,7,FALSE)/$I$18</f>
        <v>0.58215831553579656</v>
      </c>
      <c r="J22" s="3">
        <v>0</v>
      </c>
    </row>
    <row r="23" spans="1:11">
      <c r="A23" s="1" t="s">
        <v>298</v>
      </c>
      <c r="H23" s="3" t="s">
        <v>285</v>
      </c>
      <c r="I23">
        <f>VLOOKUP(H23,Summary!$A$11:$G$23,7,FALSE)/$I$18</f>
        <v>0.52474458945412283</v>
      </c>
      <c r="J23" s="3">
        <v>0</v>
      </c>
    </row>
    <row r="24" spans="1:11">
      <c r="B24" t="s">
        <v>161</v>
      </c>
      <c r="C24" t="s">
        <v>163</v>
      </c>
      <c r="H24" s="127" t="s">
        <v>278</v>
      </c>
      <c r="I24">
        <f>VLOOKUP(H24,Summary!$A$11:$G$23,7,FALSE)/$I$18</f>
        <v>4.8272747460696395E-2</v>
      </c>
      <c r="J24" s="3">
        <v>0</v>
      </c>
    </row>
    <row r="25" spans="1:11">
      <c r="A25" s="3" t="s">
        <v>265</v>
      </c>
      <c r="B25" s="3">
        <f>K10*I50*1000</f>
        <v>1.9863880367270867E-2</v>
      </c>
      <c r="C25" s="3">
        <f>L10+J50</f>
        <v>0.77189987913602187</v>
      </c>
      <c r="H25" s="3" t="s">
        <v>282</v>
      </c>
      <c r="I25">
        <f>VLOOKUP(H25,Summary!$A$11:$G$23,7,FALSE)/$I$18</f>
        <v>1.2888950308532912E-4</v>
      </c>
      <c r="J25" s="3">
        <v>0</v>
      </c>
    </row>
    <row r="26" spans="1:11">
      <c r="A26" s="3" t="s">
        <v>266</v>
      </c>
      <c r="B26" s="3">
        <f>K11*I51*1000</f>
        <v>4.7822680853102555E-3</v>
      </c>
      <c r="C26" s="3">
        <f>L11+J51</f>
        <v>0.86028081388876765</v>
      </c>
    </row>
    <row r="27" spans="1:11">
      <c r="A27" s="3" t="s">
        <v>297</v>
      </c>
      <c r="B27" s="3">
        <f>K12*I52*1000</f>
        <v>131.4071097714658</v>
      </c>
      <c r="C27" s="3">
        <f>L12+J52</f>
        <v>0.52338525823597248</v>
      </c>
    </row>
    <row r="28" spans="1:11">
      <c r="A28" s="3" t="s">
        <v>172</v>
      </c>
      <c r="B28" t="str">
        <f>WriteArray(SumLognormDists(B25:C27))</f>
        <v>0,0,0,0,0,0,0,0,0,0,0,0,0,0,6.28388635891128E-304,1.14747116319778E-300,1.95091826919941E-297,3.18374621432014E-294,4.98709535805839E-291,7.49839409242715E-288,1.08218305876889E-284,1.49915126425023E-281,1.99343827930382E-278,2.54432805748137E-275,3.11714326863328E-272,3.66567651936465E-269,4.13776299499221E-266,4.48323572060342E-263,4.66264576978692E-260,4.654666415712E-257,4.46026235900665E-254,4.10249795747724E-251,3.62203711537308E-248,3.06954787835994E-245,2.49697024639943E-242,1.94971089795661E-239,1.46132035233441E-236,1.05133103236775E-233,7.26027142113695E-231,4.8126695989461E-228,3.06224236747363E-225,1.87031136776575E-222,1.09650251580832E-219,6.17059802745459E-217,3.33324574932478E-214,1.72834496157918E-211,8.60235006215469E-209,4.10986892544422E-206,1.88479276392726E-203,8.29706757329906E-201,3.50599797385389E-198,1.42208431408153E-195,5.53689562133676E-193,2.06935642630344E-190,7.42391378615544E-188,2.55658298385925E-185,8.45117192682244E-183,2.68166657426861E-180,8.16815869029361E-178,2.38822843296668E-175,6.70286780361279E-173,1.80584027731418E-170,4.67017039102281E-168,1.15936894714756E-165,2.76278446766743E-163,6.31989159030216E-161,1.38774742508031E-158,2.92516473876989E-156,5.91875369884292E-154,1.14961178715825E-151,2.14345384862682E-149,3.83636627954702E-147,6.59128403494878E-145,1.08708895331062E-142,1.72110084590344E-140,2.61574163924613E-138,3.81620596456964E-136,5.34463888082254E-134,7.18547901567448E-132,9.27353060012838E-130,1.14891467503264E-127,1.3664225399913E-125,1.56004869320859E-123,1.70981271802008E-121,1.7989437170778E-119,1.81696549325786E-117,1.76172175775009E-115,1.63980042180339E-113,1.46524162776871E-111,1.25687956340693E-109,1.03501314829603E-107,8.18215161822851E-106,6.20955310384714E-104,4.52403643600748E-102,3.16421930365041E-100,2.12463165320874e-98,1.36955417959859e-96,8.47530328296935e-95,5.03516556816024e-93,2.87181734987616e-91,1.57248517384584e-89,8.26618621716908e-88,4.17171806830283e-86,2.02124139027189e-84,9.40193573211296e-83,4.19869863623873e-81,1.80016786094839e-79,7.40994184048306e-78,2.92834872698447e-76,1.11106579438846e-74,4.04733011044856e-73,1.41550796590326e-71,4.75306678683078e-70,1.53234514831711e-68,4.74311484805273e-67,1.40960826990309e-65,4.02220780796471e-64,1.10195909759911e-62,2.89871232690251e-61,7.32128544671874e-60,1.77548167800394e-58,4.13424196287163e-57,9.24337979785553e-56,1.98438282724094e-54,4.09057729323577e-53,8.09679507807258e-52,1.53892062273975e-50,2.80865995710583e-49,4.92229403823874e-48,8.28375440329632e-47,1.3387029872569e-45,2.0775188522889e-44,3.09610800408141e-43,4.43102909911549e-42,6.09000707721188e-41,8.0382845422123e-40,1.01894188063693e-38,1.24046467890068e-37,1.4503649045107e-36,1.628686388451e-35,1.7566081043596e-34,1.81970086519276e-33,1.81060571071319e-32,1.7304466921035e-31,1.588603023203e-30,1.40090425651057e-29,1.18672830984827e-28,9.65736463904098e-28,7.54998400494865e-27,5.67061372194553e-26,4.09193111565861e-25,2.83700088037995e-24,1.88991994426438e-23,1.20976570979948e-22,7.44141561885944e-22,4.39875974558671e-21,2.49891125511563e-20,1.36440884250125e-19,7.16044965119182e-19,3.61217705361169e-18,1.75171583033587e-17,8.16693836824624e-17,3.66094609545833e-16,1.57799543092407e-15,6.54092347278451e-15,2.60758641355833e-14,9.99891959712289e-14,3.68836416341175e-13,1.3089887636184e-12,4.47010957014689e-12,1.46907230712224e-11,4.64705420427178e-11,1.41511961507678e-10,4.14921071536011e-10,1.17159090271273e-09,3.18648168670335e-09,8.34957852919488e-09,2.10831058084089e-08,5.13130405544344e-08,1.20408697465814e-07,2.72487764599808e-07,5.94875788472087e-07,1.25324691405293e-06,2.54876438654185e-06,5.00574506769565e-06,9.49794666588244e-06,1.74181639111514e-05,3.08880950860879e-05,5.29927217844701e-05,8.8006474041078e-05,0.000141560052857033,0.000220681979464989,0.000333644171984067,0.000489552146057089,0.000697650963903487,0.000966365896697696,0.00130215401710519,0.00170829694616013,0.0021838016630542,0.00272258456260819,0.00331308952035386,0.00393843766749633,0.00457713594533128,0.00520429763445784,0.00579326412034755,0.00631747188652919,0.00675238532447988,0.00707731323297168,0.00727694154562963,0.00734244347811063,0.00727206829107297,0.0070711589168985,0.00675160372013949,0.00633078392047553,0.00583012930029365,0.00527343367543863,0.00468510213369883,0.00408850078385376,0.00350455694792227,0.00295071741378925,0.00244032153335264,0.00198239299976204,0.00158180710994105,0.00123975538324684,0.00095440991199392,0.000721686069788339,0.000536011897341602,0.000391031598031797,0.000280194413896555,0.00019720431940249,0.000136327054186083,9.25669324249945e-05,6.17358651493561e-05,4.0441457859045e-05,2.60209706174231e-05,1.64447580675575e-05,1.02079541863557e-05,6.22382124169857e-06,3.72719958388965e-06,2.19237734399496e-06,1.2666454455949e-06,7.18789826395432e-07,4.00641438954041e-07,2.1933952516255e-07,1.17946488433897e-07,6.22960076575807e-08,3.23178527150545e-08,1.64676588661754e-08,8.2419183586902e-09,4.05164920226087e-09,1.95633149360892e-09,9.27812326317923e-10,4.32200147947462e-10,1.97750124716416e-10,8.88701068936136e-11,3.92285016721289e-11,1.70080616074556e-11,7.24294190190472e-12,3.0295788795543e-12,1.2446768410301e-12,5.02270920604356e-13,1.99079500645385e-13,7.7503645736335e-14,2.96363559911825e-14,1.11310095496721e-14,4.1063067540692e-15,1.4879053490692e-15,5.29549183003223e-16,1.85116180622104e-16,6.35608273511273e-17,2.14359030272328e-17,7.1006990674584e-18,2.31029539566379e-18,7.3831382280426e-19,2.31750973882149e-19,7.14511491379264e-20,2.1637343988161e-20,6.43584776605237e-21,1.88024593113933e-21,5.39548679464737e-22,1.52073552709702e-22,4.21001682594443e-23,1.14477741500234e-23,3.05749218436908e-24,8.0207825043574e-25,2.06668937118449e-25,5.23047045802485e-26,1.3002096431238e-26,3.17462983547543e-27,7.61342170421942e-28,1.79338593674936e-28,4.14929884717187e-29,9.42937163148957e-30,2.10473717220889e-30,4.61445135054085e-31,9.93686417539588e-32,2.10177255706954e-32,4.36645674469638e-33,8.91004072391782e-34,1.78581841637697e-34,3.51562049223737e-35,6.79788414624811e-36,1.29107838977884e-36,2.40845505733069e-37,4.41297597358271e-38,7.9420325167727e-39,1.4039086191506e-39,2.4375475785047e-40,4.15694658598133e-41,6.96310378590662e-42,1.14561416360534e-42,1.8513177360952e-43,2.93853339676567e-44,4.58128575580202e-45,7.01538021853801e-46,1.05516925313469e-46,1.55883490976801e-47,2.26196145588536e-48,3.22386879719546e-49,4.51311706879019e-50,6.2055877477552e-51,8.3810093355482e-52,1.11177475790635e-52,1.44858630847657e-53,1.85386892311565e-54,2.33034785715339e-55,2.87719677984743e-56,3.48919674441481e-57,4.15612339456155e-58,4.86248740505459e-59,5.58773275918074e-60,6.30695665997912e-61,6.99215661943876e-62,7.61394140429332e-63,8.14357301176123e-64,8.55514825984882e-65,8.82769190827443e-66,8.94692664489721e-67,8.90651220172388e-68,8.70860393536979e-69,8.36366238221383e-70,7.88953720762504e-71,7.30993719681282e-72,6.65246877024844e-73,5.94646852973076e-74,5.22086528176143e-75,4.50228445923116e-76,3.81355888227423e-77,3.17274423753899e-78,2.5926670825155e-79,2.08096859421227e-80,1.64055721436325e-81,1.27035271365964e-82,9.661940151106e-84,7.21790983960929e-85,5.29621555100844e-86,3.81704206002711e-87,2.70206218947073e-88,1.87875802670677e-89,1.28307928035216e-90,8.60683153261789e-92,5.67074784134967e-93,3.66981935568361e-94,2.33268723400835e-95,1.45638461165582e-96,8.93107738013645e-98,5.37948392556721e-99,3.18264159849386E-100,1.84947131113514E-101,1.05566079079891E-102,5.91868879124939E-104,3.25959831574005E-105,1.76345203078693E-106,9.37273956763585E-108,4.89496372265143E-109,2.51276616026888E-110,1.26861450927523E-111,6.30594574262889E-113,3.09221930510496E-114,1.50122377173238E-115,7.26181541892411E-117,3.53833865765779E-118,1.76670271926655E-119,9.2530642111066E-121,5.20907113179008E-122,3.19838213606986E-123,2.13367958891075E-124,1.51679880676847E-125,1.12183805059225E-126,8.46270824457637E-128,6.42488255163912E-129,4.87009284982326E-130,3.6694231584325E-131,2.74166847001099E-132,2.0288480432708E-133,1.48601895491719E-134,1.07695750892511E-135,7.72149305086649E-137,5.47642462782902E-138,3.84209887090738E-139,2.666287265648E-140,1.83024032056678E-141,1.24271071248928E-142,8.34625654042401E-144,5.54463182571963E-145,3.64344964516801E-146,2.36816413402113E-147,1.52254363274404E-148,9.68247964202602E-150,6.09063149491898E-151,3.78963110527676E-152,2.33233230407302E-153,1.41985107963376E-154,8.54976231009835E-156,5.09241938468701E-157,3.00022040318155E-158,1.74840094921129E-159,1.00783116254738E-160,5.74636763871941E-162,3.24084237039457E-163,1.80792863801725E-164,9.97616298198197E-166,5.44508498713949E-167,2.93971118665735E-168,1.56986946724097E-169,8.29242010742628E-171,4.33269307103753E-172,2.23920280002149E-173,1.1446897863625E-174,5.78816712682322E-176,2.89503082543587E-177,1.43226769871799E-178,7.00896801594062E-180,3.3926794958059E-181,1.62439059113041E-182,7.69302195406623E-184,3.60381388024863E-185,1.66988518145478E-186,7.65367018079412E-188,3.46985839056552E-189,1.55601089701704E-190,6.9019592762316E-192,3.02824512100426E-193,1.31422140140592E-194,5.64163414957663E-196,2.39552208488986E-197,1.00613049888261E-198,4.1799137860363E-200,1.71766794015555E-201,6.98184126226041E-203,2.80711113352121E-204,1.11636989941744E-205,4.39152647062273E-207,1.70876274540033E-208,6.57668292678139E-210,2.50374973847394E-211,9.42830894369034E-213,3.51184684922828E-214,1.29388657492327E-215,4.71536939759775E-217,1.69978545943511E-218,6.06081983519764E-220,2.13760528280123E-221,7.45731570305733E-223,2.57333554932006E-224,8.78353194869056E-226,2.96551978824043E-227,9.90356012728577E-229,3.27145336891726E-230,1.06892934847531E-231,3.4547461652609E-233,1.10444008567417E-234,3.49242472203924E-236,1.09237265983242E-237,3.37966353128906E-239,1.03427251594964E-240,3.13080038287312E-242,9.37420933778198E-244,2.7763409083655E-245,8.13335656821081E-247,2.35681616126878E-248,6.75523525476098E-250,1.91519996030235E-251,5.37089479198541E-253,1.48983455071822E-254,4.0877875214481E-256,1.10942375482862E-257,2.97827971213246E-259,7.90846834899761E-261,2.07719923450578E-262,5.39663197481543E-264,1.38683989311872E-265,3.52524028811385E-267,8.86359694346815E-269,2.20439871204548E-270,5.42286975097083E-272,1.31955371476282E-273,3.17602453785026E-275,7.56135276350393E-277,1.78063139356292E-278,4.14770086618824E-280,9.55651848201102E-282,2.17796479792246E-283,4.90976700907885E-285,1.09478738871382E-286,2.41466876249108E-288,5.26798120819226E-290,1.13681486975499E-291,2.42657740543174E-293,5.12339014511415E-295,1.06998966535082E-296,2.21034778526805E-298,4.51648443420336E-300,9.1284974410948E-302,1.82497514413313E-303,3.60888866988837E-305,7.05909279680332E-307,1.36578762258224E-308,2.61382392885866E-310,4.94798485529917E-312,9.26486870505739E-314,1.71596745255926E-315,3.14367893441341E-317,5.69682392937249E-319,1.01925742737049E-320,1.58101006669199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C28" t="s">
        <v>153</v>
      </c>
      <c r="H28" s="13" t="s">
        <v>293</v>
      </c>
    </row>
    <row r="29" spans="1:11">
      <c r="A29" s="3" t="s">
        <v>159</v>
      </c>
      <c r="B29" s="3">
        <f>STupidExcelMean(B28)</f>
        <v>529.56577785286891</v>
      </c>
      <c r="C29" s="3">
        <f>STupidExcelVariance(B28,B29)</f>
        <v>4188644.0153441951</v>
      </c>
      <c r="H29" s="149" t="s">
        <v>294</v>
      </c>
    </row>
    <row r="30" spans="1:11">
      <c r="A30" s="3" t="s">
        <v>302</v>
      </c>
      <c r="B30" s="3">
        <f>EXP(MuFromParams(B29,C29))</f>
        <v>132.65712121905764</v>
      </c>
      <c r="C30" s="3">
        <f>(SigmaFromParams(B29,C29) / LN(10))^2</f>
        <v>0.52218642886537359</v>
      </c>
      <c r="H30" s="3" t="s">
        <v>121</v>
      </c>
      <c r="I30">
        <f t="shared" ref="I30:I36" si="11">D7*I19</f>
        <v>9.5105651238937376E-3</v>
      </c>
      <c r="J30">
        <f t="shared" ref="J30:J36" si="12">E7+J19</f>
        <v>0.11744747685437738</v>
      </c>
    </row>
    <row r="31" spans="1:11">
      <c r="A31" s="142" t="s">
        <v>306</v>
      </c>
      <c r="B31" s="4">
        <f>MIN(B30,LognormPosterior(B2,B3,B30:C30))</f>
        <v>107.35040830324812</v>
      </c>
      <c r="D31" t="s">
        <v>321</v>
      </c>
      <c r="H31" s="3" t="s">
        <v>281</v>
      </c>
      <c r="I31">
        <f t="shared" si="11"/>
        <v>4.1410006045766628E-3</v>
      </c>
      <c r="J31">
        <f t="shared" si="12"/>
        <v>0.11744747685437738</v>
      </c>
    </row>
    <row r="32" spans="1:11">
      <c r="H32" s="3" t="s">
        <v>116</v>
      </c>
      <c r="I32">
        <f t="shared" si="11"/>
        <v>1.6739413443892152E-3</v>
      </c>
      <c r="J32">
        <f t="shared" si="12"/>
        <v>0.16619258394462808</v>
      </c>
    </row>
    <row r="33" spans="1:10">
      <c r="H33" s="3" t="s">
        <v>117</v>
      </c>
      <c r="I33">
        <f t="shared" si="11"/>
        <v>8.0666222444537095</v>
      </c>
      <c r="J33">
        <f t="shared" si="12"/>
        <v>0.18614984661850412</v>
      </c>
    </row>
    <row r="34" spans="1:10">
      <c r="A34" s="1" t="s">
        <v>319</v>
      </c>
      <c r="H34" s="3" t="s">
        <v>285</v>
      </c>
      <c r="I34">
        <f t="shared" si="11"/>
        <v>4.5444214496570625</v>
      </c>
      <c r="J34">
        <f t="shared" si="12"/>
        <v>0.18614984661850412</v>
      </c>
    </row>
    <row r="35" spans="1:10">
      <c r="B35" t="s">
        <v>307</v>
      </c>
      <c r="C35" t="s">
        <v>316</v>
      </c>
      <c r="D35" t="s">
        <v>317</v>
      </c>
      <c r="H35" s="127" t="s">
        <v>278</v>
      </c>
      <c r="I35">
        <f t="shared" si="11"/>
        <v>0.41805425611433833</v>
      </c>
      <c r="J35">
        <f t="shared" si="12"/>
        <v>0.18614984661850412</v>
      </c>
    </row>
    <row r="36" spans="1:10">
      <c r="A36" t="s">
        <v>340</v>
      </c>
      <c r="C36">
        <f>B2</f>
        <v>50</v>
      </c>
      <c r="D36">
        <f>B31</f>
        <v>107.35040830324812</v>
      </c>
      <c r="H36" s="3" t="s">
        <v>282</v>
      </c>
      <c r="I36">
        <f t="shared" si="11"/>
        <v>1.5250411669137424E-3</v>
      </c>
      <c r="J36">
        <f t="shared" si="12"/>
        <v>0.17788279766018394</v>
      </c>
    </row>
    <row r="37" spans="1:10">
      <c r="A37" t="s">
        <v>308</v>
      </c>
      <c r="B37">
        <v>0.5</v>
      </c>
      <c r="C37">
        <f>C36/D36</f>
        <v>0.46576441385074024</v>
      </c>
      <c r="D37">
        <v>1</v>
      </c>
    </row>
    <row r="38" spans="1:10">
      <c r="A38" t="s">
        <v>309</v>
      </c>
      <c r="B38">
        <v>0.1</v>
      </c>
      <c r="C38">
        <v>1</v>
      </c>
      <c r="D38">
        <v>1</v>
      </c>
      <c r="H38" s="149" t="s">
        <v>295</v>
      </c>
    </row>
    <row r="39" spans="1:10">
      <c r="A39" t="s">
        <v>310</v>
      </c>
      <c r="B39">
        <v>0.05</v>
      </c>
      <c r="C39">
        <v>1</v>
      </c>
      <c r="D39">
        <v>0.7</v>
      </c>
      <c r="H39" s="3" t="s">
        <v>121</v>
      </c>
      <c r="I39">
        <f>D17*I19</f>
        <v>9.5105651238937376E-3</v>
      </c>
      <c r="J39">
        <f>E17+J18</f>
        <v>0.11744747685437738</v>
      </c>
    </row>
    <row r="40" spans="1:10">
      <c r="A40" t="s">
        <v>311</v>
      </c>
      <c r="B40">
        <v>0.15</v>
      </c>
      <c r="C40">
        <v>1</v>
      </c>
      <c r="D40">
        <v>0.5</v>
      </c>
      <c r="H40" s="3" t="s">
        <v>281</v>
      </c>
      <c r="I40">
        <f>D18*I20</f>
        <v>2.7778676540103435E-3</v>
      </c>
      <c r="J40">
        <f>E18+J19</f>
        <v>0.15525711932743469</v>
      </c>
    </row>
    <row r="41" spans="1:10">
      <c r="A41" t="s">
        <v>312</v>
      </c>
      <c r="B41">
        <v>0.15</v>
      </c>
      <c r="C41">
        <v>1</v>
      </c>
      <c r="D41">
        <v>0.2</v>
      </c>
      <c r="H41" s="3" t="s">
        <v>116</v>
      </c>
      <c r="I41">
        <f>D19*I21</f>
        <v>3.6161265991102526E-3</v>
      </c>
      <c r="J41">
        <f>E19+J20</f>
        <v>0.14007315518712665</v>
      </c>
    </row>
    <row r="42" spans="1:10">
      <c r="A42" t="s">
        <v>315</v>
      </c>
      <c r="B42">
        <v>0.05</v>
      </c>
      <c r="C42">
        <v>1</v>
      </c>
      <c r="D42">
        <v>0.2</v>
      </c>
      <c r="E42" t="s">
        <v>320</v>
      </c>
    </row>
    <row r="43" spans="1:10">
      <c r="A43" t="s">
        <v>318</v>
      </c>
      <c r="B43">
        <f>SUM(B37:B42)</f>
        <v>1</v>
      </c>
      <c r="C43">
        <f>SUMPRODUCT(B37:B42,C37:C42)</f>
        <v>0.73288220692537021</v>
      </c>
      <c r="D43">
        <f>SUMPRODUCT(B37:B42,D37:D42)</f>
        <v>0.75</v>
      </c>
      <c r="H43" s="149" t="s">
        <v>296</v>
      </c>
    </row>
    <row r="44" spans="1:10">
      <c r="H44" s="30" t="s">
        <v>265</v>
      </c>
      <c r="I44" s="31" t="str">
        <f>WriteArray(SumLognormDists(I39:J41))</f>
        <v>0,0,0,0,0,0,0,0,0,0,0,0,0,0,0,0,0,0,0,0,0,0,0,0,0,0,0,0,0,0,0,0,0,0,0,0,0,0,0,0,0,0,0,0,0,0,0,0,0,0,0,0,0,0,0,0,0,0,0,0,0,0,0,0,0,0,0,0,0,0,0,0,0,0,0,0,0,0,0,0,0,0,0,0,0,0,0,0,0,0,0,0,0,0,0,0,3.78971005223139E-312,1.10300804687688E-304,2.51073796577057E-297,4.64493660710966E-290,6.98419757933653E-283,8.53521216086292E-276,8.47766180547195E-269,6.84391863882121E-262,4.49059345038191E-255,2.3948378268842E-248,1.03806711314982E-241,3.65725601338384E-235,1.04729670476943E-228,2.4376569429112E-222,4.6117753800632E-216,7.09187172749512E-210,8.86452457051359E-204,9.00651564370926E-198,7.43823927613182E-192,4.99345261028301E-186,2.72492743442423E-180,1.20875492865811E-174,4.35870329332314E-169,1.27767051369104E-163,3.04459916485791E-158,5.89791680482567E-153,9.28821899888689E-148,1.18915927475835E-142,1.2377427116417E-137,1.04740111012982E-132,7.20606366034437E-128,4.0308468911333E-123,1.83323883583226E-118,6.77919998864414E-114,2.03839043500783E-109,4.98378771711209E-105,9.90853686119117E-101,1.60196457480298e-96,2.1062322445792e-92,2.25209795098556e-88,1.95846070712662e-84,1.38518957705645e-80,7.96878169187274e-77,3.72894618746586e-73,1.41943831151425e-69,4.39551400992761e-66,1.10737315074806e-62,2.26986484295829e-59,3.78582433243954e-56,5.13819487214613e-53,5.67529165304067e-50,5.1019243499064e-47,3.73329140533121e-44,2.2238680770849e-41,1.07854006496284e-38,4.25920493772312e-36,1.36976155440317e-33,3.58797556628806e-31,7.65616079699281e-29,1.33108020942573e-26,1.88586064773258e-24,2.17778149722657e-22,2.0502773988856e-20,1.57400683708786e-18,9.85613852795732e-17,5.03538803687646e-15,2.09949534211602e-13,7.14650401523751e-12,1.98665383877019e-10,4.51197889585816e-09,8.37547625072121e-08,1.27129796388975e-06,1.57869002597479e-05,0.000160470505244164,0.00133599053881196,0.0091161136893106,0.0510193134232094,0.234388404460127,0.884744136887265,2.74686944906869,7.02302877253099,14.8078237390694,25.7908037744393,37.1808841691361,44.4762900666678,44.2827911041201,36.8431166517302,25.7470918673559,15.2159576696799,7.67320872967224,3.34111593587973,1.2752239254016,0.434461035005517,0.134788676304182,0.03881228814296,0.0105268844725554,0.00271084384361285,0.000663500408736099,0.00015375785593601,3.35333911498048e-05,6.84148673081118e-06,1.29943409126228e-06,2.28996259703948e-07,3.73658043674661e-08,5.63899703369831e-09,7.86655070017036e-10,1.0142731111016e-10,1.20877521171942e-11,1.33186250481795e-12,1.35726919085919e-13,1.28000766546175e-14,1.11801752714823e-15,9.05448757532784e-17,6.80991727102116e-18,4.7668374655395e-19,3.11478661289593e-20,1.90756113181605e-21,1.10062600445955e-22,6.02125891967208e-24,3.14605249510629e-25,1.58137568318663e-26,7.6935079377327e-28,3.63554158670534e-29,1.66912238688247e-30,7.42479969050868e-32,3.18495548471135e-33,1.31037775894844e-34,5.14481082664628e-36,1.91961693191804e-37,6.78528839594919e-39,2.26706754629211e-40,7.14906682259729e-42,2.12566913381073e-43,5.9556749543398e-45,1.57175452906308e-46,3.90617002506726e-48,9.14039445609385e-50,2.01365730039262e-51,4.17625993466535e-53,8.15369528215056e-55,1.49856534961039e-56,2.59265006828515e-58,4.22234891362972e-60,6.47295808610293e-62,9.34087158153801e-64,1.26883780048509e-65,1.62239869367161e-67,1.952724053661e-69,2.21235733146227e-71,2.35939295303693e-73,2.36851165785075e-75,2.23810657125817e-77,1.99074577420239e-79,1.66678859002744e-81,1.31363533474324e-83,9.74537710775545e-86,6.80537339033075e-88,4.47336896801479e-90,2.76787782138335e-92,1.61208720289906e-94,8.83811312296584e-97,4.56099909881722e-99,2.21559215087661E-101,1.01309237789028E-103,4.36051389538002E-106,1.76667107041589E-108,6.73756728393828E-111,2.41868843353123E-113,8.173087241531E-116,2.59969103141128E-118,7.78371151217741E-121,2.19371962653321E-123,5.81975770928455E-126,1.45330939754213E-128,3.41617927340753E-131,7.55879590281579E-134,1.57432350123556E-136,3.08648899032465E-139,5.69593309945282E-142,9.89451295134546E-145,1.61790626556797E-147,2.49024276180949E-150,3.60794085889529E-153,4.92046931221763E-156,6.31659510047673E-159,7.63288896285688E-162,8.6820892144745E-165,9.29584637222131E-168,9.36877966372082E-171,8.88805036268232E-174,7.9370548638699E-177,6.67177899693438E-180,5.2790200970755E-183,3.93182674824246E-186,2.75654333528808E-189,1.81913391147854E-192,1.13004024168439E-195,6.60773386415215E-199,3.63697713154167E-202,1.88433446602644E-205,9.18977349564357E-209,4.21872305885667E-212,1.82299979662005E-215,7.41517863194995E-219,2.83913477464859E-222,1.02324538495076E-225,3.47138653051652E-229,1.1085506665938E-232,3.33224952617632E-236,9.42863614178534E-240,2.51124816106211E-243,6.29592841093105E-247,1.48579647807265E-250,3.30056478705128E-254,6.90154927995971E-258,1.35842078733895E-261,2.51681583754883E-265,4.38932715211375E-269,7.20566154160171E-273,1.11347164062551E-276,1.61962270244459E-280,2.21757310132101E-284,2.85806057005626E-288,3.46732304275926E-292,3.95955679842167E-296,4.25626091016355E-300,4.30664725919241E-304,4.10184981594621E-308,3.67747392886913E-312,3.10347918432641E-316,2.46439944145614E-320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J44" s="31" t="s">
        <v>153</v>
      </c>
    </row>
    <row r="45" spans="1:10">
      <c r="A45" t="s">
        <v>341</v>
      </c>
      <c r="H45" s="30" t="s">
        <v>266</v>
      </c>
      <c r="I45" s="31" t="str">
        <f>WriteArray(SumLognormDists(I30:J32))</f>
        <v>0,0,0,0,0,0,0,0,0,0,0,0,0,0,0,0,0,0,0,0,0,0,0,0,0,0,0,0,0,0,0,0,0,0,0,0,0,0,0,0,0,0,0,0,0,0,0,0,0,0,0,0,0,0,0,0,0,0,0,0,0,0,0,0,0,0,0,0,0,0,0,0,0,0,0,0,0,0,0,0,0,0,0,0,0,0,0,0,0,0,0,0,0,0,0,0,0,0,4.92750682828351E-307,1.71329422846849E-299,4.79827666879676E-292,1.08240601549922E-284,1.96675260949931E-277,2.8785060188567E-270,3.39348447179104E-263,3.22247514402353E-256,2.46491628119503E-249,1.51875530698916E-242,7.53790911785548E-236,3.01367306567587E-229,9.70573715530898E-223,2.5179864163581E-216,5.26230925582379E-210,8.85938348599839E-204,1.20154818885842E-197,1.31279303737682E-191,1.15551603077482E-185,8.19385077469668E-180,4.68102235318187E-174,2.1544812688583E-168,7.98920180529051E-163,2.38689129439255E-157,5.74567462977278E-152,1.11439664797908E-146,1.74156990707951E-141,2.19309332218611E-136,2.22536862959364E-131,1.81965853253514E-126,1.1990472424113E-121,6.36733231891462E-117,2.72502812457797E-112,9.39929459370271E-108,2.61306422748334E-103,5.85539887199469e-99,1.05763751714643e-94,1.53997973908467e-90,1.80765827945815e-86,1.7106763161565e-82,1.30526378174084e-78,8.03042039472391e-75,3.98400992824373e-71,1.59396715708807e-67,5.14342102816943e-64,1.33868327225459e-60,2.81059637468125e-57,4.76056535778595e-54,6.50586978903392e-51,7.17446308795157e-48,6.38504992593909e-45,4.58656049337388e-42,2.65961408009424e-39,1.24515495575069e-36,4.70728176420476e-34,1.43724935912663e-31,3.54476114041482e-29,7.06346035776495e-27,1.13739626482857e-24,1.4803471525123e-22,1.55765998232165e-20,1.32539536578474e-18,9.12211209647368e-17,5.07976645926535e-15,2.28939214763769e-13,8.35341185498536e-12,2.46845172972584e-10,5.90968447461932e-09,1.14672350656184e-07,1.80426442446051e-06,2.30303529504005e-05,0.000238613814118757,0.00200793663614575,0.0137329891849347,0.0763990261985505,0.346037729243487,1.27747286394817,3.84900190394099,9.48008696041398,19.1251280360118,31.6805328817488,43.2229877818564,48.7593903122593,45.7044986482195,35.8200088717413,23.6584899817299,13.3000106595049,6.44255601994787,2.72928673776278,1.02867819526365,0.351409774155321,0.110795033862855,0.032729816210925,0.00914623851542364,0.00242517657967251,0.000608675467732712,0.000143806433751306,3.17886861929157e-05,6.54100130096261e-06,1.24831970665382e-06,2.20470193074257e-07,3.59899538650731e-08,5.42689375428304e-09,7.55678286620287e-10,9.71601210196359e-11,1.15342557986916e-11,1.26428404825314e-12,1.27958409732e-13,1.19588708211481e-14,1.03217441355185e-15,8.22859650037606e-17,6.06055728140316e-18,4.12547612147607e-19,2.59692691015095e-20,1.51307512119824e-21,8.17135716054212e-23,4.0995987763575e-24,1.91758508125325e-25,8.40930877512031e-27,3.48684590218982e-28,1.38360408738362e-29,5.33606366702858e-31,2.03365753377006e-32,7.75942339878152e-34,2.97691224321224e-35,1.14188189514005e-36,4.32605069451446e-38,1.59704650036002e-39,5.68090935546216e-41,1.93174690737231e-42,6.2478837324264e-44,1.91636966340231e-45,5.56504456853913e-47,1.52866845809492e-48,3.9701925232981e-50,9.74679035406502e-52,2.26158812854868e-53,4.95956262237431e-55,1.02787455241527e-56,2.01325457580708e-58,3.72663535778706e-60,6.51919204337951e-62,1.07777701585861e-63,1.68392275440857e-65,2.4864140570743e-67,3.46962671632731e-69,4.5756211448719e-71,5.70263222624855e-73,6.71674203662837e-75,7.47652815514588e-77,7.86500994161141e-79,7.81909657929661e-81,7.34635443549901e-83,6.52296692796454e-85,5.47364307125509e-87,4.34075996165152e-89,3.25321724373964e-91,2.30419038128483e-93,1.5423454328695e-95,9.7566998080548e-98,5.83286913434597E-100,3.29548638160456E-102,1.75960346500063E-104,8.87908256525727E-107,4.23427810733452E-109,1.9083088412774E-111,8.12785494740487E-114,3.27160772633039E-116,1.24452752019843E-118,4.47410098891515E-121,1.52007515094229E-123,4.88070248585854E-126,1.48100869849899E-128,4.24708430853937E-131,1.15101810209843E-133,2.9480267787528E-136,7.13573467029361E-139,1.63231496003195E-141,3.52880148343855E-144,7.20955555034232E-147,1.39202731178833E-149,2.5400661024241E-152,4.38026393599414E-155,7.13860809200148E-158,1.09947358176534E-160,1.60034661610399E-163,2.20141191074651E-166,2.86184802015956E-169,3.51600772049149E-172,4.08235785803228E-175,4.47950806627113E-178,4.64523374710166E-181,4.55242522069823E-184,4.21634430150397E-187,3.69051787542295E-190,3.05278737892785E-193,2.38651297864761E-196,1.76314911001069E-199,1.23104033459921E-202,8.12294517054985E-206,5.06538849464313E-209,2.98517637630192E-212,1.66259025760577E-215,8.7510157446627E-219,4.35301033054569E-222,2.04634535082295E-225,9.09130355943777E-229,3.81708110453448E-232,1.51458836144189E-235,5.67957503251283E-239,2.01277424264764E-242,6.74112359326901E-246,2.13367128185379E-249,6.38235170619301E-253,1.80423021834301E-256,4.82015685082572E-260,1.21699386154324E-263,2.90384615196052E-267,6.54812283668867E-271,1.39546205211004E-274,2.81045892652508E-278,5.34926918791594E-282,9.62209548624024E-286,1.63569704940985E-289,2.62781070114206E-293,3.98972794050756E-297,5.72467038800457E-301,7.76275158998723E-305,9.9480713218681E-309,1.20481423561401E-312,1.37898415377927E-316,1.49109011914888E-320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J45" s="31" t="s">
        <v>153</v>
      </c>
    </row>
    <row r="46" spans="1:10">
      <c r="A46" t="s">
        <v>342</v>
      </c>
      <c r="H46" s="30" t="s">
        <v>297</v>
      </c>
      <c r="I46" s="31" t="str">
        <f>WriteArray(SumLognormDists(I33:J36))</f>
        <v>0,0,0,0,0,0,0,0,0,0,0,0,0,0,0,0,0,0,0,0,0,0,0,0,0,0,0,0,0,0,0,0,0,0,0,0,0,0,0,0,0,0,0,0,0,0,0,0,0,0,0,0,0,0,0,0,0,0,0,0,0,0,0,0,0,0,0,0,0,0,0,0,0,0,0,0,0,0,0,0,0,0,0,0,0,0,0,0,0,0,0,0,0,0,0,0,0,0,0,0,0,0,0,0,0,0,0,0,0,0,0,0,0,0,0,0,0,0,1.02277260335292E-308,1.68542674434873E-301,2.26656110294746E-294,2.4874145601645E-287,2.22765841114195E-280,1.62804130749049E-273,9.70947242249366E-267,4.72537807420069E-260,1.87666142100688E-253,6.08193665615925E-247,1.60843358551731E-240,3.47111402511297E-234,6.11278309529522E-228,8.7844378503651E-222,1.03013728260462E-215,9.8579004460567E-210,7.69812296725434E-204,4.90569078523484E-198,2.55114535114694E-192,1.08266921368106E-186,3.74963409418824E-181,1.05979696922587E-175,2.44459311668465E-170,4.60205113786265E-165,7.07081582419754E-160,8.8669589754469E-155,9.07574976639522E-150,7.58246367522332E-145,5.17103537492247E-140,2.87876012783731E-135,1.30833211213991E-130,4.85446442216387E-126,1.4706333416687E-121,3.63780309653413E-117,7.34819789372197E-113,1.21218281512701E-108,1.63321630025097E-104,1.79744089461879E-100,1.61604223017377e-96,1.18712150941234e-92,7.12599015109495e-89,3.49601059030437e-85,1.40202316005711e-81,4.59704261711277e-78,1.23264605008192e-74,2.70359336632443e-71,4.85184191567402e-68,7.12636000699112e-65,8.56988247218719e-62,8.4410659642914e-59,6.81281575511935e-56,4.50796438987714e-53,2.44684642702299e-50,1.09015658278728e-47,3.98981152807239e-45,1.20052689109635e-42,2.97289879761037e-40,6.06565905622356e-38,1.02104828753625e-35,1.42022982848327e-33,1.63529275172136e-31,1.56191825027679e-29,1.24045788477571e-27,8.21380893393751e-26,4.54851285817903e-24,2.11357532714677e-22,8.27116699145544e-21,2.73634985040434e-19,7.68263741098636e-18,1.83745921292192e-16,3.75678379633738e-15,6.58652916298603e-14,9.9284131381443e-13,1.28945540819004e-11,1.44528238469119e-10,1.39980734783004e-09,1.17268405143349e-08,8.50440441367811e-08,5.34287660608252e-07,2.90998455714743e-06,1.37508548191722e-05,5.64255180660471e-05,0.000201268116645098,0.000624823967791825,0.00169066694577573,0.00399429336839164,0.00825703772025781,0.0149733271295223,0.0238915343403992,0.0336635560952953,0.0420600276474337,0.0468173147094644,0.0466648381162463,0.0418740812222001,0.0340098105506154,0.0251304767715261,0.0169747219576849,0.0105269923873517,0.0060185556928593,0.00318543494010463,0.00156780768286743,0.000721256125943423,0.000311943094065546,0.000127632143642571,4.97066173793465e-05,1.85244514786832e-05,6.63110037555977e-06,2.28411392446652e-06,7.57032826961311e-07,2.41080562167708e-07,7.36131954708887e-08,2.15059386586586e-08,6.00014681312088e-09,1.59642399650304e-09,4.04655887533502e-10,9.76546150299188e-11,2.24281370748286e-11,4.90094738281653e-12,1.01879663760128e-12,2.01452844655667e-13,3.78886074763967e-14,6.77752952275401e-15,1.15303955547924e-15,1.86557303386799e-16,2.87053479583499e-17,4.20034271372352e-18,5.84478000936005e-19,7.73400569751773e-20,9.73164028792958e-21,1.1644105152712e-21,1.32482577329239e-22,1.43330550765792e-23,1.47448894023664e-24,1.44232444528146e-25,1.34152736747893e-26,1.18644633158857e-27,9.977135848659e-29,7.97756719269788e-30,6.06512445795048e-31,4.38441592050655e-32,3.01359513514007e-33,1.96950798282444e-34,1.22385224238397e-35,7.23098585469762e-37,4.0622096348223e-38,2.16981437219524e-39,1.10198960957482e-40,5.3214062771407e-42,2.44325472669635e-43,1.06660587999793e-44,4.42722548448058e-46,1.74723513276069e-47,6.55635950903066e-49,2.33919028430625e-50,7.9352289099744e-52,2.55943583508563e-53,7.84909712989667e-55,2.28868302036092e-56,6.3451503634022e-58,1.67258567841649e-59,4.19203490681337e-61,9.98967498806478e-63,2.26343320810654e-64,4.87611320813084e-66,9.98779396488129e-68,1.94515853418324e-69,3.60188636562394e-71,6.3415371054994e-73,1.06156978961943e-74,1.68963153786827e-76,2.55696553016628e-78,3.67914682342178e-80,5.03336841283618e-82,6.54726093870448e-84,8.09748013083589e-86,9.52202735912359e-88,1.06462886316672e-89,1.13176513478538e-91,1.1439410299669e-93,1.0993606918014e-95,1.0045371521898e-97,8.72732252759813E-100,7.2091699721432E-102,5.6621153706821E-104,4.22825691744775E-106,3.00215576519606E-108,2.02672241509077E-110,1.30090179102897E-112,7.93933159291936E-115,4.60693999895299E-117,2.54173549663662E-119,1.33332902434132E-121,6.65018138526939E-124,3.1536887292566E-126,1.42197950438589E-128,6.09616933293613E-131,2.48490551628808E-133,9.63056819035116E-136,3.5488129758479E-138,1.24337887568943E-140,4.14202796508712E-143,1.31193324662887E-145,3.95093257148673E-148,1.13129707944546E-150,3.0799444372102E-153,7.9725686049894E-156,1.96219794012609E-158,4.59173200484997E-161,1.02164359451935E-163,2.16128214944086E-166,4.34723064757631E-169,8.31386685550388E-172,1.51175917567607E-174,2.61367345510854E-177,4.29644450505374E-180,6.71515824788219E-183,9.97912498491489E-186,1.40999586108233E-188,1.89422855366167E-191,2.41955826747159E-194,2.93852206863262E-197,3.39321199267779E-200,3.72547964572105E-203,3.88904135827124E-206,3.86004256304116E-209,3.64276193898716E-212,3.26857648528483E-215,2.78853229569907E-218,2.26194411263284E-221,1.74452511793608E-224,1.27926862409567E-227,8.91939576729156E-231,5.91286938950719E-234,3.72692198629237E-237,2.23352842016072E-240,1.27268764699907E-243,6.89511222940681E-247,3.55181236599686E-250,1.7395938165926E-253,8.10092964589586E-257,3.58683195716664E-260,1.50999797655393E-263,6.0440891980541E-267,2.30024729929724E-270,8.32352635090108E-274,2.86371208920042E-277,9.36786259117199E-281,2.91367317480831E-284,8.61648872668025E-288,2.42275209349886E-291,6.47704323008295E-295,1.64639401509244E-298,3.97905485634612E-302,9.14355831619826E-306,1.99774345503017E-309,4.15005028266482E-313,8.19702089719806E-317,1.53703822421212E-320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J46" s="31" t="s">
        <v>153</v>
      </c>
    </row>
    <row r="47" spans="1:10">
      <c r="A47" t="s">
        <v>323</v>
      </c>
      <c r="H47" s="3" t="s">
        <v>156</v>
      </c>
      <c r="I47" s="3">
        <f>STupidExcelMean(I44)</f>
        <v>2.2663960198649226E-2</v>
      </c>
      <c r="J47" s="3">
        <f>STupidExcelVariance(I44,I47)</f>
        <v>1.8845354010985646E-4</v>
      </c>
    </row>
    <row r="48" spans="1:10">
      <c r="A48" t="s">
        <v>346</v>
      </c>
      <c r="H48" s="3" t="s">
        <v>156</v>
      </c>
      <c r="I48" s="3">
        <f t="shared" ref="I48:I49" si="13">STupidExcelMean(I45)</f>
        <v>2.1235071567804756E-2</v>
      </c>
      <c r="J48" s="3">
        <f t="shared" ref="J48:J49" si="14">STupidExcelVariance(I45,I48)</f>
        <v>1.714366759226982E-4</v>
      </c>
    </row>
    <row r="49" spans="8:10">
      <c r="H49" s="3" t="s">
        <v>156</v>
      </c>
      <c r="I49" s="3">
        <f t="shared" si="13"/>
        <v>21.249685443935117</v>
      </c>
      <c r="J49" s="3">
        <f t="shared" si="14"/>
        <v>375.00316317808938</v>
      </c>
    </row>
    <row r="50" spans="8:10">
      <c r="H50" s="18" t="s">
        <v>265</v>
      </c>
      <c r="I50" s="19">
        <f>EXP(MuFromParams(I47,J47))</f>
        <v>1.9385162299460572E-2</v>
      </c>
      <c r="J50" s="19">
        <f>(SigmaFromParams(I47,J47) / LN(10))^2</f>
        <v>5.8947969051437406E-2</v>
      </c>
    </row>
    <row r="51" spans="8:10">
      <c r="H51" s="18" t="s">
        <v>266</v>
      </c>
      <c r="I51" s="19">
        <f t="shared" ref="I51:I52" si="15">EXP(MuFromParams(I48,J48))</f>
        <v>1.8075274366531367E-2</v>
      </c>
      <c r="J51" s="19">
        <f t="shared" ref="J51:J52" si="16">(SigmaFromParams(I48,J48) / LN(10))^2</f>
        <v>6.0774154240875143E-2</v>
      </c>
    </row>
    <row r="52" spans="8:10">
      <c r="H52" s="18" t="s">
        <v>297</v>
      </c>
      <c r="I52" s="19">
        <f t="shared" si="15"/>
        <v>15.706153706880105</v>
      </c>
      <c r="J52" s="19">
        <f t="shared" si="16"/>
        <v>0.1140306716242695</v>
      </c>
    </row>
  </sheetData>
  <hyperlinks>
    <hyperlink ref="F10" r:id="rId1"/>
    <hyperlink ref="F7" r:id="rId2"/>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E69" sqref="E69"/>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124</v>
      </c>
      <c r="B1" s="82"/>
      <c r="C1" s="82"/>
      <c r="D1" s="119"/>
      <c r="F1" s="1" t="s">
        <v>63</v>
      </c>
    </row>
    <row r="2" spans="1:16">
      <c r="A2" s="74"/>
      <c r="B2" s="74" t="s">
        <v>0</v>
      </c>
      <c r="C2" s="74" t="s">
        <v>1</v>
      </c>
      <c r="D2" s="119" t="s">
        <v>27</v>
      </c>
      <c r="G2" s="7" t="s">
        <v>161</v>
      </c>
      <c r="H2" s="7" t="s">
        <v>162</v>
      </c>
      <c r="I2" t="s">
        <v>164</v>
      </c>
    </row>
    <row r="3" spans="1:16" ht="30">
      <c r="A3" s="42" t="s">
        <v>99</v>
      </c>
      <c r="B3" s="50">
        <v>50000000000</v>
      </c>
      <c r="C3" s="50">
        <v>2000000000000</v>
      </c>
      <c r="D3" s="119" t="s">
        <v>238</v>
      </c>
      <c r="F3" s="15" t="s">
        <v>52</v>
      </c>
      <c r="G3" s="14">
        <v>1</v>
      </c>
      <c r="H3" s="14">
        <f>I3^2</f>
        <v>6.25E-2</v>
      </c>
      <c r="I3">
        <v>0.25</v>
      </c>
    </row>
    <row r="4" spans="1:16">
      <c r="A4" s="46" t="s">
        <v>93</v>
      </c>
      <c r="B4" s="47">
        <v>0.1</v>
      </c>
      <c r="C4" s="47">
        <v>0.5</v>
      </c>
      <c r="D4" s="119" t="s">
        <v>193</v>
      </c>
      <c r="F4" s="18" t="s">
        <v>80</v>
      </c>
      <c r="G4" s="19">
        <f>ParetoPosterior(median,alpha,G3:H3)</f>
        <v>1.0718443947358864</v>
      </c>
      <c r="H4" s="3"/>
    </row>
    <row r="5" spans="1:16" ht="45">
      <c r="A5" s="46" t="s">
        <v>324</v>
      </c>
      <c r="B5" s="47">
        <v>5.0000000000000001E-3</v>
      </c>
      <c r="C5" s="47">
        <v>0.2</v>
      </c>
      <c r="D5" s="119"/>
      <c r="F5" s="18" t="s">
        <v>87</v>
      </c>
      <c r="G5" s="19">
        <f>LognormPosterior(mu_global_poverty,sigma_global_poverty,G3:H3)</f>
        <v>1.1417331931971864</v>
      </c>
      <c r="H5" s="3"/>
    </row>
    <row r="6" spans="1:16" ht="45">
      <c r="A6" s="46" t="s">
        <v>325</v>
      </c>
      <c r="B6" s="47">
        <f>B5*1.01</f>
        <v>5.0499999999999998E-3</v>
      </c>
      <c r="C6" s="47">
        <f>C5*1.01</f>
        <v>0.20200000000000001</v>
      </c>
      <c r="D6" s="119"/>
    </row>
    <row r="7" spans="1:16" ht="30">
      <c r="A7" s="116" t="s">
        <v>89</v>
      </c>
      <c r="B7" s="107">
        <f>1000/C3*interest_rate</f>
        <v>2.5000000000000004E-11</v>
      </c>
      <c r="C7" s="107">
        <f>1000/B3*interest_rate</f>
        <v>1.0000000000000001E-9</v>
      </c>
      <c r="D7" s="119"/>
    </row>
    <row r="8" spans="1:16" ht="45">
      <c r="A8" s="91" t="s">
        <v>326</v>
      </c>
      <c r="B8" s="65">
        <v>1.21</v>
      </c>
      <c r="C8" s="65">
        <v>192</v>
      </c>
      <c r="D8" s="120" t="s">
        <v>234</v>
      </c>
      <c r="F8" s="1" t="s">
        <v>88</v>
      </c>
      <c r="K8" s="1" t="s">
        <v>96</v>
      </c>
    </row>
    <row r="9" spans="1:16" ht="30">
      <c r="A9" s="118" t="s">
        <v>235</v>
      </c>
      <c r="B9" s="44">
        <f>B8/365</f>
        <v>3.3150684931506848E-3</v>
      </c>
      <c r="C9" s="44">
        <f>C8/365</f>
        <v>0.52602739726027392</v>
      </c>
      <c r="G9" t="s">
        <v>161</v>
      </c>
      <c r="H9" t="s">
        <v>163</v>
      </c>
      <c r="J9" s="13"/>
      <c r="L9" s="7" t="s">
        <v>161</v>
      </c>
      <c r="M9" s="7" t="s">
        <v>163</v>
      </c>
      <c r="N9" s="13"/>
      <c r="O9" s="3"/>
      <c r="P9" s="3"/>
    </row>
    <row r="10" spans="1:16">
      <c r="A10" s="118"/>
      <c r="F10" t="s">
        <v>93</v>
      </c>
      <c r="G10">
        <f>GEOMEAN($B$4,$C$4)</f>
        <v>0.22360679774997896</v>
      </c>
      <c r="H10">
        <f>LogVariance($B$4,$C$4)</f>
        <v>0.27270459618181209</v>
      </c>
      <c r="J10" s="3"/>
      <c r="K10" t="s">
        <v>93</v>
      </c>
      <c r="L10">
        <f>GEOMEAN($B$4,$C$4)</f>
        <v>0.22360679774997896</v>
      </c>
      <c r="M10">
        <f>LogVariance($B$4,$C$4)</f>
        <v>0.27270459618181209</v>
      </c>
      <c r="N10" s="3"/>
      <c r="O10" s="3"/>
      <c r="P10" s="3"/>
    </row>
    <row r="11" spans="1:16">
      <c r="A11" s="118"/>
      <c r="F11" s="3" t="s">
        <v>94</v>
      </c>
      <c r="G11">
        <f>GEOMEAN($B$5,$C$5)</f>
        <v>3.1622776601683791E-2</v>
      </c>
      <c r="H11">
        <f>LogVariance($B$5,$C$5)</f>
        <v>0.62504702674494428</v>
      </c>
      <c r="J11" s="3"/>
      <c r="K11" s="3" t="s">
        <v>95</v>
      </c>
      <c r="L11">
        <f>GEOMEAN($B$6,$C$6)</f>
        <v>3.1939004367700634E-2</v>
      </c>
      <c r="M11">
        <f>LogVariance($B$6,$C$6)</f>
        <v>0.62504702674494439</v>
      </c>
      <c r="N11" s="3"/>
      <c r="O11" s="3"/>
      <c r="P11" s="3"/>
    </row>
    <row r="12" spans="1:16">
      <c r="A12" s="118"/>
      <c r="F12" t="s">
        <v>89</v>
      </c>
      <c r="G12">
        <f>GEOMEAN($B$7,$C$7)</f>
        <v>1.5811388300841898E-10</v>
      </c>
      <c r="H12">
        <f>LogVariance($B$7,$C$7)</f>
        <v>0.62504702674494428</v>
      </c>
      <c r="J12" s="3"/>
      <c r="K12" t="s">
        <v>89</v>
      </c>
      <c r="L12">
        <f>GEOMEAN($B$7,$C$7)</f>
        <v>1.5811388300841898E-10</v>
      </c>
      <c r="M12">
        <f>LogVariance($B$7,$C$7)</f>
        <v>0.62504702674494428</v>
      </c>
      <c r="N12" s="3"/>
      <c r="O12" s="3"/>
      <c r="P12" s="3"/>
    </row>
    <row r="13" spans="1:16">
      <c r="A13" s="103"/>
      <c r="F13" t="s">
        <v>109</v>
      </c>
      <c r="G13">
        <f>VLOOKUP(F13,'EV of Far Future'!$K$18:$M$19,2,FALSE)</f>
        <v>4.0402885211266472E+46</v>
      </c>
      <c r="H13">
        <f>VLOOKUP(F13,'EV of Far Future'!$K$18:$M$19,3,FALSE)</f>
        <v>3.600201532086265</v>
      </c>
      <c r="J13" s="3"/>
      <c r="K13" t="s">
        <v>109</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160</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233</v>
      </c>
      <c r="L17" s="117"/>
      <c r="M17" s="117"/>
      <c r="N17" s="3"/>
      <c r="O17" s="3"/>
      <c r="P17" s="3"/>
    </row>
    <row r="18" spans="1:16">
      <c r="J18" s="3"/>
      <c r="K18" s="12"/>
      <c r="L18" s="117" t="s">
        <v>161</v>
      </c>
      <c r="M18" s="117" t="s">
        <v>163</v>
      </c>
      <c r="O18" s="3"/>
      <c r="P18" s="3"/>
    </row>
    <row r="19" spans="1:16">
      <c r="J19" s="3"/>
      <c r="K19" s="103" t="s">
        <v>235</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169</v>
      </c>
      <c r="B23" s="3"/>
      <c r="C23" s="3"/>
      <c r="J23" s="3"/>
      <c r="N23" s="3"/>
      <c r="O23" s="3"/>
      <c r="P23" s="3"/>
    </row>
    <row r="24" spans="1:16" ht="30">
      <c r="A24" s="5" t="s">
        <v>167</v>
      </c>
      <c r="B24">
        <f>G15-L28</f>
        <v>-5.0718069182569168E+38</v>
      </c>
      <c r="C24">
        <f>DifferenceVariance(G15:H15,L28:M28)</f>
        <v>1.6154960398784601E+93</v>
      </c>
      <c r="J24" s="3"/>
      <c r="K24" t="s">
        <v>236</v>
      </c>
      <c r="N24" s="3"/>
      <c r="O24" s="3"/>
      <c r="P24" s="3"/>
    </row>
    <row r="25" spans="1:16">
      <c r="A25" s="16" t="s">
        <v>168</v>
      </c>
      <c r="B25" s="14">
        <f>EXP(MuFromParams(ABS(B24),C24))</f>
        <v>6.3998894867052933E+30</v>
      </c>
      <c r="C25" s="14">
        <f>(SigmaFromParams(B24,C24) / LN(10))^2</f>
        <v>6.8609757451714941</v>
      </c>
      <c r="K25" s="12" t="s">
        <v>237</v>
      </c>
      <c r="L25" s="12">
        <f>L14</f>
        <v>4.5623516898853962E+34</v>
      </c>
      <c r="M25" s="12">
        <f>M14</f>
        <v>5.1230001817579662</v>
      </c>
    </row>
    <row r="26" spans="1:16">
      <c r="A26" s="36" t="s">
        <v>80</v>
      </c>
      <c r="B26" s="19">
        <f>ParetoPosterior(median,alpha,B25:C25)*SIGN(B24)</f>
        <v>-1026948244859617.1</v>
      </c>
      <c r="K26" s="12" t="s">
        <v>148</v>
      </c>
      <c r="L26" s="12">
        <f>L21</f>
        <v>7.5166259703810995E-2</v>
      </c>
      <c r="M26" s="12">
        <f>M21</f>
        <v>0.85853582389873684</v>
      </c>
    </row>
    <row r="27" spans="1:16">
      <c r="A27" s="36" t="s">
        <v>87</v>
      </c>
      <c r="B27" s="19">
        <f>LognormPosterior(mu_far_future,sigma_far_future,B25:C25)*SIGN(B24)</f>
        <v>-1951.8230442146792</v>
      </c>
      <c r="K27" s="125" t="s">
        <v>172</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153</v>
      </c>
    </row>
    <row r="28" spans="1:16">
      <c r="A28" s="5"/>
      <c r="K28" s="7" t="s">
        <v>159</v>
      </c>
      <c r="L28" s="7">
        <f>STupidExcelMean(L27)</f>
        <v>3.6229472276327588E+40</v>
      </c>
      <c r="M28" s="7">
        <f>STupidExcelVariance(L27,L28)</f>
        <v>8.1746006014656638E+92</v>
      </c>
    </row>
    <row r="29" spans="1:16">
      <c r="A29" s="5"/>
    </row>
    <row r="30" spans="1:16">
      <c r="A30" s="33" t="s">
        <v>85</v>
      </c>
      <c r="B30" s="4">
        <f>B26+G4</f>
        <v>-1026948244859616</v>
      </c>
    </row>
    <row r="31" spans="1:16">
      <c r="A31" s="33" t="s">
        <v>86</v>
      </c>
      <c r="B31" s="4">
        <f>B27+G5</f>
        <v>-1950.6813110214819</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9" sqref="I9"/>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124</v>
      </c>
      <c r="H1" s="1" t="s">
        <v>63</v>
      </c>
      <c r="M1" s="1" t="s">
        <v>79</v>
      </c>
    </row>
    <row r="2" spans="1:15">
      <c r="A2" s="57"/>
      <c r="B2" s="44" t="s">
        <v>0</v>
      </c>
      <c r="C2" s="44" t="s">
        <v>1</v>
      </c>
      <c r="D2" s="54" t="s">
        <v>161</v>
      </c>
      <c r="E2" s="54" t="s">
        <v>163</v>
      </c>
      <c r="F2" t="s">
        <v>27</v>
      </c>
      <c r="I2" s="7" t="s">
        <v>161</v>
      </c>
      <c r="J2" s="7" t="s">
        <v>162</v>
      </c>
      <c r="N2" s="7" t="s">
        <v>161</v>
      </c>
      <c r="O2" s="7" t="s">
        <v>163</v>
      </c>
    </row>
    <row r="3" spans="1:15" ht="30">
      <c r="A3" s="42" t="s">
        <v>120</v>
      </c>
      <c r="B3" s="43">
        <v>0.7</v>
      </c>
      <c r="C3" s="83">
        <v>13</v>
      </c>
      <c r="D3" s="74"/>
      <c r="E3" s="74"/>
      <c r="F3" s="150" t="s">
        <v>123</v>
      </c>
      <c r="G3" s="7"/>
      <c r="H3" t="s">
        <v>68</v>
      </c>
      <c r="I3">
        <f>D5</f>
        <v>3016.620625799671</v>
      </c>
      <c r="J3">
        <f>E5</f>
        <v>0.49504262895320128</v>
      </c>
      <c r="M3" s="3" t="s">
        <v>248</v>
      </c>
      <c r="N3" s="25">
        <f>VLOOKUP(M3,$A$14:$E$17,4,FALSE)</f>
        <v>4.4721359549995794E-2</v>
      </c>
      <c r="O3" s="25">
        <f>VLOOKUP(M3,$A$14:$E$17,5,FALSE)</f>
        <v>0.50759954989056688</v>
      </c>
    </row>
    <row r="4" spans="1:15" ht="30">
      <c r="A4" s="46" t="s">
        <v>152</v>
      </c>
      <c r="B4" s="47">
        <v>3</v>
      </c>
      <c r="C4" s="84">
        <v>4</v>
      </c>
      <c r="D4" s="74">
        <f>GEOMEAN(B4,C4)</f>
        <v>3.4641016151377548</v>
      </c>
      <c r="E4" s="74">
        <f>LogVariance(B4,C4)</f>
        <v>4.8745107090250664E-2</v>
      </c>
      <c r="F4" s="103" t="s">
        <v>203</v>
      </c>
      <c r="H4" t="s">
        <v>38</v>
      </c>
      <c r="I4">
        <f>VLOOKUP($H4,Globals!$A$22:$L$30,11,FALSE)</f>
        <v>1.7999999999999998</v>
      </c>
      <c r="J4">
        <f>VLOOKUP($H4,Globals!$A$22:$L$30,12,FALSE)</f>
        <v>0</v>
      </c>
      <c r="M4" s="3" t="s">
        <v>186</v>
      </c>
      <c r="N4">
        <f>VLOOKUP($M4,'EV of Far Future'!$K$3:$N$14,2,FALSE)</f>
        <v>3.8399999999999992E+38</v>
      </c>
      <c r="O4">
        <f>VLOOKUP($M4,'EV of Far Future'!$K$3:$N$14,3,FALSE)</f>
        <v>4.6818248764342734</v>
      </c>
    </row>
    <row r="5" spans="1:15" ht="30">
      <c r="A5" s="85" t="s">
        <v>68</v>
      </c>
      <c r="B5" s="86">
        <f>B3*1000</f>
        <v>700</v>
      </c>
      <c r="C5" s="86">
        <f>C3*1000</f>
        <v>13000</v>
      </c>
      <c r="D5" s="74">
        <f>GEOMEAN(B5,C5)</f>
        <v>3016.620625799671</v>
      </c>
      <c r="E5" s="74">
        <f>LogVariance(B5,C5)</f>
        <v>0.49504262895320128</v>
      </c>
      <c r="F5" s="103"/>
      <c r="H5" s="15" t="s">
        <v>52</v>
      </c>
      <c r="I5" s="14">
        <f>PRODUCT(I3:I4)</f>
        <v>5429.9171264394072</v>
      </c>
      <c r="J5" s="14">
        <f>SUM(J3:J4)</f>
        <v>0.49504262895320128</v>
      </c>
      <c r="M5" s="3" t="s">
        <v>66</v>
      </c>
      <c r="N5">
        <f>1/factory_farmed_animals</f>
        <v>5.0000000000000002E-11</v>
      </c>
      <c r="O5">
        <v>0</v>
      </c>
    </row>
    <row r="6" spans="1:15" ht="30">
      <c r="A6" s="85" t="s">
        <v>67</v>
      </c>
      <c r="B6" s="86"/>
      <c r="C6" s="86"/>
      <c r="D6" s="74">
        <f>PRODUCT(D4:D5)</f>
        <v>10449.880382090505</v>
      </c>
      <c r="E6" s="74">
        <f>SUM(E4:E5)</f>
        <v>0.54378773604345199</v>
      </c>
      <c r="F6" s="103"/>
      <c r="H6" s="18" t="s">
        <v>80</v>
      </c>
      <c r="I6" s="19">
        <f>ParetoPosterior(median,alpha,I5:J5)</f>
        <v>417.62178374956346</v>
      </c>
      <c r="M6" s="3" t="s">
        <v>98</v>
      </c>
      <c r="N6">
        <f>$D$12</f>
        <v>778.36106764849467</v>
      </c>
      <c r="O6">
        <f>$E$12</f>
        <v>0.55699674606152716</v>
      </c>
    </row>
    <row r="7" spans="1:15" ht="45">
      <c r="A7" s="46" t="s">
        <v>106</v>
      </c>
      <c r="B7" s="47">
        <v>5.0000000000000001E-3</v>
      </c>
      <c r="C7" s="47">
        <v>0.03</v>
      </c>
      <c r="D7" s="74">
        <f>GEOMEAN(B7,C7)</f>
        <v>1.2247448713915889E-2</v>
      </c>
      <c r="E7" s="74">
        <f>LogVariance(B7,C7)</f>
        <v>0.30359732347288149</v>
      </c>
      <c r="F7" s="103"/>
      <c r="H7" s="18" t="s">
        <v>69</v>
      </c>
      <c r="I7" s="20">
        <f>LognormPosterior(mu_factory_farming,sigma_factory_farming,I5:J5)</f>
        <v>128.50116005609027</v>
      </c>
      <c r="M7" s="15" t="s">
        <v>52</v>
      </c>
      <c r="N7" s="14">
        <f>PRODUCT(N3:N6)</f>
        <v>6.6833981118771693E+29</v>
      </c>
      <c r="O7" s="14">
        <f>SUM(O3:O6)</f>
        <v>5.7464211723863672</v>
      </c>
    </row>
    <row r="8" spans="1:15" ht="30">
      <c r="A8" s="85" t="s">
        <v>231</v>
      </c>
      <c r="B8" s="112"/>
      <c r="C8" s="112"/>
      <c r="D8">
        <f>D6*interest_rate</f>
        <v>522.49401910452525</v>
      </c>
      <c r="E8">
        <f>E6</f>
        <v>0.54378773604345199</v>
      </c>
      <c r="F8" s="103"/>
      <c r="I8" s="21"/>
    </row>
    <row r="9" spans="1:15" ht="30">
      <c r="A9" s="113" t="s">
        <v>232</v>
      </c>
      <c r="B9" s="112"/>
      <c r="C9" s="112"/>
      <c r="D9">
        <f>D6*D7</f>
        <v>127.98437404620924</v>
      </c>
      <c r="E9">
        <f>E6+E7</f>
        <v>0.84738505951633347</v>
      </c>
      <c r="F9" s="103"/>
      <c r="I9" s="2">
        <f>LognormPosterior(mu_factory_farming,sigma_factory_farming,I5:J5)</f>
        <v>128.50116005609027</v>
      </c>
    </row>
    <row r="10" spans="1:15">
      <c r="A10" s="115" t="s">
        <v>172</v>
      </c>
      <c r="D10" s="114" t="str">
        <f>WriteArray(SumLognormDists(D8:E9))</f>
        <v>0,0,0,0,5.29662331042868E-293,1.34510720368964E-289,6.29778739139962E-287,3.38710416551508E-284,1.43040617324106E-281,5.77984181470295E-279,2.26711531471151E-276,8.64780643741464E-274,3.20498267651421E-271,1.15457947123543E-268,4.0431232163893E-266,1.376279675357E-263,4.55400200915725E-261,1.46479432522791E-258,4.57991150359909E-256,1.39198523255035E-253,4.11253277460306E-251,1.18108571963555E-248,3.29724234278414E-246,8.9478320497236E-244,2.36038251300883E-241,6.0526375421905E-239,1.50870651740656E-236,3.65563472093407E-234,8.61031138548315E-232,1.97139236006789E-229,4.38758496756202E-227,9.49240770331796E-225,1.99629957192008E-222,4.08106627671065E-220,8.10998971403935E-218,1.5666276952141E-215,2.94178045428905E-213,5.36974671293768E-211,9.52788600036335E-209,1.64338242555985E-206,2.75537165613756E-204,4.490775313336E-202,7.11479169339027E-200,1.09572837392219E-197,1.64037679439724E-195,2.38717607470344E-193,3.37695718999215E-191,4.6437310968982E-189,6.20739125529626E-187,8.065882108439E-185,1.01881530309288E-182,1.25095024788071E-180,1.49308920086569E-178,1.73233852242564E-176,1.95380500867427E-174,2.14205825907425E-172,2.28288009936884E-170,2.36503107696795E-168,2.38173090257683E-166,2.33158250702956E-164,2.21876502415568E-162,2.0524587239648E-160,1.84561165896347E-158,1.61327783570835E-156,1.37082222885101E-154,1.13228673717511E-152,9.0914927904543E-151,7.09606624560822E-149,5.38398695310181E-147,3.97094987675118E-145,2.84701055527894E-143,1.98421265376674E-141,1.34428706894299E-139,8.85320869733705E-138,5.66779935184908E-136,3.52722796872937E-134,2.13382159080553E-132,1.25484017281463E-130,7.17339389618395E-129,3.98627381798813E-127,2.15335676597491E-125,1.13076276614014E-123,5.7721006623842E-122,2.86420053705033E-120,1.38159363020603E-118,6.47835657043792E-117,2.9529578888951E-115,1.30845200853167E-113,5.6359449816265E-112,2.35984979823038E-110,9.60529971114249E-109,3.80055217661541E-107,1.4618135372916E-105,5.46571582592657E-104,1.98660807827497E-102,7.01920172457505E-101,2.41087076358951e-99,8.0495411465858e-98,2.61264029164218e-96,8.24327400215484e-95,2.5283185813477e-93,7.53834714070325e-92,2.18490763282898e-90,6.15606202140123e-89,1.68611113577146e-87,4.48934589280584e-86,1.16196745261979e-84,2.92360874662408e-83,7.15087706760211e-82,1.70025682164363e-80,3.92993426067605e-79,8.83022947682146e-78,1.92874603343304e-76,4.09538625316045e-75,8.4534089596198e-74,1.69623692229484e-72,3.30871382390164e-71,6.27408516714132e-70,1.15653979772359e-68,2.07247924586783e-67,3.61027024356733e-66,6.1137775698994e-65,1.00646912076031e-63,1.6106926686333e-62,2.50580247623553e-61,3.78968786819751e-60,5.57163997346636e-59,7.96317389561639e-58,1.10640331794886e-56,1.49439509331227e-55,1.96219733287229e-54,2.50464291889469e-53,3.10796030039794e-52,3.74914508138237e-51,4.39659860133366e-50,5.01221667462586e-49,5.5548454891175e-48,5.98472157307487e-47,6.26825202335559e-46,6.38234400122593e-45,6.31751051672381e-44,6.07917309691848e-43,5.68691321189589e-42,5.1718158227645e-41,4.5724049296758e-40,3.92990768028348e-39,3.28365038522666e-38,2.66728402861323e-37,2.10630047069383e-36,1.61700377294822e-35,1.20681960632939e-34,8.7561923139507e-34,6.17633521953902e-33,4.2353578799362e-32,2.82354125474028e-31,1.82997032983409e-30,1.15303103190166e-29,7.06295054559967e-29,4.20611148659691e-28,2.43515214686312e-27,1.3706400913099e-26,7.50022194219047e-26,3.99006107736017e-25,2.06367429416548e-24,1.03767280483871e-23,5.0726970357897e-23,2.41089457757455e-22,1.11398661854785e-21,5.00432955675794e-21,2.18563574759202e-20,9.28063031239499e-20,3.83130643412664e-19,1.53775813468625e-18,6.00071483202527e-18,2.27663771301379e-17,8.39775322021963e-17,3.01170824720369e-16,1.05013652514344e-15,3.56011712716589e-15,1.17346777053869e-14,3.76070469873874e-14,1.1718214762407e-13,3.55018464910951e-13,1.04578153874177e-12,2.99526314301035e-12,8.34135492175335e-12,2.25865368081444e-11,5.9467290188986e-11,1.52239156720351e-10,3.78964747662529e-10,9.17276459729904e-10,2.15891594787886e-09,4.94095206156926e-09,1.09958972306026e-08,2.37958872925915e-08,5.00761353620985e-08,1.02476499376452e-07,2.03934034172618e-07,3.94670789473442e-07,7.42794293976843e-07,1.35956352703184e-06,2.42012372576917e-06,4.18979945980481e-06,7.05468788140085e-06,1.15532311582323e-05,1.84027779490343e-05,2.85122723156429e-05,4.29698906940218e-05,6.29937433683262e-05,8.98358272955756e-05,0.000124635158837091,0.000168225594909027,0.000220916283428741,0.000282275646346993,0.000350959871520447,0.00042463029812792,0.000499997832058134,0.000573015637882092,0.000639215709744085,0.000694155362829557,0.000733913078835934,0.000755556601468123,0.000757504939373053,0.000739721550790537,0.000703705587937486,0.000652284991078287,0.000589250793303489,0.000518898074528371,0.000445550197299228,0.000373137968321996,0.000304887003350422,0.00024314054572163,0.000189318035690181,0.000143987691557253,0.000107017853095873,7.77677590757644e-05,5.52823565706683e-05,3.84648223156141e-05,2.62115074785349e-05,1.75042949372191e-05,1.14631707257419e-05,7.36651911597236e-06,4.64847268278649e-06,2.88230997102436e-06,1.75727806733285e-06,1.05411424382196e-06,6.22512254703137e-07,3.62136216478192e-07,2.07632066549313e-07,1.17390660463625e-07,6.54775398519245e-08,3.60463180410579e-08,1.95938300352402e-08,1.0520617830124e-08,5.58209361473229e-09,2.92790620451634e-09,1.51877438819097e-09,7.79434653757731e-10,3.95906364854688e-10,1.99116455080617e-10,9.91962904695698e-11,4.89689432463157e-11,2.39625528251052e-11,1.1626900625564e-11,5.59527636396822e-12,2.6710801156629e-12,1.2650614826614e-12,5.94452143958841e-13,2.77136929363911e-13,1.28176593081512e-13,5.88032048239023e-14,2.67542891320006e-14,1.20696369047321e-14,5.39762333866625e-15,2.39228745573018e-15,1.0505605437518e-15,4.57007429531974e-16,1.96889674189869e-16,8.39905622376033e-17,3.54702836243042e-17,1.48269938997374e-17,6.13383955910149e-18,2.51100610393687e-18,1.0170737308759e-18,4.07574527198784e-19,1.61576702138877e-19,6.33636958608128e-20,2.45793408884323e-20,9.43083359225831e-21,3.57903334347113e-21,1.34340160619424e-21,4.98725410306522e-22,1.83115734097784e-22,6.64956070231179e-23,2.38813690752892e-23,8.48244969863898e-24,2.97972906790273e-24,1.0351990791293e-24,3.55681479595895e-25,1.20861481199507e-25,4.06165593593798e-26,1.34991486443344e-26,4.43708015011759e-27,1.44236620751463e-27,4.63704146106938e-28,1.47432576493497e-28,4.63588730309943e-29,1.44164773800374e-29,4.43376083800119e-30,1.34856586310481e-30,4.05656864390389e-31,1.20679152113124e-31,3.55052368630332e-32,1.03309275249325e-32,2.97284966201558e-33,8.46044699291467e-34,2.38122480186661e-34,6.6281787429541e-35,1.82462974631267e-35,4.96754733678881e-36,1.33750680981242e-36,3.56153087249135e-37,9.37916440196845e-38,2.44274597953534e-38,6.29186201195422e-39,1.60275372638313e-39,4.03776579437741e-40,1.00600972136863e-40,2.47884832313677e-41,6.0406608559508e-42,1.45581328053636e-42,3.46987335216193e-43,8.17915227833764e-44,1.90673214222842e-44,4.39600122571727e-45,1.00233442304316e-45,2.26023819530494e-46,5.04060304388203e-47,1.11172534935977e-47,2.42493020470583e-48,5.23103590743811e-49,1.11599662891389e-49,2.35464146577273e-50,4.91330151450602e-51,1.01393185655925e-51,2.0693351927804e-52,4.17676117007528e-53,8.33748691183221e-54,1.64595292898607e-54,3.21355975950205e-55,6.20500410795725e-56,1.18490761270439e-56,2.23776063366419e-57,4.17954968993756e-58,7.7202627207166e-59,1.41033209702701e-59,2.54798826599502e-60,4.55260719981921e-61,8.04469645082912e-62,1.40587227308944e-62,2.42979029694678e-63,4.153157915223e-64,7.02060952896658e-65,1.17370219638201e-65,1.94056296549704e-66,3.17310383475307e-67,5.13130172692228e-68,8.20649188681062e-69,1.29799870738122e-69,2.03038173977057e-70,3.14099945753617e-71,4.80556822481498e-72,7.2712379440643e-73,1.08807464351373e-73,1.61025904008476e-74,2.35678261463481e-75,3.41137945158165e-76,4.88345574012544e-77,6.91371075485349e-78,9.68014538566243e-79,1.34041499399998e-79,1.8356226081173e-80,2.48607509072632e-81,3.32990474156073e-82,4.41099028226205e-83,5.77865964169213e-84,7.48694863723481e-85,9.59332848373354e-86,1.21568343892557e-86,1.52355595484636e-87,1.88835238443866e-88,2.31469832032428e-89,2.80603107002703e-90,3.36416492054801e-91,3.98886009252728e-92,4.67742737771062e-93,5.42440398341663e-94,6.22133693660797e-95,7.05670792454164e-96,7.91602734578799e-97,8.78211566357417e-98,9.63557736864548e-99,1.04554578773702e-99,1.12200577937101E-100,1.19078636919147E-101,1.24985415667712E-102,1.2973929886185E-103,1.33189650026054E-104,1.3522473293702E-105,1.35777719646451E-106,1.34830334554651E-107,1.32413857361168E-108,1.28607408117356E-109,1.23533645532508E-110,1.17352204763895E-111,1.10251364306665E-112,1.02438548197579E-113,9.41303299053875E-115,8.55426047413722E-116,7.68815416159488E-117,6.83358214812793E-118,6.00705321703874E-119,5.22229333957996E-120,4.49001476977803E-121,3.81786880010167E-122,3.21056120602976E-123,2.67010064066542E-124,2.19614510517932E-125,1.78641006078918E-126,1.43710335627397E-127,1.14335626243411E-128,8.9962573290246E-130,7.00049722275132E-131,5.38744226784739E-132,4.10037044363559E-133,3.08638630291755E-134,2.29754589257082E-135,1.69147206819105E-136,1.23155039983173E-137,8.86801199860889E-139,6.31519954885041E-140,4.4476910014348E-141,3.09791045551936E-142,2.13397750380421E-143,1.45377613985705E-144,9.79471852663097E-146,6.52639126823361E-147,4.30071810541312E-148,2.80282234424813E-149,1.80649551773799E-150,1.15150261642968E-151,7.25904842092722E-153,4.52565226293306E-154,2.79041881932931E-155,1.7015484782144E-156,1.02613850650606E-157,6.12004149470616E-159,3.60985262485664E-160,2.10577177584751E-161,1.21484215218313E-162,6.93130689001815E-164,3.91108385153814E-165,2.18255828137374E-166,1.20454019164095E-167,6.5745111319394E-169,3.54888852638561E-170,1.89455830152917E-171,1.00025404039438E-172,5.22275168325582E-174,2.69696409435163E-175,1.3773289465767E-176,6.95643783894999E-178,3.4747444188565E-179,1.71650687339519E-180,8.38600179569278E-182,4.05182872312651E-183,1.93612739504934E-184,9.14962942330405E-186,4.2762176613104E-187,1.9765273331492E-188,9.03509180282118E-190,4.0845953468163E-191,1.82621636545343E-192,8.07499283989481E-194,3.53117129109481E-195,1.52715158582422E-196,6.53179030018227E-198,2.76292466202962E-199,1.15582630964135E-200,4.78192579313003E-202,1.95658992222612E-203,7.91741693463418E-205,3.16850168599829E-206,1.25403914396765E-207,4.90856975126894E-209,1.90013984089457E-210,7.27449558854611E-212,2.75427264707642E-213,1.03133010897728E-214,3.81922450403932E-216,1.39874775599368E-217,5.06629344515233E-219,1.81479679097097E-220,6.42913266919047E-222,2.25249324068397E-223,7.80479191085644E-225,2.67452021067159E-226,9.06394294614361E-228,3.03791183427107E-229,1.00697778975038E-230,3.30104421339844E-232,1.07021125551802E-233,3.4314242066838E-235,1.08809303555765E-236,3.41227774740444E-238,1.05830157112216E-239,3.24609504130873E-241,9.84690493397364E-243,2.9540985700132E-244,8.76469773271799E-246,2.57179073547816E-247,7.46313049177786E-249,2.14187028876982E-250,6.07927824478323E-252,1.70646584166785E-253,4.73728923213475E-255,1.30061550265224E-256,3.53146311790176E-258,9.48303049227655E-260,2.51840946331543E-261,6.61442751706213E-263,1.7180860208978E-264,4.41351157855788E-266,1.12127040581583E-267,2.81723563275466E-269,7.00039763214598E-271,1.72031893371165E-272,4.18101718496657E-274,1.00494353239918E-275,2.38884565120801E-277,5.61592428292654E-279,1.30569313616752E-280,3.00225600334629E-282,6.82717517314619E-284,1.53539843638266E-285,3.41497764646993E-287,7.51175405302108E-289,1.63411109312743E-290,3.51567337432252E-292,7.4803545887205E-294,1.57406467892672E-295,3.27574197575392E-297,6.74191886061164E-299,1.37228425526546E-300,2.7624305171567E-302,5.49952738741815E-304,1.08279464349542E-305,2.1084026416846E-307,4.06020281683847E-309,7.73265489303903E-311,1.45645225259136E-312,2.71300502651156E-314,4.9979472237598E-316,9.10581759779959E-318,1.64059438358044E-319,2.91498731046335E-321,1.97626258336499E-323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0" s="114" t="s">
        <v>153</v>
      </c>
      <c r="F10" s="103"/>
      <c r="H10" s="13" t="s">
        <v>64</v>
      </c>
      <c r="M10" s="1" t="s">
        <v>177</v>
      </c>
    </row>
    <row r="11" spans="1:15">
      <c r="A11" s="3" t="s">
        <v>156</v>
      </c>
      <c r="D11" s="3">
        <f>STupidExcelMean(D10)</f>
        <v>3407.5897817391692</v>
      </c>
      <c r="E11" s="3">
        <f>STupidExcelVariance(D10,D11)</f>
        <v>210938034.78704423</v>
      </c>
      <c r="F11" s="103"/>
      <c r="I11" s="7" t="s">
        <v>161</v>
      </c>
      <c r="J11" s="7" t="s">
        <v>162</v>
      </c>
      <c r="M11" s="3" t="s">
        <v>179</v>
      </c>
      <c r="N11" s="25">
        <f>VLOOKUP(M11,$A$14:$E$17,4,FALSE)</f>
        <v>2.2360679774997897E-2</v>
      </c>
      <c r="O11" s="25">
        <f>VLOOKUP(M11,$A$14:$E$17,5,FALSE)</f>
        <v>0.27270459618181209</v>
      </c>
    </row>
    <row r="12" spans="1:15" ht="30">
      <c r="A12" s="113" t="s">
        <v>98</v>
      </c>
      <c r="B12" s="112"/>
      <c r="C12" s="112"/>
      <c r="D12" s="3">
        <f>EXP(MuFromParams(ABS(D11),E11))</f>
        <v>778.36106764849467</v>
      </c>
      <c r="E12" s="3">
        <f>(SigmaFromParams(D11,E11) / LN(10))^2</f>
        <v>0.55699674606152716</v>
      </c>
      <c r="F12" s="103"/>
      <c r="H12" s="3" t="s">
        <v>70</v>
      </c>
      <c r="I12">
        <v>1</v>
      </c>
      <c r="J12">
        <v>0</v>
      </c>
      <c r="M12" s="3" t="s">
        <v>182</v>
      </c>
      <c r="N12">
        <f>VLOOKUP($M12,'EV of Far Future'!$K$3:$N$14,2,FALSE)</f>
        <v>6.3245553203367595E+46</v>
      </c>
      <c r="O12">
        <f>VLOOKUP($M12,'EV of Far Future'!$K$3:$N$14,3,FALSE)</f>
        <v>3.5113686573257055</v>
      </c>
    </row>
    <row r="13" spans="1:15">
      <c r="A13" s="113"/>
      <c r="B13" s="112"/>
      <c r="C13" s="112"/>
      <c r="F13" s="103"/>
      <c r="H13" s="3" t="s">
        <v>187</v>
      </c>
      <c r="I13">
        <f>VLOOKUP($H13,'EV of Far Future'!$K$3:$N$14,2,FALSE)</f>
        <v>5.4644157967709579E+33</v>
      </c>
      <c r="J13">
        <f>VLOOKUP($H13,'EV of Far Future'!$K$3:$N$14,3,FALSE)</f>
        <v>2.7310645112533267</v>
      </c>
      <c r="M13" s="3" t="s">
        <v>66</v>
      </c>
      <c r="N13">
        <f>1/factory_farmed_animals</f>
        <v>5.0000000000000002E-11</v>
      </c>
      <c r="O13">
        <v>0</v>
      </c>
    </row>
    <row r="14" spans="1:15" ht="45">
      <c r="A14" s="46" t="s">
        <v>178</v>
      </c>
      <c r="B14" s="47">
        <v>0.01</v>
      </c>
      <c r="C14" s="47">
        <v>0.2</v>
      </c>
      <c r="D14" s="74">
        <f>GEOMEAN(B14,C14)</f>
        <v>4.4721359549995794E-2</v>
      </c>
      <c r="E14" s="74">
        <f>LogVariance(B14,C14)</f>
        <v>0.50759954989056688</v>
      </c>
      <c r="F14" s="103" t="s">
        <v>180</v>
      </c>
      <c r="H14" s="3" t="s">
        <v>66</v>
      </c>
      <c r="I14">
        <f>1/factory_farmed_animals</f>
        <v>5.0000000000000002E-11</v>
      </c>
      <c r="J14">
        <v>0</v>
      </c>
      <c r="M14" s="3" t="s">
        <v>98</v>
      </c>
      <c r="N14">
        <f>$D$12</f>
        <v>778.36106764849467</v>
      </c>
      <c r="O14">
        <f>$E$12</f>
        <v>0.55699674606152716</v>
      </c>
    </row>
    <row r="15" spans="1:15" ht="30">
      <c r="A15" s="46" t="s">
        <v>136</v>
      </c>
      <c r="B15" s="47">
        <v>5.0000000000000001E-3</v>
      </c>
      <c r="C15" s="47">
        <v>0.1</v>
      </c>
      <c r="D15" s="74">
        <f>GEOMEAN(B15,C15)</f>
        <v>2.2360679774997897E-2</v>
      </c>
      <c r="E15" s="74">
        <f>LogVariance(B15,C15)</f>
        <v>0.50759954989056688</v>
      </c>
      <c r="F15" s="103"/>
      <c r="H15" s="3" t="s">
        <v>98</v>
      </c>
      <c r="I15">
        <f>$D$12</f>
        <v>778.36106764849467</v>
      </c>
      <c r="J15">
        <f>$E$12</f>
        <v>0.55699674606152716</v>
      </c>
      <c r="M15" s="15" t="s">
        <v>52</v>
      </c>
      <c r="N15" s="14">
        <f>PRODUCT(N11:N14)</f>
        <v>5.5038438914585175E+37</v>
      </c>
      <c r="O15" s="14">
        <f>SUM(O11:O14)</f>
        <v>4.3410699995690445</v>
      </c>
    </row>
    <row r="16" spans="1:15" ht="30">
      <c r="A16" s="46" t="s">
        <v>248</v>
      </c>
      <c r="B16" s="47">
        <v>0.01</v>
      </c>
      <c r="C16" s="47">
        <v>0.2</v>
      </c>
      <c r="D16" s="74">
        <f>GEOMEAN(B16,C16)</f>
        <v>4.4721359549995794E-2</v>
      </c>
      <c r="E16" s="74">
        <f>LogVariance(B16,C16)</f>
        <v>0.50759954989056688</v>
      </c>
      <c r="F16" s="103"/>
      <c r="H16" s="15" t="s">
        <v>52</v>
      </c>
      <c r="I16" s="14">
        <f>PRODUCT(I12:I15)</f>
        <v>2.1266442568249712E+26</v>
      </c>
      <c r="J16" s="14">
        <f>SUM(J12:J15)</f>
        <v>3.2880612573148538</v>
      </c>
    </row>
    <row r="17" spans="1:15">
      <c r="A17" s="52" t="s">
        <v>179</v>
      </c>
      <c r="B17" s="51">
        <v>0.01</v>
      </c>
      <c r="C17" s="51">
        <v>0.05</v>
      </c>
      <c r="D17" s="74">
        <f>GEOMEAN(B17,C17)</f>
        <v>2.2360679774997897E-2</v>
      </c>
      <c r="E17" s="74">
        <f>LogVariance(B17,C17)</f>
        <v>0.27270459618181209</v>
      </c>
      <c r="F17" s="103"/>
    </row>
    <row r="18" spans="1:15">
      <c r="A18" s="35"/>
      <c r="B18" s="34"/>
      <c r="C18" s="34"/>
      <c r="D18" s="34"/>
      <c r="E18" s="34"/>
      <c r="M18" t="s">
        <v>170</v>
      </c>
    </row>
    <row r="19" spans="1:15">
      <c r="M19" t="s">
        <v>171</v>
      </c>
      <c r="N19">
        <f>I16</f>
        <v>2.1266442568249712E+26</v>
      </c>
      <c r="O19">
        <f>J16</f>
        <v>3.2880612573148538</v>
      </c>
    </row>
    <row r="20" spans="1:15">
      <c r="H20" s="1" t="s">
        <v>71</v>
      </c>
      <c r="N20">
        <f>I26</f>
        <v>8.9111974825028946E+27</v>
      </c>
      <c r="O20">
        <f>J26</f>
        <v>4.1858128802416097</v>
      </c>
    </row>
    <row r="21" spans="1:15">
      <c r="I21" s="7" t="s">
        <v>161</v>
      </c>
      <c r="J21" s="7" t="s">
        <v>163</v>
      </c>
      <c r="N21">
        <f>I35</f>
        <v>1.4089840362133801E+31</v>
      </c>
      <c r="O21">
        <f>J35</f>
        <v>4.5759649532777997</v>
      </c>
    </row>
    <row r="22" spans="1:15" ht="20">
      <c r="A22" s="32" t="s">
        <v>59</v>
      </c>
      <c r="H22" s="3" t="s">
        <v>178</v>
      </c>
      <c r="I22" s="25">
        <f>VLOOKUP(H22,$A$14:$E$17,4,FALSE)</f>
        <v>4.4721359549995794E-2</v>
      </c>
      <c r="J22" s="25">
        <f>VLOOKUP(H22,$A$14:$E$17,5,FALSE)</f>
        <v>0.50759954989056688</v>
      </c>
      <c r="M22" s="3"/>
      <c r="N22" s="3">
        <f>N7</f>
        <v>6.6833981118771693E+29</v>
      </c>
      <c r="O22" s="3">
        <f>O7</f>
        <v>5.7464211723863672</v>
      </c>
    </row>
    <row r="23" spans="1:15">
      <c r="A23" s="10" t="s">
        <v>173</v>
      </c>
      <c r="B23" t="s">
        <v>161</v>
      </c>
      <c r="C23" t="s">
        <v>163</v>
      </c>
      <c r="H23" s="3" t="s">
        <v>184</v>
      </c>
      <c r="I23">
        <f>VLOOKUP($H23,'EV of Far Future'!$K$3:$N$14,2,FALSE)</f>
        <v>5.1200000000000003E+36</v>
      </c>
      <c r="J23">
        <f>VLOOKUP($H23,'EV of Far Future'!$K$3:$N$14,3,FALSE)</f>
        <v>3.1212165842895159</v>
      </c>
      <c r="N23">
        <f>N15</f>
        <v>5.5038438914585175E+37</v>
      </c>
      <c r="O23">
        <f>O15</f>
        <v>4.3410699995690445</v>
      </c>
    </row>
    <row r="24" spans="1:15">
      <c r="A24" s="8" t="s">
        <v>156</v>
      </c>
      <c r="B24">
        <f>N25</f>
        <v>5.5336458492179961E+42</v>
      </c>
      <c r="C24">
        <f>O25</f>
        <v>3.0005554714623591E+95</v>
      </c>
      <c r="H24" s="3" t="s">
        <v>66</v>
      </c>
      <c r="I24">
        <f>1/factory_farmed_animals</f>
        <v>5.0000000000000002E-11</v>
      </c>
      <c r="J24">
        <v>0</v>
      </c>
      <c r="M24" s="30" t="s">
        <v>172</v>
      </c>
      <c r="N24" s="31" t="str">
        <f>WriteArray(SumLognormDists(N19:O23))</f>
        <v>0,0,0,0,0,0,0,0,0,0,0,0,0,0,0,0,0,0,0,0,0,0,0,0,0,0,0,0,0,0,0,0,0,0,0,0,0,0,0,0,0,0,0,0,0,0,0,0,0,0,0,0,0,0,0,0,0,0,0,0,0,0,0,0,0,0,0,0,0,0,0,0,0,0,0,0,0,0,0,0,0,0,0,0,0,0,0,0,0,0,0,0,0,0,0,0,0,0,0,0,0,0,0,0,0,0,0,0,0,0,0,0,0,0,0,0,0,0,0,0,0,0,0,0,0,0,0,0,0,0,0,0,0,0,0,0,0,0,0,0,0,0,0,0,0,0,0,0,0,0,0,0,0,0,0,0,0,6.67887327295468E-318,3.05253434635396E-316,1.27780853559627E-314,5.29129147719482E-313,2.16731479465034E-311,8.78091352901705E-310,3.5189664607717E-308,1.39491690784701E-306,5.46939631623494E-305,2.12123290381753E-303,8.13758024541939E-302,3.08787878241831E-300,1.15899962466482E-298,4.30293220239373E-297,1.58017043220999E-295,5.7398645354657E-294,2.06232783456987E-292,7.32946335255706E-291,2.57658890093527E-289,8.95935265472278E-288,3.08153243880943E-286,1.04837229643905E-284,3.52795531657803E-283,1.17432804244836E-281,3.8664702461544E-280,1.25921203977692E-278,4.05641226108862E-277,1.2925412168912E-275,4.07385794345732E-274,1.27006690276195E-272,3.91657661388816E-271,1.19466471533025E-269,3.60449895316537E-268,1.07573005086407E-266,3.17556716886023E-265,9.27254577623993E-264,2.67815941931357E-262,7.65127298601819E-261,2.16217518911376E-259,6.04377168872327E-258,1.67103400228017E-256,4.57006808254827E-255,1.23628977922793E-253,3.30809668457511E-252,8.75581338932563E-251,2.29232013771703E-249,5.93628297125113E-248,1.52059849310282E-246,3.85278910272773E-245,9.65598812556335E-244,2.39375170070833E-242,5.86978851145864E-241,1.42372749538903E-239,3.41580007065364E-238,8.10623622208796E-237,1.90286245941495E-235,4.41831792190461E-234,1.01477098093232E-232,2.30537044356937E-231,5.18054082073656E-230,1.15151943131455E-228,2.53179960526676E-227,5.50616683960459E-226,1.18449023221264E-224,2.52043659453399E-223,5.30496280831378E-222,1.10446328605389E-220,2.27448301412736E-219,4.63315347585819E-218,9.33540905798388E-217,1.86059906632816E-215,3.66804900537864E-214,7.15287193424679E-213,1.37971334715863E-211,2.63245214556755E-210,4.96815819527427E-209,9.2745696782654E-208,1.71259886674212E-206,3.12810397189164E-205,5.65158759745474E-204,1.01000521769533E-202,1.78542148581618E-201,3.12192163941471E-200,5.39967298213554E-199,9.23798510023407E-198,1.563333068628E-196,2.61691942548626E-195,4.33305188711791E-194,7.09679490178741E-193,1.14972922296877E-191,1.842442587556E-190,2.92050236961252E-189,4.57916715713956E-188,7.10200374913306E-187,1.08953427023018E-185,1.65335694678081E-184,2.48175108483708E-183,3.68481611109089E-182,5.41177285408753E-181,7.86193739493977E-180,1.12975955922034E-178,1.60586500210968E-177,2.25786905475156E-176,3.14018565381774E-175,4.31995181228312E-174,5.87854209878258E-173,7.91275405795878E-172,1.05354516724096E-170,1.38754240138388E-169,1.80761999441257E-168,2.32935637178071E-167,2.96915469599197E-166,3.74367348931536E-165,4.66908217204182E-164,5.76014812112665E-163,7.02917789781052E-162,8.48485329987136E-161,1.01310214132029E-159,1.19655150011478E-158,1.39790932405785E-157,1.61546008000589E-156,1.84664435854441E-155,2.08804706958144E-154,2.33543335793237E-153,2.58383654151133E-152,2.82769878712268E-151,3.06106112125739E-150,3.27779508105103E-149,3.47186426029232E-148,3.63760063035553E-147,3.76997821436254E-146,3.86486577614566E-145,3.91924083374736E-144,3.93134953884014E-143,3.90080062490256E-142,3.82858640360319E-141,3.71702923759805E-140,3.56965751744946E-139,3.39102038161744E-138,3.18645474804228E-137,2.96182128276654E-136,2.72322746970691E-135,2.47675588910885E-134,2.22821425336473E-133,1.98292093074017E-132,1.74553596581017E-131,1.51994339985258E-130,1.30918643642557E-129,1.11545308052796E-128,9.40106620301881E-128,7.8375293084032E-127,6.4633515884649E-126,5.27245883490052E-125,4.25447238760312E-124,3.3959055430478E-123,2.68128615278783E-122,2.09415437918534E-121,1.61790302867614E-120,1.236445135107E-119,9.34708278764467E-119,6.98966753314365E-118,5.17030849890707E-117,3.7831732266206E-116,2.73826930855282E-115,1.96054395957812E-114,1.38853823905708E-113,9.72792655024786E-113,6.74161970963736E-112,4.6215760493916E-111,3.13399431850753E-110,2.10227207575726E-109,1.39496280815973E-108,9.15629353587316E-108,5.94511888199991E-107,3.81843614146177E-106,2.42602388988809E-105,1.52471816606314E-104,9.47915120858229E-104,5.82955124398888E-103,3.54639432783529E-102,2.13415317181666E-101,1.27043150995613E-100,7.48108325931507E-100,4.35778441397037e-99,2.51105072263803e-98,1.43131162540332e-97,8.07053579078896e-97,4.50153352208477e-96,2.48375678247251e-95,1.35565323495598e-94,7.31947040155314e-94,3.90933360561161e-93,2.06546757196404e-92,1.07951121385587e-91,5.58122627523146e-91,2.85447585444446e-90,1.44416886239336e-89,7.22778190661999e-89,3.57839413273727e-88,1.7525402515863e-87,8.49073254685732e-87,4.06930555551738e-86,1.92927476977098e-85,9.04830409235593e-85,4.1979793741306e-84,1.9267001330822e-83,8.7476095083035e-83,3.92886238118631e-82,1.74560976980755e-81,7.67239927438411e-81,3.33595124282442e-80,1.43487298927216e-79,6.10538858098958e-79,2.56992280883552e-78,1.07012527152778e-77,4.40816464125696e-77,1.79634822947555e-76,7.24158617579619e-76,2.88794061446142e-75,1.13934473652545e-74,4.44667465562611e-74,1.71684019183869e-73,6.55752148887144e-73,2.47779831669938e-72,9.26210363828987e-72,3.42508904771022e-71,1.25300778426093e-70,4.5347828169734e-70,1.62360812195943e-69,5.75081165932344e-69,2.01512280275106e-68,6.98553385012475e-68,2.39565732205548e-67,8.12789591776383e-67,2.72810624679396e-66,9.05890147926137e-66,2.97592745561956e-65,9.67170776486918e-65,3.1097073918828e-64,9.89174641322474e-64,3.11289953366713e-63,9.69164624319065e-63,2.98519016611706e-62,9.09683206384542e-62,2.74254556764988e-61,8.18021746657196e-61,2.41393205445367e-60,7.04752061204808e-60,2.03563902336791e-59,5.81728466575163e-59,1.64473939195707e-58,4.600798942519e-58,1.27330080829624e-57,3.48652396656819e-57,9.44540366926109e-57,2.53172795417815e-56,6.71405177204012e-56,1.76167598479937e-55,4.57344777078877e-55,1.17473653925414e-54,2.98551392333436e-54,7.50727780843903e-54,1.86781397118474e-53,4.5980699545032e-53,1.11998324397927e-52,2.69926017619128e-52,6.43692754006544e-52,1.51885611216655e-51,3.54619316417107e-51,8.1925595320473e-51,1.87280314058927e-50,4.23627288527225e-50,9.48198155566235e-50,2.10010933225731e-49,4.60274281557554e-49,9.98224104146005e-49,2.14230166970106e-48,4.54966355498286e-48,9.56156629582247e-48,1.98854351252819e-47,4.09263331419768e-47,8.33561831797589e-47,1.68014135893762e-46,3.35145056021887e-46,6.61614468932886e-46,1.2926137426939e-45,2.49937136368944e-45,4.78297321326372e-45,9.05894018119711e-45,1.69815187806579e-44,3.15067094579621e-44,5.78582001836575e-44,1.05164803989757e-43,1.89203045342122e-43,3.36935634499309e-43,5.93931185572139e-43,1.03634719067538e-42,1.79004662892294e-42,3.06072058149396e-42,5.18076671285563e-42,8.68133585550725e-42,1.44016692834853e-41,2.3652927219137e-41,3.84605278189571e-41,6.19179895446818e-41,9.8696827958786e-41,1.55771601808158e-40,2.43437040074213e-40,3.76715433958088e-40,5.77276965956891e-40,8.76022749416373e-40,1.31650884230676e-39,1.95941739290821e-39,2.88830548309878e-39,4.21687926806432e-39,6.0980457674171e-39,8.73498133344724e-39,1.23944179576458e-38,1.74222795392854e-38,2.42616938631787e-38,3.34732574775908e-38,4.57572374278289e-38,6.19771568242685e-38,8.31839359496414e-38,1.10639457882648e-37,1.45838114225051e-37,1.90524585240159e-37,2.46705847659211e-37,3.16655214639539e-37,4.02906129634692e-37,5.08233491803232e-37,6.3562051285238e-37,7.882095132113e-37,9.69235666370681e-37,1.18194348616529e-36,1.42948679760029e-36,1.71481399468004e-36,2.04054150916904e-36,2.40881951932858e-36,2.82119493569833e-36,3.27847752768083e-36,3.78061562046071e-36,4.32658802918412e-36,4.91431875793535e-36,5.54062045120673e-36,6.2011716500711e-36,6.89053160872899e-36,7.60219483255972e-36,8.32868569379403e-36,9.06169157124261e-36,9.79223106226772e-36,1.05108520459073e-35,1.12078528456994e-35,1.18735185433982e-35,1.24983637018394e-35,1.30733724106566e-35,1.35902266864447e-35,1.4041514823517e-35,1.44209122593001e-35,1.47233288231042e-35,1.49450177944846e-35,1.50836439128451e-35,1.51383092545867e-35,1.51095376320239e-35,1.49992197821528e-35,1.48105230292588e-35,1.45477702662277e-35,1.4216293966988e-35,1.38222714977802e-35,1.33725482375128e-35,1.28744549635563e-35,1.23356256391974e-35,1.17638211935733e-35,1.11667641624032e-35,1.05519882100637e-35,9.92670563272494e-36,9.29769499802984e-36,8.67121015390706e-36,8.0529109756102e-36,7.44781544620697e-36,6.860272003384e-36,6.29395054815022e-36,5.7518501045579e-36,5.23632084269677e-36,4.74909802289888e-36,4.29134537569106e-36,3.86370548465946e-36,3.4663548711726e-36,3.09906167314949e-36,2.76124404725026e-36,2.4520276885049e-36,2.17030113860741e-36,1.9147678310555e-36,1.68399408746379e-36,1.47645252652725e-36,1.29056056936348e-36,1.12471391854744e-36,9.77315051194153e-37,8.46796898668983e-37,7.3164198794112e-37,6.30397394264489e-37,5.41685904496075e-37,4.64213818109433e-37,3.96775822206778e-37,3.38257370975265e-37,2.87634982343564e-37,2.43974838107796e-37,2.06430041232597e-37,1.74236847757346e-37,1.4671015273796e-37,1.23238471546752e-37,1.03278620898333e-37,8.63502691062041e-38,7.20304929532389e-38,5.99484495848937e-38,4.9780246207423e-38,4.12440681320296e-38,3.40956067609762e-38,2.81238132823069e-38,2.31469908820676e-38,1.90092279145064e-38,1.55771663910201e-38,1.27370940542871e-38,1.0392343900857e-38,8.46098202673222e-39,6.87376284243214e-39,5.57232980912476e-39,4.50763968551437e-39,3.63858867354926e-39,2.93081966311612e-39,2.35569087957473e-39,1.88938753324763e-39,1.51215947646209e-39,1.2076693282324e-39,9.62436980626406e-40,7.65367818095698e-40,6.07353335610777e-40,4.80934115716543e-40,3.80016307664193e-40,2.99633837879002e-40,2.35749568506187e-40,1.85089510966816e-40,1.45004997855926e-40,1.13358424131931e-40,8.8428793352122e-41,6.8833853221965e-41,5.3466083688773e-41,4.14402169492601e-41,3.2050328589968e-41,2.47348488601611e-41,1.90481086150503e-41,1.4637261148114e-41,1.12236138757663e-41,8.58756709891947e-42,6.55649483960248e-42,4.99501859419133e-42,3.79722190346742e-42,2.88043467721235e-42,2.1802836410886e-42,1.64676119269564e-42,1.24111117351838e-42,9.33368141640756e-43,7.00417999551872e-43,5.24473427659217e-43,3.91878460354954e-43,2.92173531062161e-43,2.17366089755584e-43,1.61363034106519e-43,1.19530171842098e-43,8.83511446118446e-44,6.5164021751401e-44,4.795838735416e-44,3.52194191956153e-44,2.58083760984887e-44,1.88712204613613e-44,1.3768926223304e-44,1.00244578287016e-44,7.28253220710926e-45,5.27915732010396e-45,3.81862873810781e-45,2.75620100580989e-45,1.98506592118513e-45,1.4265912571353e-45,1.02302145933078e-45,7.32032690659952e-46,5.22681034331238e-46,3.72394733268625e-46,2.6474686797528e-46,1.87809966642136e-46,1.32943447323857e-46,9.39021910882613e-47,6.61827790390087e-47,4.65451839316771e-47,3.26636697418586e-47,2.28726071281606e-47,1.59818419284249e-47,1.11429056753572e-47,7.75229940945531e-48,5.38174453961002e-48,3.72800147539366e-48,2.57685229749545e-48,1.77731099830285e-48,1.22320087027342e-48,8.40025720298947e-49,5.7563585085999e-49,3.93607651068569e-49,2.68558978104063e-49,1.82842127139879e-49,1.24214787105069e-49,8.42036229311781e-50,5.69572089871863e-50,3.84438669180745e-50,2.58920163883722e-50,1.740063605926e-50,1.16687629210308e-50,7.80809251502986e-51,5.2134537633508e-51,3.47349392235757e-51,2.30923430965298e-51,1.5318981809077e-51,1.01403335390979e-51,6.69784388214454e-52,4.41446666065851e-52,2.90323307117688e-52,1.90522382450395e-52,1.24758615083024e-52,8.15183774078164e-53,5.31497159822006e-53,3.45785525237236e-53,2.24477651864682e-53,1.45411867441885e-53,9.39911650205496e-54,6.06226132180425e-54,3.9015997388501e-54,2.50559695969408e-54,1.60561032742697e-54,1.0266668326769e-54,6.55057390287284e-55,4.17051424448411e-55,2.64947793238592e-55,1.6795442245098e-55,1.06238766735225e-55,6.70555975204844e-56,4.22325682384576e-56,2.65411897922646e-56,1.66438472795879e-56,1.04147175472275e-56,6.50281965246297e-57,4.05150484316934e-57,2.51878706666905e-57,1.56252504180342e-57,9.6721485345313e-58,5.97419463867027e-58,3.6821054135425e-58,2.26450616202883e-58,1.38966857046845e-58,8.50960503763949e-59,5.19957695988112e-59,3.17020288863107e-59,1.92870827332074e-59,1.17086404228878e-59,7.09262230723108e-60,4.28713972163004e-60,2.58576397937027e-60,1.55621846534092e-60,9.34571830073226e-61,5.60035101039955e-61,3.34871547297373e-61,1.99802854767713e-61,1.18955785391789e-61,7.06691532503022e-62,4.18923425428264e-62,2.47799167870374e-62,1.46259970215722e-62,8.61413268506956e-63,5.06241882784971e-63,2.96869121785187e-63,1.7371304061463e-63,1.01428559077298e-63,5.90946995413318e-64,3.43555765566381e-64,1.99299584383529e-64,1.15365508353362e-64,6.66355542759423e-65,3.84057706696917e-65,2.20875422582026e-65,1.26753144417065e-65,7.25822671706627e-66,4.14727426460575e-66,2.3645876840434e-66,1.34526712435633e-66,7.6369874017287e-67,4.32609506418233e-67,2.44529062303477e-67,1.37919395706529e-67,7.76212528327674e-68,4.35909556232691e-68,2.44271371661881e-68,1.36586945070125e-68,7.62089979875441e-69,4.24290932564887e-69,2.3571199800605e-69,1.30665238956625e-69,7.22767946668043e-70,3.98931326191976e-70,2.19714053581163e-70,1.2074745109044e-70,6.62153297788848e-71,3.62326050658817e-71,1.97834037067696e-71,1.07786136673302e-71,5.85983298235425e-72,3.17883516844261e-72,1.72072401405037e-72,9.29426111684606e-73,5.00932211181932e-73,2.69403657399111e-73,1.44573420182907e-73,7.74165587442196e-74,4.13656362925107e-74,2.20549458089928e-74,1.17336389403282e-74,6.22902228849685e-75,3.2996470587875e-75,1.74411666603948e-75,9.19907192799092e-76,4.84142196916865e-76,2.54250782285451e-76,1.33233089415503e-76,6.96662346752356e-77,3.6349046051789e-77,1.89244879019297e-77,9.83140742717408e-78,5.09644910479527e-78,2.63621075897592e-78,1.3606706094692e-78,7.00787455987274e-79,3.60147226023877e-79,1.84686124484422e-79,9.45037193702793e-80,4.82529615960608e-80,2.45843927795776e-80,1.2498429282018e-80,6.34032949442369e-81,3.20943554276159e-81,1.62108552240064e-81,8.1704059630058e-82,4.10905338673424e-82,2.06205560014017e-82,1.03256974994107e-82,5.15939601451048e-83,2.57240158906702e-83,1.27979118315299e-83,6.35330782452604e-84,3.14717665591374e-84,1.55561737027048e-84,7.67264113642694e-85,3.77613426076439e-85,1.85442984415205e-85,9.08727828678894e-86,4.44342329331797e-86,2.16801351933309e-86,1.05552062547881e-86,5.12780972255872e-87,2.48575040111916e-87,1.20238506786088e-87,5.80350107990512e-88,2.7950977737787e-88,1.34327328735883e-88,6.44157683986371e-89,3.08233930615016e-89,1.47173336785712e-89,7.01194123785234e-90,3.33355664068997e-90,1.58138585087763e-90,7.48562898542475e-91,3.53573076050416e-91,1.66644319780863e-91,7.83722440773224e-92,3.67785403444042e-92,1.72221407875289e-92,8.04711523710739e-93,3.75192151838035e-93,1.74553157601359e-93,8.10330364286708e-94,3.7536774868909e-94,1.73505097120638e-94,8.00254194525071e-95,3.68302036230603e-95,1.69137816626496e-95,7.75064346493521e-96,3.54401244506949e-96,1.61701167805547e-96,7.36192712077e-97,3.34449314876131e-97,1.51610593117274e-97,6.85786958920328e-98,3.09534696355882e-98,1.39408704418722e-98,6.2651415073079e-99,2.80952122514207e-99,1.25717052310497e-99,5.61327734934733E-100,2.50091684546808E-100,1.11184037801892E-100,4.93226124331663E-101,2.18328353851611E-101,9.64349919255893E-102,4.2503001066468E-102,1.86923964200734E-102,8.20296406335765E-103,3.59200617376813E-103,1.56950888749458E-103,6.8430690686298E-104,2.97713485273691E-104,1.29242851042596E-104,5.59854266223043E-105,2.41993607325733E-105,1.04374217928701E-105,4.49203379093326E-106,1.92909330621638E-106,8.26654231053935E-107,3.53471978774108E-107,1.50815691135199E-107,6.420938430285E-108,2.72778992965127E-108,1.15633528274345E-108,4.89121859173294E-109,2.06448060105846E-109,8.69490777551605E-110,3.65409297021596E-110,1.53233825888656E-110,6.41195014020166E-111,2.67723237082515E-111,1.11543030012399E-111,4.63723651831364E-112,1.92369624025226E-112,7.96295358750188E-113,3.28906390722733E-113,1.35559787355098E-113,5.57506435747051E-114,2.28785939629166E-114,9.36848176196391E-115,3.82797894110488E-115,1.56073907469655E-115,6.34967513733489E-116,2.57770461280307E-116,1.04417966277867E-116,4.22063456469576E-117,1.70231807920233E-117,6.85116001757166E-118,2.75136336392385E-118,1.10253460224794E-118,4.40856192996894E-119,1.75898486628034E-119,7.003057613168E-120,2.78210639721562E-120,1.10285955408647E-120,4.36241646811405E-121,1.72184668092065E-121,6.78144542070419E-122,2.66508155208573E-122,1.04510319330215E-122,4.0894818563284E-123,1.59675335018809E-123,6.22110921510989E-124,2.41856773411983E-124,9.38229584317754E-125,3.63178750979716E-125,1.40278843803214E-125,5.406601543512E-126,2.07929921565056E-126,7.97939666272551E-127,3.05550894267808E-127,1.16750164947805E-127,4.45135146157515E-128,1.69350587741914E-128,6.42897844905764E-129,2.43532917159439E-129,9.20521234832288E-130,3.47192544818446E-130,1.30667448292579E-130,4.90709954999828E-131,1.83883502070134E-131,6.87576624207888E-132,2.56542829149811E-132,9.55122543195106E-133,3.54828708649332E-133,1.315342476702E-133,4.86540927731176E-134,1.79580986118146E-134,6.61396305266857E-135,2.43065665424171E-135,8.91345153536274E-136,3.2615845255219E-136,1.19089043687828E-136,4.33885780002998E-137,1.57739138834209E-137,5.72221212639047E-138,2.07132802203636E-138,7.4815958999862E-139,2.69649769297406E-139,9.6976453659637E-140,3.48011009213342E-140,1.24617807726045E-140,4.45274341645532E-141,1.58758019646303E-141,5.64812259736906E-142,2.00508596125672E-142,7.10268111747439E-143,2.5105685094553E-143,8.85487177228896E-144,3.11639798848009E-144,1.0944199308724E-144,3.83508956623589E-145,1.34099595554218E-145,4.67885799408324E-146,1.62896855147716E-146,5.65908184557994E-147,1.96173205913227E-147,6.78568731311882E-148,2.34211619202753E-148,8.0664690011227E-149,2.77216413943704E-149,9.50637304432094E-150,3.25290367785265E-150,1.11067755051523E-150,3.78412281850424E-151,1.28647956685204E-151,4.36416338542829E-152,1.47726888099448E-152,4.98974712922646E-153,1.68173655389928E-153,5.65584931831714E-154,1.89800842844359E-154,6.35563403809229E-155,2.12363594389518E-155,7.08046356304726E-156,2.35561199187182E-156,7.81999113133097E-157,2.59041415260551E-157,8.56234233329706E-158,2.82407619835994E-158,9.29438532349451E-159,</v>
      </c>
      <c r="O24" s="31" t="s">
        <v>153</v>
      </c>
    </row>
    <row r="25" spans="1:15">
      <c r="A25" s="16" t="s">
        <v>168</v>
      </c>
      <c r="B25" s="14">
        <f>EXP(MuFromParams(ABS(B24),C24))</f>
        <v>5.5901297995811897E+37</v>
      </c>
      <c r="C25" s="14">
        <f>(SigmaFromParams(B24,C24) / LN(10))^2</f>
        <v>4.3391138804619098</v>
      </c>
      <c r="H25" s="3" t="s">
        <v>98</v>
      </c>
      <c r="I25">
        <f>$D$12</f>
        <v>778.36106764849467</v>
      </c>
      <c r="J25">
        <f>$E$12</f>
        <v>0.55699674606152716</v>
      </c>
      <c r="M25" s="3" t="s">
        <v>156</v>
      </c>
      <c r="N25" s="3">
        <f>STupidExcelMean(N24)</f>
        <v>5.5336458492179961E+42</v>
      </c>
      <c r="O25" s="3">
        <f>STupidExcelVariance(N24,N25)</f>
        <v>3.0005554714623591E+95</v>
      </c>
    </row>
    <row r="26" spans="1:15">
      <c r="A26" s="36" t="s">
        <v>80</v>
      </c>
      <c r="B26" s="19">
        <f>ParetoPosterior(median,alpha,B25:C25)*SIGN(B24)</f>
        <v>5.7048332425094957E+27</v>
      </c>
      <c r="H26" s="15" t="s">
        <v>52</v>
      </c>
      <c r="I26" s="14">
        <f>PRODUCT(I22:I25)</f>
        <v>8.9111974825028946E+27</v>
      </c>
      <c r="J26" s="14">
        <f>SUM(J22:J25)</f>
        <v>4.1858128802416097</v>
      </c>
      <c r="M26" s="3"/>
      <c r="N26" s="3"/>
      <c r="O26" s="3"/>
    </row>
    <row r="27" spans="1:15">
      <c r="A27" s="36" t="s">
        <v>87</v>
      </c>
      <c r="B27" s="19">
        <f>LognormPosterior(mu_far_future,sigma_far_future,B25:C25)*SIGN(B24)</f>
        <v>16578.558230678023</v>
      </c>
      <c r="H27" s="3"/>
      <c r="I27" s="3"/>
      <c r="M27" s="3"/>
      <c r="N27" s="3"/>
      <c r="O27" s="3"/>
    </row>
    <row r="28" spans="1:15">
      <c r="H28" s="3"/>
      <c r="I28" s="21"/>
      <c r="M28" s="3"/>
      <c r="N28" s="3"/>
      <c r="O28" s="3"/>
    </row>
    <row r="29" spans="1:15">
      <c r="A29" s="8"/>
      <c r="B29" s="3"/>
      <c r="C29" s="3"/>
      <c r="D29" s="3"/>
      <c r="H29" s="1" t="s">
        <v>84</v>
      </c>
      <c r="M29" s="3"/>
      <c r="N29" s="3"/>
      <c r="O29" s="3"/>
    </row>
    <row r="30" spans="1:15">
      <c r="A30" s="33" t="s">
        <v>85</v>
      </c>
      <c r="B30" s="4">
        <f>B26+I6</f>
        <v>5.7048332425094957E+27</v>
      </c>
      <c r="C30" s="3"/>
      <c r="D30" s="3"/>
      <c r="I30" s="7" t="s">
        <v>161</v>
      </c>
      <c r="J30" s="7" t="s">
        <v>163</v>
      </c>
      <c r="M30" s="3"/>
      <c r="N30" s="21"/>
      <c r="O30" s="3"/>
    </row>
    <row r="31" spans="1:15">
      <c r="A31" s="33" t="s">
        <v>86</v>
      </c>
      <c r="B31" s="4">
        <f>B27+I7</f>
        <v>16707.059390734114</v>
      </c>
      <c r="D31" s="3"/>
      <c r="H31" s="3" t="s">
        <v>136</v>
      </c>
      <c r="I31" s="25">
        <f>VLOOKUP(H31,$A$14:$E$17,4,FALSE)</f>
        <v>2.2360679774997897E-2</v>
      </c>
      <c r="J31" s="25">
        <f>VLOOKUP(H31,$A$14:$E$17,5,FALSE)</f>
        <v>0.50759954989056688</v>
      </c>
      <c r="M31" s="13"/>
      <c r="N31" s="3"/>
      <c r="O31" s="3"/>
    </row>
    <row r="32" spans="1:15">
      <c r="H32" s="3" t="s">
        <v>185</v>
      </c>
      <c r="I32">
        <f>VLOOKUP($H32,'EV of Far Future'!$K$3:$N$14,2,FALSE)</f>
        <v>1.6190861620062103E+40</v>
      </c>
      <c r="J32">
        <f>VLOOKUP($H32,'EV of Far Future'!$K$3:$N$14,3,FALSE)</f>
        <v>3.5113686573257055</v>
      </c>
      <c r="M32" s="3"/>
      <c r="N32" s="29"/>
      <c r="O32" s="29"/>
    </row>
    <row r="33" spans="2:15">
      <c r="B33" s="3"/>
      <c r="H33" s="3" t="s">
        <v>66</v>
      </c>
      <c r="I33">
        <f>1/factory_farmed_animals</f>
        <v>5.0000000000000002E-11</v>
      </c>
      <c r="J33">
        <v>0</v>
      </c>
      <c r="M33" s="3"/>
      <c r="N33" s="25"/>
      <c r="O33" s="3"/>
    </row>
    <row r="34" spans="2:15">
      <c r="B34" s="3"/>
      <c r="H34" s="3" t="s">
        <v>98</v>
      </c>
      <c r="I34">
        <f>$D$12</f>
        <v>778.36106764849467</v>
      </c>
      <c r="J34">
        <f>$E$12</f>
        <v>0.55699674606152716</v>
      </c>
      <c r="M34" s="3"/>
      <c r="N34" s="3"/>
      <c r="O34" s="3"/>
    </row>
    <row r="35" spans="2:15">
      <c r="H35" s="15" t="s">
        <v>52</v>
      </c>
      <c r="I35" s="14">
        <f>PRODUCT(I31:I34)</f>
        <v>1.4089840362133801E+31</v>
      </c>
      <c r="J35" s="14">
        <f>SUM(J31:J34)</f>
        <v>4.5759649532777997</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
  <sheetViews>
    <sheetView topLeftCell="A2" workbookViewId="0">
      <selection activeCell="I8" sqref="I8"/>
    </sheetView>
  </sheetViews>
  <sheetFormatPr baseColWidth="10" defaultRowHeight="15" x14ac:dyDescent="0"/>
  <cols>
    <col min="1" max="1" width="21.6640625" style="130" customWidth="1"/>
    <col min="4" max="4" width="12.1640625" bestFit="1" customWidth="1"/>
    <col min="8" max="8" width="21.6640625" customWidth="1"/>
  </cols>
  <sheetData>
    <row r="1" spans="1:10" ht="20">
      <c r="A1" s="128" t="s">
        <v>124</v>
      </c>
      <c r="H1" s="1" t="s">
        <v>63</v>
      </c>
    </row>
    <row r="2" spans="1:10">
      <c r="B2" s="129" t="s">
        <v>0</v>
      </c>
      <c r="C2" s="129" t="s">
        <v>1</v>
      </c>
      <c r="D2" s="129" t="s">
        <v>161</v>
      </c>
      <c r="E2" s="129" t="s">
        <v>163</v>
      </c>
      <c r="F2" s="129" t="s">
        <v>27</v>
      </c>
      <c r="I2" s="129" t="s">
        <v>161</v>
      </c>
      <c r="J2" s="129" t="s">
        <v>163</v>
      </c>
    </row>
    <row r="3" spans="1:10">
      <c r="A3" s="42" t="s">
        <v>245</v>
      </c>
      <c r="B3" s="136">
        <v>2</v>
      </c>
      <c r="C3" s="136">
        <v>3</v>
      </c>
      <c r="D3" s="103"/>
      <c r="E3" s="103"/>
      <c r="F3" s="103" t="s">
        <v>327</v>
      </c>
      <c r="H3" s="127" t="s">
        <v>244</v>
      </c>
      <c r="I3">
        <f>D9</f>
        <v>295803.98915498087</v>
      </c>
      <c r="J3">
        <f>E9</f>
        <v>0.31528753718843733</v>
      </c>
    </row>
    <row r="4" spans="1:10">
      <c r="A4" s="87" t="s">
        <v>243</v>
      </c>
      <c r="B4" s="131">
        <f>1/C3</f>
        <v>0.33333333333333331</v>
      </c>
      <c r="C4" s="131">
        <f>1/B3</f>
        <v>0.5</v>
      </c>
      <c r="D4" s="103">
        <f>GEOMEAN(B4,C4)</f>
        <v>0.40824829046386302</v>
      </c>
      <c r="E4" s="103">
        <f>LogVariance(B4,C4)</f>
        <v>6.8702369764126706E-2</v>
      </c>
      <c r="F4" s="103"/>
      <c r="H4" s="127" t="s">
        <v>119</v>
      </c>
      <c r="I4">
        <f>Globals!K24</f>
        <v>0.3</v>
      </c>
      <c r="J4">
        <f>Globals!L24</f>
        <v>0</v>
      </c>
    </row>
    <row r="5" spans="1:10" ht="45">
      <c r="A5" s="46" t="s">
        <v>328</v>
      </c>
      <c r="B5" s="132">
        <v>5</v>
      </c>
      <c r="C5" s="132">
        <v>10</v>
      </c>
      <c r="D5" s="103">
        <f t="shared" ref="D5:D6" si="0">GEOMEAN(B5,C5)</f>
        <v>7.0710678118654755</v>
      </c>
      <c r="E5" s="103">
        <f t="shared" ref="E5:E6" si="1">LogVariance(B5,C5)</f>
        <v>0.11744747685437738</v>
      </c>
      <c r="F5" s="103" t="s">
        <v>241</v>
      </c>
      <c r="H5" s="134" t="s">
        <v>52</v>
      </c>
      <c r="I5" s="14">
        <f>I3*I4</f>
        <v>88741.196746494257</v>
      </c>
      <c r="J5" s="14">
        <f>J3+J4</f>
        <v>0.31528753718843733</v>
      </c>
    </row>
    <row r="6" spans="1:10" ht="30">
      <c r="A6" s="46" t="s">
        <v>329</v>
      </c>
      <c r="B6" s="137">
        <v>100</v>
      </c>
      <c r="C6" s="137">
        <v>150</v>
      </c>
      <c r="D6" s="103">
        <f t="shared" si="0"/>
        <v>122.47448713915891</v>
      </c>
      <c r="E6" s="103">
        <f t="shared" si="1"/>
        <v>6.8702369764126706E-2</v>
      </c>
      <c r="F6" s="103"/>
      <c r="H6" s="135" t="s">
        <v>80</v>
      </c>
      <c r="I6" s="19">
        <f>ParetoPosterior(median,alpha,I5:J5)</f>
        <v>16688.962205545566</v>
      </c>
    </row>
    <row r="7" spans="1:10" ht="45">
      <c r="A7" s="46" t="s">
        <v>330</v>
      </c>
      <c r="B7" s="132">
        <v>0.7</v>
      </c>
      <c r="C7" s="132">
        <v>1</v>
      </c>
      <c r="D7" s="103">
        <f t="shared" ref="D7" si="2">GEOMEAN(B7,C7)</f>
        <v>0.83666002653407556</v>
      </c>
      <c r="E7" s="103">
        <f t="shared" ref="E7" si="3">LogVariance(B7,C7)</f>
        <v>6.0435320805806568E-2</v>
      </c>
      <c r="F7" s="103"/>
      <c r="H7" s="135" t="s">
        <v>87</v>
      </c>
      <c r="I7" s="19">
        <f>LognormPosterior(mu_factory_farming,sigma_factory_farming,I5:J5)</f>
        <v>806.49565877976409</v>
      </c>
    </row>
    <row r="8" spans="1:10">
      <c r="A8" s="90" t="s">
        <v>242</v>
      </c>
      <c r="B8" s="133"/>
      <c r="C8" s="133"/>
      <c r="D8" s="103">
        <f>PRODUCT(D4:D7)</f>
        <v>295.80398915498085</v>
      </c>
      <c r="E8" s="103">
        <f>SUM(E4:E7)</f>
        <v>0.31528753718843733</v>
      </c>
      <c r="F8" s="103"/>
    </row>
    <row r="9" spans="1:10" ht="30">
      <c r="A9" s="130" t="s">
        <v>244</v>
      </c>
      <c r="D9" s="103">
        <f>D8*1000</f>
        <v>295803.98915498087</v>
      </c>
      <c r="E9" s="103">
        <f>E8</f>
        <v>0.31528753718843733</v>
      </c>
      <c r="F9"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tabSelected="1" workbookViewId="0">
      <selection activeCell="H8" sqref="H8"/>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110</v>
      </c>
      <c r="B1" t="s">
        <v>125</v>
      </c>
      <c r="G1" s="99" t="s">
        <v>107</v>
      </c>
      <c r="H1" t="s">
        <v>125</v>
      </c>
      <c r="I1" t="s">
        <v>347</v>
      </c>
      <c r="M1" s="1"/>
    </row>
    <row r="2" spans="1:15">
      <c r="A2" s="57"/>
      <c r="B2" s="44" t="s">
        <v>0</v>
      </c>
      <c r="C2" s="44" t="s">
        <v>1</v>
      </c>
      <c r="D2" s="44" t="s">
        <v>161</v>
      </c>
      <c r="E2" s="44" t="s">
        <v>163</v>
      </c>
      <c r="H2" s="44" t="s">
        <v>0</v>
      </c>
      <c r="I2" s="44" t="s">
        <v>1</v>
      </c>
      <c r="J2" s="44" t="s">
        <v>161</v>
      </c>
      <c r="K2" s="44" t="s">
        <v>163</v>
      </c>
    </row>
    <row r="3" spans="1:15">
      <c r="A3" s="91" t="s">
        <v>104</v>
      </c>
      <c r="B3" s="92">
        <v>70000</v>
      </c>
      <c r="C3" s="92">
        <v>150000</v>
      </c>
      <c r="D3" s="44"/>
      <c r="E3" s="44"/>
      <c r="F3" t="s">
        <v>216</v>
      </c>
      <c r="G3" s="42" t="s">
        <v>100</v>
      </c>
      <c r="H3" s="43">
        <v>0.03</v>
      </c>
      <c r="I3" s="43">
        <v>0.3</v>
      </c>
      <c r="J3" s="44">
        <f>GEOMEAN(H3,I3)</f>
        <v>9.4868329805051374E-2</v>
      </c>
      <c r="K3" s="44">
        <f>LogVariance(H3,I3)</f>
        <v>0.39015207303618948</v>
      </c>
      <c r="L3" s="103" t="s">
        <v>202</v>
      </c>
    </row>
    <row r="4" spans="1:15" ht="30">
      <c r="A4" s="57" t="s">
        <v>105</v>
      </c>
      <c r="B4" s="44">
        <f>1/C3</f>
        <v>6.6666666666666666E-6</v>
      </c>
      <c r="C4" s="44">
        <f>1/B3</f>
        <v>1.4285714285714285E-5</v>
      </c>
      <c r="D4" s="44">
        <f>GEOMEAN(B4,C4)</f>
        <v>9.7590007294853309E-6</v>
      </c>
      <c r="E4" s="44">
        <f>LogVariance(B4,C4)</f>
        <v>0.12913769056993327</v>
      </c>
      <c r="G4" s="46" t="s">
        <v>103</v>
      </c>
      <c r="H4" s="47">
        <v>200</v>
      </c>
      <c r="I4" s="47">
        <v>10000</v>
      </c>
      <c r="J4" s="44"/>
      <c r="K4" s="44"/>
      <c r="L4" s="103" t="s">
        <v>208</v>
      </c>
    </row>
    <row r="5" spans="1:15" ht="30">
      <c r="G5" s="87" t="s">
        <v>132</v>
      </c>
      <c r="H5" s="86">
        <f>1/I4</f>
        <v>1E-4</v>
      </c>
      <c r="I5" s="86">
        <f>1/H4</f>
        <v>5.0000000000000001E-3</v>
      </c>
      <c r="J5" s="44">
        <f>GEOMEAN(H5,I5)</f>
        <v>7.0710678118654762E-4</v>
      </c>
      <c r="K5" s="44">
        <f>LogVariance(H5,I5)</f>
        <v>0.66285666921800146</v>
      </c>
      <c r="L5" s="103"/>
    </row>
    <row r="6" spans="1:15" ht="30">
      <c r="G6" s="46" t="s">
        <v>101</v>
      </c>
      <c r="H6" s="47">
        <v>1</v>
      </c>
      <c r="I6" s="47">
        <v>3</v>
      </c>
      <c r="J6" s="44">
        <f>GEOMEAN(H6,I6)</f>
        <v>1.7320508075688774</v>
      </c>
      <c r="K6" s="44">
        <f>LogVariance(H6,I6)</f>
        <v>0.18614984661850412</v>
      </c>
      <c r="L6" s="103" t="s">
        <v>331</v>
      </c>
    </row>
    <row r="7" spans="1:15" ht="45">
      <c r="G7" s="46" t="s">
        <v>332</v>
      </c>
      <c r="H7" s="47">
        <v>0.1</v>
      </c>
      <c r="I7" s="47">
        <v>0.7</v>
      </c>
      <c r="J7" s="44">
        <f>GEOMEAN(H7,I7)</f>
        <v>0.26457513110645903</v>
      </c>
      <c r="K7" s="44">
        <f>LogVariance(H7,I7)</f>
        <v>0.32971675223038288</v>
      </c>
      <c r="L7" s="103"/>
      <c r="M7" s="25"/>
      <c r="N7" s="3"/>
      <c r="O7" s="3"/>
    </row>
    <row r="8" spans="1:15">
      <c r="G8" s="63" t="s">
        <v>111</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146</v>
      </c>
      <c r="O9" s="3"/>
    </row>
    <row r="10" spans="1:15">
      <c r="A10" s="10" t="s">
        <v>118</v>
      </c>
      <c r="G10" s="57"/>
      <c r="H10" s="44"/>
      <c r="I10" s="44"/>
      <c r="J10" s="44"/>
      <c r="K10" s="44"/>
      <c r="L10" s="103"/>
      <c r="M10" s="3"/>
      <c r="O10" s="3"/>
    </row>
    <row r="11" spans="1:15">
      <c r="A11" s="37" t="s">
        <v>174</v>
      </c>
      <c r="B11" s="38">
        <f>ParetoPosterior(median,alpha,H26:I26)</f>
        <v>6.3112967095697785E+27</v>
      </c>
      <c r="G11" s="98" t="s">
        <v>108</v>
      </c>
      <c r="H11" s="54" t="s">
        <v>125</v>
      </c>
      <c r="I11" s="44"/>
      <c r="J11" s="44"/>
      <c r="K11" s="44"/>
      <c r="L11" s="103"/>
      <c r="M11" s="3"/>
      <c r="N11" s="3"/>
      <c r="O11" s="3"/>
    </row>
    <row r="12" spans="1:15" ht="30">
      <c r="A12" s="37" t="s">
        <v>175</v>
      </c>
      <c r="B12" s="38">
        <f>LognormPosterior(mu_far_future,sigma_far_future,H26:I26)</f>
        <v>9726.1535524662831</v>
      </c>
      <c r="G12" s="79"/>
      <c r="H12" s="74" t="s">
        <v>0</v>
      </c>
      <c r="I12" s="74" t="s">
        <v>1</v>
      </c>
      <c r="J12" s="44" t="s">
        <v>161</v>
      </c>
      <c r="K12" s="44" t="s">
        <v>163</v>
      </c>
      <c r="L12" s="103"/>
      <c r="M12" s="3"/>
      <c r="N12" s="26"/>
      <c r="O12" s="26"/>
    </row>
    <row r="13" spans="1:15">
      <c r="A13" s="35"/>
      <c r="B13" s="34"/>
      <c r="G13" s="42" t="s">
        <v>102</v>
      </c>
      <c r="H13" s="50">
        <v>1000000</v>
      </c>
      <c r="I13" s="50">
        <v>10000000000</v>
      </c>
      <c r="J13" s="44">
        <f>GEOMEAN(H13,I13)</f>
        <v>100000000</v>
      </c>
      <c r="K13" s="44">
        <f>LogVariance(H13,I13)</f>
        <v>1.5606082921447579</v>
      </c>
      <c r="L13" s="103" t="s">
        <v>338</v>
      </c>
      <c r="M13" s="3"/>
      <c r="N13" s="3"/>
      <c r="O13" s="3"/>
    </row>
    <row r="14" spans="1:15" ht="30">
      <c r="G14" s="46" t="s">
        <v>333</v>
      </c>
      <c r="H14" s="47">
        <v>2000</v>
      </c>
      <c r="I14" s="47">
        <v>2000</v>
      </c>
      <c r="J14" s="44">
        <f>GEOMEAN(H14,I14)</f>
        <v>2000</v>
      </c>
      <c r="K14" s="44">
        <f>LogVariance(H14,I14)</f>
        <v>0</v>
      </c>
      <c r="L14" s="103"/>
      <c r="M14" s="3"/>
      <c r="N14" s="3"/>
      <c r="O14" s="3"/>
    </row>
    <row r="15" spans="1:15">
      <c r="A15" s="22"/>
      <c r="B15" s="3"/>
      <c r="G15" s="85" t="s">
        <v>112</v>
      </c>
      <c r="H15" s="89">
        <f>1/I13</f>
        <v>1E-10</v>
      </c>
      <c r="I15" s="89">
        <f>1/H13</f>
        <v>9.9999999999999995E-7</v>
      </c>
      <c r="J15" s="44">
        <f>GEOMEAN(H15,I15)</f>
        <v>1E-8</v>
      </c>
      <c r="K15" s="44">
        <f>LogVariance(H15,I15)</f>
        <v>1.5606082921447579</v>
      </c>
      <c r="L15" s="103"/>
      <c r="M15" s="25"/>
      <c r="N15" s="3"/>
      <c r="O15" s="3"/>
    </row>
    <row r="16" spans="1:15">
      <c r="A16" s="8"/>
      <c r="B16" s="3"/>
      <c r="G16" s="90" t="s">
        <v>111</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113</v>
      </c>
      <c r="L19" s="103"/>
      <c r="M19" s="3"/>
      <c r="N19" s="3"/>
      <c r="O19" s="3"/>
    </row>
    <row r="20" spans="1:15">
      <c r="A20" s="22"/>
      <c r="B20" s="3"/>
      <c r="G20" s="5" t="s">
        <v>111</v>
      </c>
      <c r="J20">
        <f>GEOMEAN(J8,J16)</f>
        <v>2.4197934700488798E-7</v>
      </c>
      <c r="K20">
        <f>AVERAGE(K8,K16)</f>
        <v>1.6938795071938513</v>
      </c>
      <c r="L20" s="103" t="s">
        <v>339</v>
      </c>
      <c r="M20" s="3"/>
      <c r="N20" s="3"/>
      <c r="O20" s="3"/>
    </row>
    <row r="21" spans="1:15">
      <c r="A21" s="8"/>
      <c r="B21" s="3"/>
      <c r="L21" s="103"/>
    </row>
    <row r="22" spans="1:15">
      <c r="A22" s="8"/>
      <c r="B22" s="3"/>
      <c r="L22" s="103"/>
    </row>
    <row r="23" spans="1:15">
      <c r="H23" s="7" t="s">
        <v>161</v>
      </c>
      <c r="I23" s="7" t="s">
        <v>162</v>
      </c>
      <c r="L23" s="103"/>
    </row>
    <row r="24" spans="1:15">
      <c r="G24" s="5" t="s">
        <v>111</v>
      </c>
      <c r="H24">
        <f>J20</f>
        <v>2.4197934700488798E-7</v>
      </c>
      <c r="I24">
        <f>K20</f>
        <v>1.6938795071938513</v>
      </c>
      <c r="J24" s="3"/>
      <c r="K24" s="3"/>
      <c r="L24" s="151"/>
      <c r="M24" s="3"/>
    </row>
    <row r="25" spans="1:15">
      <c r="G25" s="8" t="s">
        <v>109</v>
      </c>
      <c r="H25">
        <f>'EV of Far Future'!L19</f>
        <v>4.0402885211266472E+46</v>
      </c>
      <c r="I25">
        <f>'EV of Far Future'!M19</f>
        <v>3.600201532086265</v>
      </c>
      <c r="J25" s="3"/>
      <c r="K25" s="3"/>
      <c r="L25" s="151"/>
      <c r="M25" s="3"/>
    </row>
    <row r="26" spans="1:15">
      <c r="G26" s="16" t="s">
        <v>52</v>
      </c>
      <c r="H26" s="14">
        <f>PRODUCT(H24:H25)</f>
        <v>9.7766637805357065E+39</v>
      </c>
      <c r="I26" s="14">
        <f>SUM(I24:I25)</f>
        <v>5.2940810392801163</v>
      </c>
      <c r="J26" s="3"/>
      <c r="K26" s="3"/>
      <c r="L26" s="151"/>
      <c r="M26" s="3"/>
    </row>
    <row r="27" spans="1:15">
      <c r="G27" s="8"/>
      <c r="H27" s="3"/>
      <c r="I27" s="3"/>
      <c r="J27" s="3"/>
      <c r="K27" s="3"/>
      <c r="L27" s="151"/>
      <c r="M27" s="3"/>
    </row>
    <row r="28" spans="1:15">
      <c r="G28" s="8"/>
      <c r="H28" s="3"/>
      <c r="I28" s="3"/>
      <c r="J28" s="3"/>
      <c r="K28" s="3"/>
      <c r="L28" s="151"/>
      <c r="M28" s="3"/>
    </row>
    <row r="29" spans="1:15">
      <c r="G29" s="22" t="s">
        <v>254</v>
      </c>
      <c r="H29" s="44" t="s">
        <v>0</v>
      </c>
      <c r="I29" s="44" t="s">
        <v>1</v>
      </c>
      <c r="J29" s="44" t="s">
        <v>161</v>
      </c>
      <c r="K29" s="44" t="s">
        <v>163</v>
      </c>
      <c r="L29" s="151" t="s">
        <v>215</v>
      </c>
      <c r="M29" s="3"/>
    </row>
    <row r="30" spans="1:15" ht="30">
      <c r="G30" s="91" t="s">
        <v>217</v>
      </c>
      <c r="H30" s="3">
        <v>0.1</v>
      </c>
      <c r="I30" s="3">
        <v>0.1</v>
      </c>
      <c r="J30" s="3"/>
      <c r="K30" s="3"/>
      <c r="L30" s="151" t="s">
        <v>220</v>
      </c>
      <c r="M30" s="3"/>
    </row>
    <row r="31" spans="1:15">
      <c r="G31" s="91" t="s">
        <v>218</v>
      </c>
      <c r="H31" s="3">
        <v>2040</v>
      </c>
      <c r="I31" s="3">
        <v>2100</v>
      </c>
      <c r="J31" s="3"/>
      <c r="K31" s="3"/>
      <c r="L31" s="151"/>
      <c r="M31" s="3"/>
    </row>
    <row r="32" spans="1:15">
      <c r="G32" s="91" t="s">
        <v>219</v>
      </c>
      <c r="H32" s="3">
        <f ca="1">H31-YEAR(TODAY())</f>
        <v>24</v>
      </c>
      <c r="I32" s="3">
        <f ca="1">I31-YEAR(TODAY())</f>
        <v>84</v>
      </c>
      <c r="J32" s="3"/>
      <c r="K32" s="3"/>
      <c r="L32" s="151"/>
      <c r="M32" s="3"/>
    </row>
    <row r="33" spans="7:12" ht="30">
      <c r="G33" s="8" t="s">
        <v>221</v>
      </c>
      <c r="H33">
        <f ca="1">H4/LN(1+H30)*(1-1/((1+H30)^H32))</f>
        <v>1885.3692309674122</v>
      </c>
      <c r="I33">
        <f ca="1">I4/LN(1+I30)*(1-1/((1+I30)^I32))</f>
        <v>104885.60241393384</v>
      </c>
      <c r="J33" s="44">
        <f ca="1">GEOMEAN(H33,I33)</f>
        <v>14062.293111819003</v>
      </c>
      <c r="K33" s="44">
        <f ca="1">LogVariance(H33,I33)</f>
        <v>0.68094000612010941</v>
      </c>
      <c r="L33" s="103" t="s">
        <v>222</v>
      </c>
    </row>
    <row r="34" spans="7:12" ht="45">
      <c r="G34" s="5" t="s">
        <v>223</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7" sqref="I17"/>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124</v>
      </c>
      <c r="H1" s="1" t="s">
        <v>141</v>
      </c>
    </row>
    <row r="2" spans="1:10">
      <c r="B2" s="44" t="s">
        <v>0</v>
      </c>
      <c r="C2" s="44" t="s">
        <v>1</v>
      </c>
      <c r="D2" s="44" t="s">
        <v>161</v>
      </c>
      <c r="E2" s="44" t="s">
        <v>163</v>
      </c>
      <c r="F2" s="44" t="s">
        <v>27</v>
      </c>
      <c r="I2" t="s">
        <v>161</v>
      </c>
      <c r="J2" s="44" t="s">
        <v>163</v>
      </c>
    </row>
    <row r="3" spans="1:10">
      <c r="A3" s="94" t="s">
        <v>127</v>
      </c>
      <c r="B3" s="43">
        <v>0.1</v>
      </c>
      <c r="C3" s="43">
        <v>0.5</v>
      </c>
      <c r="D3" s="74">
        <f>GEOMEAN(B3,C3)</f>
        <v>0.22360679774997896</v>
      </c>
      <c r="E3" s="74">
        <f>LogVariance(B3,C3)</f>
        <v>0.27270459618181209</v>
      </c>
      <c r="F3" s="39"/>
      <c r="H3" t="s">
        <v>182</v>
      </c>
      <c r="I3">
        <f>VLOOKUP(H3,'EV of Far Future'!$K$3:$M$14,2,FALSE)</f>
        <v>6.3245553203367595E+46</v>
      </c>
      <c r="J3">
        <f>VLOOKUP(H3,'EV of Far Future'!$K$3:$M$14,3,FALSE)</f>
        <v>3.5113686573257055</v>
      </c>
    </row>
    <row r="4" spans="1:10" ht="30">
      <c r="A4" s="95" t="s">
        <v>131</v>
      </c>
      <c r="B4" s="47">
        <v>0.2</v>
      </c>
      <c r="C4" s="47">
        <v>0.8</v>
      </c>
      <c r="D4" s="74">
        <f>GEOMEAN(B4,C4)</f>
        <v>0.4</v>
      </c>
      <c r="E4" s="74">
        <f>LogVariance(B4,C4)</f>
        <v>0.23489495370875477</v>
      </c>
      <c r="F4" s="39"/>
      <c r="H4" t="s">
        <v>183</v>
      </c>
      <c r="I4">
        <f>VLOOKUP(H4,'EV of Far Future'!$K$3:$M$14,2,FALSE)</f>
        <v>1.2649110640673518E+46</v>
      </c>
      <c r="J4">
        <f>VLOOKUP(H4,'EV of Far Future'!$K$3:$M$14,3,FALSE)</f>
        <v>3.5113686573257055</v>
      </c>
    </row>
    <row r="5" spans="1:10" ht="30" customHeight="1">
      <c r="A5" s="101" t="s">
        <v>204</v>
      </c>
      <c r="B5" s="102">
        <v>0.1</v>
      </c>
      <c r="C5" s="102">
        <v>0.6</v>
      </c>
      <c r="D5" s="74">
        <f>GEOMEAN(B5,C5)</f>
        <v>0.2449489742783178</v>
      </c>
      <c r="E5" s="74">
        <f>LogVariance(B5,C5)</f>
        <v>0.30359732347288149</v>
      </c>
      <c r="F5" s="39"/>
      <c r="H5" t="s">
        <v>187</v>
      </c>
      <c r="I5">
        <f>VLOOKUP(H5,'EV of Far Future'!$K$3:$M$14,2,FALSE)</f>
        <v>5.4644157967709579E+33</v>
      </c>
      <c r="J5">
        <f>VLOOKUP(H5,'EV of Far Future'!$K$3:$M$14,3,FALSE)</f>
        <v>2.7310645112533267</v>
      </c>
    </row>
    <row r="6" spans="1:10" ht="45">
      <c r="A6" s="46" t="s">
        <v>205</v>
      </c>
      <c r="B6" s="47">
        <v>5000</v>
      </c>
      <c r="C6" s="47">
        <v>100000</v>
      </c>
      <c r="D6" s="44"/>
      <c r="E6" s="44"/>
      <c r="F6" s="39" t="s">
        <v>207</v>
      </c>
      <c r="H6" t="s">
        <v>184</v>
      </c>
      <c r="I6">
        <f>VLOOKUP(H6,'EV of Far Future'!$K$3:$M$14,2,FALSE)</f>
        <v>5.1200000000000003E+36</v>
      </c>
      <c r="J6">
        <f>VLOOKUP(H6,'EV of Far Future'!$K$3:$M$14,3,FALSE)</f>
        <v>3.1212165842895159</v>
      </c>
    </row>
    <row r="7" spans="1:10" ht="30">
      <c r="A7" s="87" t="s">
        <v>206</v>
      </c>
      <c r="B7" s="86">
        <f>1/C6</f>
        <v>1.0000000000000001E-5</v>
      </c>
      <c r="C7" s="86">
        <f>1/B6</f>
        <v>2.0000000000000001E-4</v>
      </c>
      <c r="D7" s="74">
        <f>GEOMEAN(B7,C7)</f>
        <v>4.4721359549995795E-5</v>
      </c>
      <c r="E7" s="74">
        <f>LogVariance(B7,C7)</f>
        <v>0.50759954989056688</v>
      </c>
      <c r="F7" s="39"/>
      <c r="H7" t="s">
        <v>185</v>
      </c>
      <c r="I7">
        <f>VLOOKUP(H7,'EV of Far Future'!$K$3:$M$14,2,FALSE)</f>
        <v>1.6190861620062103E+40</v>
      </c>
      <c r="J7">
        <f>VLOOKUP(H7,'EV of Far Future'!$K$3:$M$14,3,FALSE)</f>
        <v>3.5113686573257055</v>
      </c>
    </row>
    <row r="8" spans="1:10" ht="30">
      <c r="A8" s="46" t="s">
        <v>129</v>
      </c>
      <c r="B8" s="47">
        <v>0.5</v>
      </c>
      <c r="C8" s="47">
        <v>5</v>
      </c>
      <c r="D8" s="74">
        <f>GEOMEAN(B8,C8)</f>
        <v>1.5811388300841898</v>
      </c>
      <c r="E8" s="74">
        <f>LogVariance(B8,C8)</f>
        <v>0.39015207303618948</v>
      </c>
      <c r="F8" s="39" t="s">
        <v>334</v>
      </c>
      <c r="H8" t="s">
        <v>186</v>
      </c>
      <c r="I8">
        <f>VLOOKUP(H8,'EV of Far Future'!$K$3:$M$14,2,FALSE)</f>
        <v>3.8399999999999992E+38</v>
      </c>
      <c r="J8">
        <f>VLOOKUP(H8,'EV of Far Future'!$K$3:$M$14,3,FALSE)</f>
        <v>4.6818248764342734</v>
      </c>
    </row>
    <row r="9" spans="1:10" ht="45">
      <c r="A9" s="46" t="s">
        <v>130</v>
      </c>
      <c r="B9" s="47">
        <v>1000</v>
      </c>
      <c r="C9" s="47">
        <v>100000</v>
      </c>
      <c r="D9" s="74"/>
      <c r="E9" s="74"/>
      <c r="F9" s="39"/>
    </row>
    <row r="10" spans="1:10">
      <c r="A10" s="85" t="s">
        <v>133</v>
      </c>
      <c r="B10" s="86">
        <f>1000/C9</f>
        <v>0.01</v>
      </c>
      <c r="C10" s="86">
        <f>1000/B9</f>
        <v>1</v>
      </c>
      <c r="D10" s="74">
        <f>GEOMEAN(B10,C10)</f>
        <v>0.1</v>
      </c>
      <c r="E10" s="74">
        <f>LogVariance(B10,C10)</f>
        <v>0.78030414607237897</v>
      </c>
      <c r="F10" s="39"/>
      <c r="H10" s="15" t="s">
        <v>181</v>
      </c>
      <c r="I10" s="14">
        <f t="shared" ref="I10:I15" si="0">D13*I3</f>
        <v>1.4142135623730952E+45</v>
      </c>
      <c r="J10" s="14">
        <f t="shared" ref="J10:J15" si="1">E13+J3</f>
        <v>3.7840732535075174</v>
      </c>
    </row>
    <row r="11" spans="1:10" ht="45">
      <c r="A11" s="85" t="s">
        <v>134</v>
      </c>
      <c r="B11" s="86"/>
      <c r="C11" s="86"/>
      <c r="D11" s="74">
        <f>PRODUCT(D3:D8)*D10</f>
        <v>1.5491933384829672E-7</v>
      </c>
      <c r="E11" s="74">
        <f>SUM(E3:E8)+E10</f>
        <v>2.489252642362584</v>
      </c>
      <c r="F11" s="39"/>
      <c r="H11" s="15" t="s">
        <v>137</v>
      </c>
      <c r="I11" s="14">
        <f t="shared" si="0"/>
        <v>4.0000000000000004E+44</v>
      </c>
      <c r="J11" s="14">
        <f t="shared" si="1"/>
        <v>3.9015207303618951</v>
      </c>
    </row>
    <row r="12" spans="1:10">
      <c r="A12" s="85"/>
      <c r="B12" s="86"/>
      <c r="C12" s="86"/>
      <c r="D12" s="74"/>
      <c r="E12" s="74"/>
      <c r="F12" s="39"/>
      <c r="H12" s="15" t="s">
        <v>192</v>
      </c>
      <c r="I12" s="14">
        <f t="shared" si="0"/>
        <v>5.4644157967709579E+33</v>
      </c>
      <c r="J12" s="14">
        <f t="shared" si="1"/>
        <v>2.7310645112533267</v>
      </c>
    </row>
    <row r="13" spans="1:10" ht="60">
      <c r="A13" s="46" t="s">
        <v>335</v>
      </c>
      <c r="B13" s="47">
        <v>0.01</v>
      </c>
      <c r="C13" s="47">
        <v>0.05</v>
      </c>
      <c r="D13" s="74">
        <f t="shared" ref="D13:D18" si="2">GEOMEAN(B13,C13)</f>
        <v>2.2360679774997897E-2</v>
      </c>
      <c r="E13" s="74">
        <f t="shared" ref="E13:E18" si="3">LogVariance(B13,C13)</f>
        <v>0.27270459618181209</v>
      </c>
      <c r="F13" s="39"/>
      <c r="H13" s="15" t="s">
        <v>138</v>
      </c>
      <c r="I13" s="14">
        <f t="shared" si="0"/>
        <v>1.0240000000000001E+36</v>
      </c>
      <c r="J13" s="14">
        <f t="shared" si="1"/>
        <v>3.3561115379982707</v>
      </c>
    </row>
    <row r="14" spans="1:10" ht="30">
      <c r="A14" s="46" t="s">
        <v>336</v>
      </c>
      <c r="B14" s="47">
        <v>0.01</v>
      </c>
      <c r="C14" s="47">
        <v>0.1</v>
      </c>
      <c r="D14" s="74">
        <f t="shared" si="2"/>
        <v>3.1622776601683791E-2</v>
      </c>
      <c r="E14" s="74">
        <f t="shared" si="3"/>
        <v>0.39015207303618948</v>
      </c>
      <c r="F14" s="39"/>
      <c r="H14" s="15" t="s">
        <v>139</v>
      </c>
      <c r="I14" s="14">
        <f t="shared" si="0"/>
        <v>1.6190861620062104E+39</v>
      </c>
      <c r="J14" s="14">
        <f t="shared" si="1"/>
        <v>3.7462636110344603</v>
      </c>
    </row>
    <row r="15" spans="1:10" ht="30">
      <c r="A15" s="46" t="s">
        <v>337</v>
      </c>
      <c r="B15" s="47">
        <v>1</v>
      </c>
      <c r="C15" s="47">
        <v>1</v>
      </c>
      <c r="D15" s="74">
        <f t="shared" si="2"/>
        <v>1</v>
      </c>
      <c r="E15" s="74">
        <f t="shared" si="3"/>
        <v>0</v>
      </c>
      <c r="F15" s="39"/>
      <c r="H15" s="15" t="s">
        <v>140</v>
      </c>
      <c r="I15" s="14">
        <f t="shared" si="0"/>
        <v>3.8399999999999994E+37</v>
      </c>
      <c r="J15" s="14">
        <f t="shared" si="1"/>
        <v>4.9167198301430277</v>
      </c>
    </row>
    <row r="16" spans="1:10" ht="30">
      <c r="A16" s="46" t="s">
        <v>135</v>
      </c>
      <c r="B16" s="47">
        <v>0.1</v>
      </c>
      <c r="C16" s="47">
        <v>0.4</v>
      </c>
      <c r="D16" s="74">
        <f t="shared" si="2"/>
        <v>0.2</v>
      </c>
      <c r="E16" s="74">
        <f t="shared" si="3"/>
        <v>0.23489495370875477</v>
      </c>
      <c r="F16" s="39"/>
      <c r="H16" s="30" t="s">
        <v>172</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153</v>
      </c>
    </row>
    <row r="17" spans="1:12" ht="30">
      <c r="A17" s="46" t="s">
        <v>136</v>
      </c>
      <c r="B17" s="47">
        <v>0.05</v>
      </c>
      <c r="C17" s="47">
        <v>0.2</v>
      </c>
      <c r="D17" s="74">
        <f t="shared" si="2"/>
        <v>0.1</v>
      </c>
      <c r="E17" s="74">
        <f t="shared" si="3"/>
        <v>0.23489495370875477</v>
      </c>
      <c r="F17" s="39"/>
      <c r="H17" s="3" t="s">
        <v>156</v>
      </c>
      <c r="I17" s="3">
        <f>STupidExcelMean(I16)</f>
        <v>4.5107626437167748E+49</v>
      </c>
      <c r="J17" s="3">
        <f>STupidExcelVariance(I16,I17)</f>
        <v>6.9063207904531377E+107</v>
      </c>
      <c r="K17" s="3"/>
      <c r="L17" s="3"/>
    </row>
    <row r="18" spans="1:12" ht="30">
      <c r="A18" s="46" t="s">
        <v>128</v>
      </c>
      <c r="B18" s="47">
        <v>0.05</v>
      </c>
      <c r="C18" s="47">
        <v>0.2</v>
      </c>
      <c r="D18" s="74">
        <f t="shared" si="2"/>
        <v>0.1</v>
      </c>
      <c r="E18" s="74">
        <f t="shared" si="3"/>
        <v>0.23489495370875477</v>
      </c>
      <c r="F18" s="39"/>
      <c r="H18" s="15" t="s">
        <v>168</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174</v>
      </c>
      <c r="B23" s="100">
        <f>ParetoPosterior(median,alpha,I18:J18)</f>
        <v>7.2132299652590788E+36</v>
      </c>
    </row>
    <row r="24" spans="1:12" ht="30">
      <c r="A24" s="33" t="s">
        <v>175</v>
      </c>
      <c r="B24" s="100">
        <f>LognormPosterior(mu_far_future,sigma_far_future,I18:J18)</f>
        <v>102893.57115660656</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Summary</vt:lpstr>
      <vt:lpstr>Globals</vt:lpstr>
      <vt:lpstr>EV of Far Future</vt:lpstr>
      <vt:lpstr>GiveWell Analyst</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2016-05-12T19:54:18Z</dcterms:modified>
</cp:coreProperties>
</file>