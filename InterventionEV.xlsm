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260" tabRatio="500" firstSheet="1" activeTab="6"/>
  </bookViews>
  <sheets>
    <sheet name="Summary" sheetId="7" r:id="rId1"/>
    <sheet name="Globals" sheetId="2" r:id="rId2"/>
    <sheet name="EV of Far Future" sheetId="3" r:id="rId3"/>
    <sheet name="GiveDirectly" sheetId="5" r:id="rId4"/>
    <sheet name="THL" sheetId="1" r:id="rId5"/>
    <sheet name="AI Safety" sheetId="6" r:id="rId6"/>
    <sheet name="AI Targeted Values Spreading" sheetId="10" r:id="rId7"/>
  </sheets>
  <definedNames>
    <definedName name="alpha">Globals!$K$4</definedName>
    <definedName name="enable_calculations">Globals!$A$2</definedName>
    <definedName name="factory_farmed_animals">Globals!$K$21</definedName>
    <definedName name="interest_rate">Globals!$K$22</definedName>
    <definedName name="measurement">Globals!#REF!</definedName>
    <definedName name="median">Globals!$K$3</definedName>
    <definedName name="mu_factory_farming">Globals!$E$3</definedName>
    <definedName name="mu_far_future">Globals!$F$3</definedName>
    <definedName name="mu_far_future_humans">Globals!$F$3</definedName>
    <definedName name="mu_global_poverty">Globals!$D$3</definedName>
    <definedName name="mu_sentient_simulations">Globals!$G$2</definedName>
    <definedName name="mu_wild_animals">Globals!#REF!</definedName>
    <definedName name="p_biological">Globals!$B$9</definedName>
    <definedName name="p_computronium">Globals!$B$12</definedName>
    <definedName name="p_dolorium">Globals!$D$14</definedName>
    <definedName name="p_factory_farming">Globals!$F$9</definedName>
    <definedName name="p_hedonium">Globals!$D$12</definedName>
    <definedName name="p_not_care_about_animals">Globals!$D$9</definedName>
    <definedName name="p_paperclip">Globals!$D$13</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Globals!$E$4</definedName>
    <definedName name="sigma_far_future">Globals!$F$4</definedName>
    <definedName name="sigma_far_future_humans">Globals!$F$4</definedName>
    <definedName name="sigma_global_poverty">Globals!$D$4</definedName>
    <definedName name="sigma_sentient_simulations">Globals!$G$3</definedName>
    <definedName name="sigma_wild_animals">Globals!#REF!</definedName>
    <definedName name="stay_on_earth">Globals!$B$8</definedName>
    <definedName name="stdev_base10">Globals!#REF!</definedName>
    <definedName name="utility_per_dolorium">Globals!$D$26</definedName>
    <definedName name="utility_per_factory_farmed_animal">Globals!$D$20</definedName>
    <definedName name="utility_per_hedonium">Globals!$D$24</definedName>
    <definedName name="utility_per_human">Globals!$D$19</definedName>
    <definedName name="utility_per_insect">Globals!$D$23</definedName>
    <definedName name="utility_per_paperclip">Globals!$D$25</definedName>
    <definedName name="utility_per_wild_vertebrate">Globals!$D$22</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J32" i="2" l="1"/>
  <c r="K32" i="2"/>
  <c r="B3" i="3"/>
  <c r="J33" i="2"/>
  <c r="K33" i="2"/>
  <c r="B4" i="3"/>
  <c r="J34" i="2"/>
  <c r="K34" i="2"/>
  <c r="B5" i="3"/>
  <c r="J35" i="2"/>
  <c r="K35" i="2"/>
  <c r="B6" i="3"/>
  <c r="B26" i="2"/>
  <c r="D26" i="2"/>
  <c r="B20" i="3"/>
  <c r="B21" i="3"/>
  <c r="P13" i="3"/>
  <c r="L13" i="3"/>
  <c r="I4" i="10"/>
  <c r="I11" i="10"/>
  <c r="E12" i="10"/>
  <c r="L32" i="2"/>
  <c r="C3" i="3"/>
  <c r="L33" i="2"/>
  <c r="C4" i="3"/>
  <c r="L34" i="2"/>
  <c r="C5" i="3"/>
  <c r="L35" i="2"/>
  <c r="C6" i="3"/>
  <c r="E26" i="2"/>
  <c r="F26" i="2"/>
  <c r="C20" i="3"/>
  <c r="C21" i="3"/>
  <c r="M13" i="3"/>
  <c r="J4" i="10"/>
  <c r="J11" i="10"/>
  <c r="N32" i="2"/>
  <c r="O32" i="2"/>
  <c r="G3" i="3"/>
  <c r="N33" i="2"/>
  <c r="O33" i="2"/>
  <c r="G4" i="3"/>
  <c r="N34" i="2"/>
  <c r="N35" i="2"/>
  <c r="O35" i="2"/>
  <c r="G14" i="3"/>
  <c r="D20" i="2"/>
  <c r="G15" i="3"/>
  <c r="G16" i="3"/>
  <c r="P8" i="3"/>
  <c r="L8" i="3"/>
  <c r="I5" i="10"/>
  <c r="I12" i="10"/>
  <c r="E13" i="10"/>
  <c r="P32" i="2"/>
  <c r="H3" i="3"/>
  <c r="P33" i="2"/>
  <c r="H4" i="3"/>
  <c r="P35" i="2"/>
  <c r="H14" i="3"/>
  <c r="F20" i="2"/>
  <c r="H15" i="3"/>
  <c r="H16" i="3"/>
  <c r="M8" i="3"/>
  <c r="J5" i="10"/>
  <c r="J12" i="10"/>
  <c r="N36" i="2"/>
  <c r="O36" i="2"/>
  <c r="G20" i="3"/>
  <c r="D22" i="2"/>
  <c r="G21" i="3"/>
  <c r="G22" i="3"/>
  <c r="P9" i="3"/>
  <c r="L9" i="3"/>
  <c r="I6" i="10"/>
  <c r="I13" i="10"/>
  <c r="E14" i="10"/>
  <c r="P36" i="2"/>
  <c r="H20" i="3"/>
  <c r="F22" i="2"/>
  <c r="H21" i="3"/>
  <c r="H22" i="3"/>
  <c r="M9" i="3"/>
  <c r="J6" i="10"/>
  <c r="J13" i="10"/>
  <c r="N37" i="2"/>
  <c r="O37" i="2"/>
  <c r="G26" i="3"/>
  <c r="D23" i="2"/>
  <c r="G27" i="3"/>
  <c r="G28" i="3"/>
  <c r="P10" i="3"/>
  <c r="L10" i="3"/>
  <c r="I7" i="10"/>
  <c r="I14" i="10"/>
  <c r="E15" i="10"/>
  <c r="P37" i="2"/>
  <c r="H26" i="3"/>
  <c r="F23" i="2"/>
  <c r="H27" i="3"/>
  <c r="H28" i="3"/>
  <c r="M10" i="3"/>
  <c r="J7" i="10"/>
  <c r="J14" i="10"/>
  <c r="G32" i="3"/>
  <c r="N38" i="2"/>
  <c r="O38" i="2"/>
  <c r="G33" i="3"/>
  <c r="G34" i="3"/>
  <c r="G35" i="3"/>
  <c r="P11" i="3"/>
  <c r="L11" i="3"/>
  <c r="I8" i="10"/>
  <c r="I15" i="10"/>
  <c r="E16" i="10"/>
  <c r="H32" i="3"/>
  <c r="P38" i="2"/>
  <c r="H33" i="3"/>
  <c r="H34" i="3"/>
  <c r="H35" i="3"/>
  <c r="M11" i="3"/>
  <c r="J8" i="10"/>
  <c r="J15" i="10"/>
  <c r="I16" i="10"/>
  <c r="D11" i="10"/>
  <c r="E11" i="10"/>
  <c r="F24" i="2"/>
  <c r="C10" i="3"/>
  <c r="C11" i="3"/>
  <c r="M4" i="3"/>
  <c r="J3" i="10"/>
  <c r="J10" i="10"/>
  <c r="C24" i="2"/>
  <c r="D24" i="2"/>
  <c r="B10" i="3"/>
  <c r="B11" i="3"/>
  <c r="P4" i="3"/>
  <c r="L4" i="3"/>
  <c r="I3" i="10"/>
  <c r="I10" i="10"/>
  <c r="D12" i="10"/>
  <c r="D13" i="10"/>
  <c r="I17" i="10"/>
  <c r="J17" i="10"/>
  <c r="D25" i="2"/>
  <c r="B15" i="3"/>
  <c r="B16" i="3"/>
  <c r="P12" i="3"/>
  <c r="L12" i="3"/>
  <c r="F25" i="2"/>
  <c r="C15" i="3"/>
  <c r="C16" i="3"/>
  <c r="M12" i="3"/>
  <c r="L14" i="3"/>
  <c r="L15" i="3"/>
  <c r="M15" i="3"/>
  <c r="O34" i="2"/>
  <c r="G8" i="3"/>
  <c r="D19" i="2"/>
  <c r="G9" i="3"/>
  <c r="G10" i="3"/>
  <c r="P3" i="3"/>
  <c r="L3" i="3"/>
  <c r="P34" i="2"/>
  <c r="H8" i="3"/>
  <c r="F19" i="2"/>
  <c r="H9" i="3"/>
  <c r="H10" i="3"/>
  <c r="M3" i="3"/>
  <c r="L5" i="3"/>
  <c r="L6" i="3"/>
  <c r="M6" i="3"/>
  <c r="M17" i="3"/>
  <c r="L17" i="3"/>
  <c r="M18" i="3"/>
  <c r="L18" i="3"/>
  <c r="E3" i="10"/>
  <c r="E4" i="10"/>
  <c r="C5" i="10"/>
  <c r="B5" i="10"/>
  <c r="E5" i="10"/>
  <c r="E6" i="10"/>
  <c r="C8" i="10"/>
  <c r="B8" i="10"/>
  <c r="E8" i="10"/>
  <c r="E9" i="10"/>
  <c r="J18" i="10"/>
  <c r="I14" i="1"/>
  <c r="I12" i="1"/>
  <c r="I15" i="1"/>
  <c r="D4" i="1"/>
  <c r="B5" i="1"/>
  <c r="C5" i="1"/>
  <c r="D5" i="1"/>
  <c r="D6" i="1"/>
  <c r="D7" i="1"/>
  <c r="D8" i="1"/>
  <c r="I16" i="1"/>
  <c r="I17" i="1"/>
  <c r="N19" i="1"/>
  <c r="J14" i="1"/>
  <c r="E4" i="1"/>
  <c r="E5" i="1"/>
  <c r="E6" i="1"/>
  <c r="E7" i="1"/>
  <c r="E8" i="1"/>
  <c r="J16" i="1"/>
  <c r="J17" i="1"/>
  <c r="O19" i="1"/>
  <c r="D10" i="1"/>
  <c r="I22" i="1"/>
  <c r="I23" i="1"/>
  <c r="I24" i="1"/>
  <c r="I25" i="1"/>
  <c r="I26" i="1"/>
  <c r="N20" i="1"/>
  <c r="E10" i="1"/>
  <c r="J22" i="1"/>
  <c r="J23" i="1"/>
  <c r="J25" i="1"/>
  <c r="J26" i="1"/>
  <c r="O20" i="1"/>
  <c r="D11" i="1"/>
  <c r="I31" i="1"/>
  <c r="I32" i="1"/>
  <c r="I33" i="1"/>
  <c r="I34" i="1"/>
  <c r="I35" i="1"/>
  <c r="N21" i="1"/>
  <c r="E11" i="1"/>
  <c r="J31" i="1"/>
  <c r="J32" i="1"/>
  <c r="J34" i="1"/>
  <c r="J35" i="1"/>
  <c r="O21" i="1"/>
  <c r="D12" i="1"/>
  <c r="N3" i="1"/>
  <c r="N4" i="1"/>
  <c r="N5" i="1"/>
  <c r="N6" i="1"/>
  <c r="N7" i="1"/>
  <c r="N22" i="1"/>
  <c r="E12" i="1"/>
  <c r="O3" i="1"/>
  <c r="O4" i="1"/>
  <c r="O6" i="1"/>
  <c r="O7" i="1"/>
  <c r="O22" i="1"/>
  <c r="D13" i="1"/>
  <c r="N11" i="1"/>
  <c r="N12" i="1"/>
  <c r="N13" i="1"/>
  <c r="N14" i="1"/>
  <c r="N15" i="1"/>
  <c r="N23" i="1"/>
  <c r="E13" i="1"/>
  <c r="O11" i="1"/>
  <c r="O12" i="1"/>
  <c r="O14" i="1"/>
  <c r="O15" i="1"/>
  <c r="O23" i="1"/>
  <c r="N24" i="1"/>
  <c r="N25" i="1"/>
  <c r="O25" i="1"/>
  <c r="C20" i="1"/>
  <c r="B20" i="1"/>
  <c r="C21" i="1"/>
  <c r="G23" i="5"/>
  <c r="B7" i="5"/>
  <c r="C7" i="5"/>
  <c r="G22" i="5"/>
  <c r="G24" i="5"/>
  <c r="H23" i="5"/>
  <c r="H20" i="5"/>
  <c r="H21" i="5"/>
  <c r="H22" i="5"/>
  <c r="H24" i="5"/>
  <c r="H25" i="5"/>
  <c r="G25" i="5"/>
  <c r="G13" i="5"/>
  <c r="G12" i="5"/>
  <c r="G14" i="5"/>
  <c r="H13" i="5"/>
  <c r="H10" i="5"/>
  <c r="H11" i="5"/>
  <c r="H12" i="5"/>
  <c r="H14" i="5"/>
  <c r="H15" i="5"/>
  <c r="G15" i="5"/>
  <c r="C14" i="5"/>
  <c r="B14" i="5"/>
  <c r="C15" i="5"/>
  <c r="I18" i="10"/>
  <c r="B21" i="1"/>
  <c r="B15" i="5"/>
  <c r="E4" i="2"/>
  <c r="K7" i="7"/>
  <c r="J3" i="1"/>
  <c r="J4" i="1"/>
  <c r="J5" i="1"/>
  <c r="I6" i="7"/>
  <c r="K6" i="7"/>
  <c r="K5" i="7"/>
  <c r="K4" i="7"/>
  <c r="J7" i="7"/>
  <c r="I4" i="1"/>
  <c r="I3" i="1"/>
  <c r="I5" i="1"/>
  <c r="H6" i="7"/>
  <c r="J6" i="7"/>
  <c r="J5" i="7"/>
  <c r="J4" i="7"/>
  <c r="C6" i="5"/>
  <c r="B6" i="5"/>
  <c r="I7" i="1"/>
  <c r="F4" i="2"/>
  <c r="B23" i="1"/>
  <c r="B27" i="1"/>
  <c r="B22" i="1"/>
  <c r="I6" i="1"/>
  <c r="B26" i="1"/>
  <c r="D14" i="10"/>
  <c r="D15" i="10"/>
  <c r="D16" i="10"/>
  <c r="B22" i="10"/>
  <c r="C6" i="7"/>
  <c r="B21" i="10"/>
  <c r="B6" i="7"/>
  <c r="C4" i="7"/>
  <c r="B4" i="7"/>
  <c r="G11" i="5"/>
  <c r="G21" i="5"/>
  <c r="G20" i="5"/>
  <c r="B17" i="5"/>
  <c r="G5" i="5"/>
  <c r="B21" i="5"/>
  <c r="B16" i="5"/>
  <c r="G4" i="5"/>
  <c r="B20" i="5"/>
  <c r="I25" i="6"/>
  <c r="K3" i="6"/>
  <c r="K5" i="6"/>
  <c r="K6" i="6"/>
  <c r="K7" i="6"/>
  <c r="E4" i="6"/>
  <c r="K8" i="6"/>
  <c r="K14" i="6"/>
  <c r="K15" i="6"/>
  <c r="K16" i="6"/>
  <c r="K20" i="6"/>
  <c r="I24" i="6"/>
  <c r="I26" i="6"/>
  <c r="H25" i="6"/>
  <c r="H26" i="6"/>
  <c r="F21" i="2"/>
  <c r="I4" i="7"/>
  <c r="H4" i="7"/>
  <c r="H24" i="6"/>
  <c r="G10" i="5"/>
  <c r="I5" i="7"/>
  <c r="J15" i="6"/>
  <c r="J14" i="6"/>
  <c r="J13" i="6"/>
  <c r="D4" i="6"/>
  <c r="J7" i="6"/>
  <c r="J6" i="6"/>
  <c r="J5" i="6"/>
  <c r="J3" i="6"/>
  <c r="H3" i="5"/>
  <c r="C3" i="7"/>
  <c r="D4" i="7"/>
  <c r="J8" i="6"/>
  <c r="J16" i="6"/>
  <c r="J20" i="6"/>
  <c r="I5" i="6"/>
  <c r="H5" i="6"/>
  <c r="C4" i="6"/>
  <c r="B4" i="6"/>
  <c r="I15" i="6"/>
  <c r="H15" i="6"/>
  <c r="D5" i="10"/>
  <c r="D3" i="10"/>
  <c r="D4" i="10"/>
  <c r="D6" i="10"/>
  <c r="D8" i="10"/>
  <c r="D9" i="10"/>
  <c r="D6" i="7"/>
  <c r="D3" i="7"/>
  <c r="B3" i="7"/>
  <c r="D21" i="2"/>
  <c r="K13" i="6"/>
  <c r="B12" i="6"/>
  <c r="C5" i="7"/>
  <c r="D5" i="7"/>
  <c r="B11" i="6"/>
  <c r="B5" i="7"/>
</calcChain>
</file>

<file path=xl/sharedStrings.xml><?xml version="1.0" encoding="utf-8"?>
<sst xmlns="http://schemas.openxmlformats.org/spreadsheetml/2006/main" count="401" uniqueCount="224">
  <si>
    <t>Low CI</t>
  </si>
  <si>
    <t>High CI</t>
  </si>
  <si>
    <t>Mean</t>
  </si>
  <si>
    <t>alpha</t>
  </si>
  <si>
    <t>median</t>
  </si>
  <si>
    <t>Prior (Pareto)</t>
  </si>
  <si>
    <t>stay on earth</t>
  </si>
  <si>
    <t>biological</t>
  </si>
  <si>
    <t>society doesn't care about animals</t>
  </si>
  <si>
    <t>we make suffering simulations</t>
  </si>
  <si>
    <t>we spread WAS</t>
  </si>
  <si>
    <t>hedonium</t>
  </si>
  <si>
    <t>computronium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</si>
  <si>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</si>
  <si>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</si>
  <si>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</si>
  <si>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</si>
  <si>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</si>
  <si>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</si>
  <si>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</si>
  <si>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</si>
  <si>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</si>
  <si>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</si>
  <si>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</si>
  <si>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</si>
  <si>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</si>
  <si>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</si>
  <si>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</si>
  <si>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</si>
  <si>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</si>
  <si>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</si>
  <si>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</si>
  <si>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</si>
  <si>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</si>
  <si>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</si>
  <si>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</si>
  <si>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</si>
  <si>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</si>
  <si>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</si>
  <si>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</si>
  <si>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</si>
  <si>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human</t>
  </si>
  <si>
    <t>utility per factory farmed animal</t>
  </si>
  <si>
    <t>utility per wild vertebrate</t>
  </si>
  <si>
    <t>utility per insect</t>
  </si>
  <si>
    <t>brains per watt</t>
  </si>
  <si>
    <t>utility per hedonium</t>
  </si>
  <si>
    <t>utility per paperclip</t>
  </si>
  <si>
    <t>utility per dolorium</t>
  </si>
  <si>
    <t>Well-being</t>
  </si>
  <si>
    <t>Sentience adjustment</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</si>
  <si>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</si>
  <si>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</si>
  <si>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</si>
  <si>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</si>
  <si>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</si>
  <si>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</si>
  <si>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</si>
  <si>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</si>
  <si>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</si>
  <si>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</si>
  <si>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</si>
  <si>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</si>
  <si>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</si>
  <si>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</si>
  <si>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</si>
  <si>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</si>
  <si>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</si>
  <si>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</si>
  <si>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</si>
  <si>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</si>
  <si>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</si>
  <si>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1/factory farmed animals</t>
  </si>
  <si>
    <t>animals spared per $1000</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</si>
  <si>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</si>
  <si>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</si>
  <si>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</si>
  <si>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</si>
  <si>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</si>
  <si>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</si>
  <si>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</si>
  <si>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</si>
  <si>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</si>
  <si>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</si>
  <si>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</si>
  <si>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</si>
  <si>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</si>
  <si>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</si>
  <si>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</si>
  <si>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</si>
  <si>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</si>
  <si>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</si>
  <si>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</si>
  <si>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</si>
  <si>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</si>
  <si>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</si>
  <si>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</si>
  <si>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</si>
  <si>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</si>
  <si>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</si>
  <si>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</si>
  <si>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</si>
  <si>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</si>
  <si>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</si>
  <si>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animals permanently spared per $1000</t>
  </si>
  <si>
    <t>cost per year to end poverty ($)</t>
  </si>
  <si>
    <t>P(AI-related extinction)</t>
  </si>
  <si>
    <t>AI researcher multiplicative effect</t>
  </si>
  <si>
    <t>bad scenarios averted by doubling research</t>
  </si>
  <si>
    <t>hours to solve AI safety</t>
  </si>
  <si>
    <t>size of FAI community when AGI created</t>
  </si>
  <si>
    <t>hours per AI researcher</t>
  </si>
  <si>
    <t>cost per AI researcher</t>
  </si>
  <si>
    <t>1/cost per AI researcher</t>
  </si>
  <si>
    <t>annual rate at which vegetarians convert new vegetarians</t>
  </si>
  <si>
    <t>I made the variance 0 because this should only improve the results, but making the variance nontrivial causes the results to get worse. I kept the number low to compensate.</t>
  </si>
  <si>
    <t>Model 1 (GPP)</t>
  </si>
  <si>
    <t>Model 2</t>
  </si>
  <si>
    <t>EV far future</t>
  </si>
  <si>
    <t>General</t>
  </si>
  <si>
    <t>x-risk averted per $1000</t>
  </si>
  <si>
    <t>1/hours to solve</t>
  </si>
  <si>
    <t>TODO: don't know how to calculate this variance</t>
  </si>
  <si>
    <t>Model average</t>
  </si>
  <si>
    <t>Pareto</t>
  </si>
  <si>
    <t>Log-normal</t>
  </si>
  <si>
    <t>GiveDirectly</t>
  </si>
  <si>
    <t>AI Safety</t>
  </si>
  <si>
    <t>Unified model</t>
  </si>
  <si>
    <t>utility per cage removed</t>
  </si>
  <si>
    <t>years factory farming prevented per $1</t>
  </si>
  <si>
    <t>AMF</t>
  </si>
  <si>
    <t>Corporate Campaigns</t>
  </si>
  <si>
    <t xml:space="preserve">Mean </t>
  </si>
  <si>
    <t>Estimated by doubling the 80% CI given by http://www.animalcharityevaluators.org/research/interventions/impact-calculator/</t>
  </si>
  <si>
    <t>Estimated from FHI x-risk survey</t>
  </si>
  <si>
    <t>Inputs (80% CI)</t>
  </si>
  <si>
    <t>(80% CI)</t>
  </si>
  <si>
    <t>Wikipedia, "Timeline of the Far Future"</t>
  </si>
  <si>
    <t>P(friendly AI gets built)</t>
  </si>
  <si>
    <t>suffering simulations prevented</t>
  </si>
  <si>
    <t>dolorium scenarios prevented by making the FAI animal-friendly</t>
  </si>
  <si>
    <t>values propagation multiplier</t>
  </si>
  <si>
    <t>cost to convince one AI researcher to care about animals</t>
  </si>
  <si>
    <t>P(FAI is bad for animals by default)</t>
  </si>
  <si>
    <t>1/size of FAI community when AGI created</t>
  </si>
  <si>
    <t>user input (or any other color)</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</si>
  <si>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</si>
  <si>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</si>
  <si>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</si>
  <si>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</si>
  <si>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</si>
  <si>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</si>
  <si>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</si>
  <si>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</si>
  <si>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</si>
  <si>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</si>
  <si>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Posterior</t>
  </si>
  <si>
    <t>Total utility</t>
  </si>
  <si>
    <t>Ratio vs. GD</t>
  </si>
  <si>
    <t>Utility from direct effects only</t>
  </si>
  <si>
    <t>high variance b/c unclear how bad/good wild vertebrate lives actually are</t>
  </si>
  <si>
    <t>for just chickens; higher variance than factory farming b/c there's disagreement about welfare difference for caged vs. cage-free</t>
  </si>
  <si>
    <t xml:space="preserve"> </t>
  </si>
  <si>
    <t>global poverty</t>
  </si>
  <si>
    <t>factory farming</t>
  </si>
  <si>
    <t>far future</t>
  </si>
  <si>
    <t>should be 43.27</t>
  </si>
  <si>
    <t>Enable calculations?</t>
  </si>
  <si>
    <t>0 for false, 1 for true</t>
  </si>
  <si>
    <t>animal-years caused per human year</t>
  </si>
  <si>
    <t>This figure is pretty robust but only includes land animals, you could increase the bounds to account for fish/shellfish</t>
  </si>
  <si>
    <t>buckets</t>
  </si>
  <si>
    <t>for a poor developing-world human. probably less happy than someone in the developed world</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</si>
  <si>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</si>
  <si>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</si>
  <si>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</si>
  <si>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</si>
  <si>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</si>
  <si>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</si>
  <si>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</si>
  <si>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</si>
  <si>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</si>
  <si>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</si>
  <si>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</si>
  <si>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</si>
  <si>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</si>
  <si>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</si>
  <si>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</si>
  <si>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from looking at random articles I found on Google</t>
  </si>
  <si>
    <t>Total far future effect</t>
  </si>
  <si>
    <t>Total positive far-future effect</t>
  </si>
  <si>
    <t>utility estimates</t>
  </si>
  <si>
    <t>sum (buckets)</t>
  </si>
  <si>
    <t>Total far-future effect</t>
  </si>
  <si>
    <t>Total (Pareto posterior)</t>
  </si>
  <si>
    <t>Total (log-normal posterior)</t>
  </si>
  <si>
    <t>Total log-normal posterior)</t>
  </si>
  <si>
    <t>THL</t>
  </si>
  <si>
    <t>Far-future effect on hedonium</t>
  </si>
  <si>
    <t>hedonium scenarios caused by making the FAI animal-friendly</t>
  </si>
  <si>
    <t>wild vertebrate suffering prevented if we end factory farming</t>
  </si>
  <si>
    <t>suffering sumulatins prevented</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</si>
  <si>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</si>
  <si>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</si>
  <si>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</si>
  <si>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</si>
  <si>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</si>
  <si>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</si>
  <si>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</si>
  <si>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</si>
  <si>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</si>
  <si>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</si>
  <si>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</si>
  <si>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</si>
  <si>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</si>
  <si>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scenarios prevented by making the FAI animal-friendly</t>
  </si>
  <si>
    <t>factory farming utility estimate</t>
  </si>
  <si>
    <t>implicitly correlated with P(AI-related extinction) on the AI Safety sheet</t>
  </si>
  <si>
    <t>center of distribution (median)</t>
  </si>
  <si>
    <t>scale (logarithmic base 10); this corresponds to standard deviation, not variance</t>
  </si>
  <si>
    <t>Outcomes in a column are conditional on outcomes to the left</t>
  </si>
  <si>
    <t>ABS(Utility)</t>
  </si>
  <si>
    <t>log-normal prior is parameterized by Y = mu*10^(sigma*X) for standard normal R.V. X</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</si>
</sst>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1869">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113">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4"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0" fillId="18" borderId="0" xfId="0" applyFill="1"/>
    <xf numFmtId="0" fontId="5" fillId="0" borderId="0" xfId="0" applyFont="1" applyFill="1"/>
    <xf numFmtId="0" fontId="0" fillId="19" borderId="0" xfId="0" applyFill="1"/>
    <xf numFmtId="0" fontId="0" fillId="20" borderId="0" xfId="0" applyFill="1"/>
    <xf numFmtId="0" fontId="0" fillId="8" borderId="2" xfId="0" applyFill="1" applyBorder="1"/>
    <xf numFmtId="0" fontId="0" fillId="11" borderId="2" xfId="0" applyFill="1" applyBorder="1"/>
    <xf numFmtId="0" fontId="0" fillId="8" borderId="3" xfId="0" applyFill="1" applyBorder="1"/>
    <xf numFmtId="0" fontId="0" fillId="0" borderId="1" xfId="0" applyBorder="1"/>
    <xf numFmtId="0" fontId="0" fillId="0" borderId="2" xfId="0" applyBorder="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1" borderId="3" xfId="0" applyFill="1" applyBorder="1"/>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1" xfId="0" applyFont="1" applyFill="1" applyBorder="1"/>
    <xf numFmtId="0" fontId="0" fillId="0" borderId="1" xfId="0" applyFill="1" applyBorder="1"/>
    <xf numFmtId="0" fontId="0" fillId="0" borderId="2" xfId="0" applyFill="1" applyBorder="1"/>
    <xf numFmtId="11" fontId="0" fillId="0" borderId="2" xfId="0" applyNumberFormat="1" applyFill="1" applyBorder="1"/>
    <xf numFmtId="11" fontId="0" fillId="8" borderId="3" xfId="0" applyNumberFormat="1"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11" fontId="0" fillId="0" borderId="3" xfId="0" applyNumberFormat="1" applyFill="1" applyBorder="1" applyAlignment="1">
      <alignment horizontal="center" vertical="center"/>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6" fillId="8" borderId="0" xfId="0" applyFont="1"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11" fontId="0" fillId="8" borderId="0" xfId="0" applyNumberForma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0" fontId="3" fillId="0" borderId="0" xfId="0" applyFont="1" applyAlignment="1">
      <alignment horizontal="center" vertical="center" wrapText="1"/>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cellXfs>
  <cellStyles count="186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24"/>
  <sheetViews>
    <sheetView workbookViewId="0">
      <selection activeCell="J13" sqref="J13"/>
    </sheetView>
  </sheetViews>
  <sheetFormatPr baseColWidth="10" defaultRowHeight="15" x14ac:dyDescent="0"/>
  <cols>
    <col min="1" max="1" width="21.6640625" customWidth="1"/>
    <col min="2" max="5" width="12.1640625" bestFit="1" customWidth="1"/>
  </cols>
  <sheetData>
    <row r="1" spans="1:12" ht="20">
      <c r="A1" s="6" t="s">
        <v>158</v>
      </c>
      <c r="G1" s="6" t="s">
        <v>160</v>
      </c>
    </row>
    <row r="2" spans="1:12">
      <c r="B2" s="16" t="s">
        <v>124</v>
      </c>
      <c r="C2" s="16" t="s">
        <v>125</v>
      </c>
      <c r="D2" s="16" t="s">
        <v>159</v>
      </c>
      <c r="J2" t="s">
        <v>157</v>
      </c>
    </row>
    <row r="3" spans="1:12">
      <c r="A3" s="16" t="s">
        <v>126</v>
      </c>
      <c r="B3" s="4" t="e">
        <f>GiveDirectly!B20</f>
        <v>#VALUE!</v>
      </c>
      <c r="C3" s="4" t="e">
        <f>GiveDirectly!B21</f>
        <v>#VALUE!</v>
      </c>
      <c r="D3" s="4" t="e">
        <f>C3/$C$3</f>
        <v>#VALUE!</v>
      </c>
      <c r="H3" t="s">
        <v>133</v>
      </c>
      <c r="I3" t="s">
        <v>33</v>
      </c>
      <c r="J3" s="16" t="s">
        <v>124</v>
      </c>
      <c r="K3" s="16" t="s">
        <v>125</v>
      </c>
    </row>
    <row r="4" spans="1:12">
      <c r="A4" s="16" t="s">
        <v>198</v>
      </c>
      <c r="B4" s="4" t="e">
        <f>THL!B26</f>
        <v>#VALUE!</v>
      </c>
      <c r="C4" s="4" t="e">
        <f>THL!B27</f>
        <v>#VALUE!</v>
      </c>
      <c r="D4" s="4" t="e">
        <f>C4/C3</f>
        <v>#VALUE!</v>
      </c>
      <c r="G4" s="47" t="s">
        <v>126</v>
      </c>
      <c r="H4" s="48">
        <f>GiveDirectly!G3</f>
        <v>1</v>
      </c>
      <c r="I4" s="37">
        <f>GiveDirectly!H3</f>
        <v>6.25E-2</v>
      </c>
      <c r="J4" s="4">
        <f>ParetoPosterior(median,alpha,H4:I4)</f>
        <v>1.0718443947358864</v>
      </c>
      <c r="K4" s="4" t="str">
        <f>LognormPosterior(mu_global_poverty,sigma_global_poverty,H4:I4)</f>
        <v>disabled</v>
      </c>
    </row>
    <row r="5" spans="1:12">
      <c r="A5" s="16" t="s">
        <v>127</v>
      </c>
      <c r="B5" s="4" t="e">
        <f>'AI Safety'!B11</f>
        <v>#VALUE!</v>
      </c>
      <c r="C5" s="4" t="str">
        <f>'AI Safety'!B12</f>
        <v>disabled</v>
      </c>
      <c r="D5" s="4" t="e">
        <f>C5/$C$3</f>
        <v>#VALUE!</v>
      </c>
      <c r="G5" s="35" t="s">
        <v>131</v>
      </c>
      <c r="H5" s="34">
        <v>11</v>
      </c>
      <c r="I5" s="34">
        <f>0.5^2</f>
        <v>0.25</v>
      </c>
      <c r="J5" s="4">
        <f>ParetoPosterior(median,alpha,H5:I5)</f>
        <v>5.5189570936889352</v>
      </c>
      <c r="K5" s="4" t="str">
        <f>LognormPosterior(mu_global_poverty,sigma_global_poverty,H5:I5)</f>
        <v>disabled</v>
      </c>
    </row>
    <row r="6" spans="1:12">
      <c r="A6" s="16" t="s">
        <v>156</v>
      </c>
      <c r="B6" s="4" t="e">
        <f>'AI Targeted Values Spreading'!B21</f>
        <v>#VALUE!</v>
      </c>
      <c r="C6" s="4" t="str">
        <f>'AI Targeted Values Spreading'!B22</f>
        <v>disabled</v>
      </c>
      <c r="D6" s="4" t="e">
        <f>C6/$C$3</f>
        <v>#VALUE!</v>
      </c>
      <c r="G6" s="49" t="s">
        <v>198</v>
      </c>
      <c r="H6" s="50">
        <f>THL!I5</f>
        <v>15083.103128998355</v>
      </c>
      <c r="I6" s="38">
        <f>THL!J5</f>
        <v>0.79504262895320132</v>
      </c>
      <c r="J6" s="4">
        <f>ParetoPosterior(median,alpha,H6:I6)</f>
        <v>278.14172544025013</v>
      </c>
      <c r="K6" s="4" t="str">
        <f>LognormPosterior(mu_factory_farming,sigma_factory_farming,H6:I6)</f>
        <v>disabled</v>
      </c>
    </row>
    <row r="7" spans="1:12">
      <c r="G7" s="43" t="s">
        <v>132</v>
      </c>
      <c r="H7" s="51">
        <v>22000</v>
      </c>
      <c r="I7" s="36">
        <v>0.5</v>
      </c>
      <c r="J7" s="4">
        <f>ParetoPosterior(median,alpha,H7:I7)</f>
        <v>1582.0302237467174</v>
      </c>
      <c r="K7" s="4" t="str">
        <f>LognormPosterior(mu_factory_farming,sigma_factory_farming,H7:I7)</f>
        <v>disabled</v>
      </c>
    </row>
    <row r="8" spans="1:12">
      <c r="G8" s="3"/>
      <c r="H8" s="9"/>
      <c r="I8" s="3"/>
      <c r="K8" s="3"/>
      <c r="L8" s="3"/>
    </row>
    <row r="12" spans="1:12">
      <c r="A12" s="13"/>
      <c r="B12" s="3"/>
      <c r="C12" s="3"/>
      <c r="D12" s="3"/>
    </row>
    <row r="13" spans="1:12">
      <c r="A13" s="3"/>
      <c r="B13" s="3"/>
      <c r="C13" s="3"/>
      <c r="D13" s="3"/>
    </row>
    <row r="14" spans="1:12">
      <c r="A14" s="3"/>
      <c r="B14" s="3"/>
      <c r="C14" s="3"/>
      <c r="D14" s="3"/>
    </row>
    <row r="15" spans="1:12">
      <c r="A15" s="3"/>
      <c r="B15" s="3"/>
      <c r="C15" s="3"/>
      <c r="D15" s="3"/>
    </row>
    <row r="16" spans="1:12">
      <c r="A16" s="3"/>
      <c r="B16" s="3"/>
      <c r="C16" s="3"/>
      <c r="D16" s="3"/>
    </row>
    <row r="17" spans="1:4">
      <c r="A17" s="3"/>
      <c r="B17" s="3"/>
      <c r="C17" s="3"/>
      <c r="D17" s="3"/>
    </row>
    <row r="18" spans="1:4">
      <c r="A18" s="3"/>
      <c r="B18" s="3"/>
      <c r="C18" s="3"/>
      <c r="D18" s="3"/>
    </row>
    <row r="19" spans="1:4">
      <c r="A19" s="13"/>
      <c r="B19" s="3"/>
      <c r="C19" s="3"/>
      <c r="D19" s="3"/>
    </row>
    <row r="20" spans="1:4">
      <c r="A20" s="3"/>
      <c r="B20" s="3"/>
      <c r="C20" s="3"/>
      <c r="D20" s="3"/>
    </row>
    <row r="21" spans="1:4">
      <c r="A21" s="3"/>
      <c r="B21" s="3"/>
      <c r="C21" s="3"/>
      <c r="D21" s="3"/>
    </row>
    <row r="22" spans="1:4">
      <c r="A22" s="3"/>
      <c r="B22" s="3"/>
      <c r="C22" s="3"/>
      <c r="D22" s="3"/>
    </row>
    <row r="23" spans="1:4">
      <c r="A23" s="3"/>
      <c r="B23" s="3"/>
      <c r="C23" s="3"/>
      <c r="D23" s="3"/>
    </row>
    <row r="24" spans="1:4">
      <c r="A24" s="3"/>
      <c r="B24" s="3"/>
      <c r="C24" s="3"/>
      <c r="D2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4"/>
  <sheetViews>
    <sheetView topLeftCell="A2" workbookViewId="0">
      <selection activeCell="H6" sqref="H6"/>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168</v>
      </c>
      <c r="C1" s="6" t="s">
        <v>87</v>
      </c>
      <c r="J1" s="6" t="s">
        <v>5</v>
      </c>
      <c r="M1" s="1"/>
    </row>
    <row r="2" spans="1:13" ht="30" customHeight="1">
      <c r="A2" s="25">
        <v>0</v>
      </c>
      <c r="B2" t="s">
        <v>169</v>
      </c>
      <c r="D2" s="5" t="s">
        <v>164</v>
      </c>
      <c r="E2" s="5" t="s">
        <v>165</v>
      </c>
      <c r="F2" s="5" t="s">
        <v>166</v>
      </c>
      <c r="G2" s="3"/>
    </row>
    <row r="3" spans="1:13" s="57" customFormat="1" ht="30" customHeight="1">
      <c r="C3" s="87" t="s">
        <v>88</v>
      </c>
      <c r="D3" s="88">
        <v>1</v>
      </c>
      <c r="E3" s="88">
        <v>1</v>
      </c>
      <c r="F3" s="88">
        <v>1</v>
      </c>
      <c r="G3" s="87" t="s">
        <v>88</v>
      </c>
      <c r="H3" s="89" t="s">
        <v>219</v>
      </c>
      <c r="I3" s="90"/>
      <c r="J3" s="87" t="s">
        <v>4</v>
      </c>
      <c r="K3" s="91">
        <v>1</v>
      </c>
    </row>
    <row r="4" spans="1:13" s="57" customFormat="1" ht="30" customHeight="1">
      <c r="C4" s="87" t="s">
        <v>89</v>
      </c>
      <c r="D4" s="88">
        <v>0.6</v>
      </c>
      <c r="E4" s="88">
        <f>sigma_global_poverty</f>
        <v>0.6</v>
      </c>
      <c r="F4" s="88">
        <f>sigma_global_poverty</f>
        <v>0.6</v>
      </c>
      <c r="G4" s="87" t="s">
        <v>89</v>
      </c>
      <c r="H4" s="89" t="s">
        <v>220</v>
      </c>
      <c r="I4" s="90"/>
      <c r="J4" s="87" t="s">
        <v>3</v>
      </c>
      <c r="K4" s="88">
        <v>1.5</v>
      </c>
    </row>
    <row r="5" spans="1:13" ht="30" customHeight="1">
      <c r="H5" t="s">
        <v>223</v>
      </c>
    </row>
    <row r="6" spans="1:13" ht="30" customHeight="1"/>
    <row r="7" spans="1:13" ht="30" customHeight="1">
      <c r="A7" s="92" t="s">
        <v>16</v>
      </c>
      <c r="B7" s="41"/>
      <c r="C7" s="41"/>
      <c r="D7" s="41" t="s">
        <v>221</v>
      </c>
      <c r="E7" s="41"/>
      <c r="F7" s="41"/>
      <c r="J7" s="6" t="s">
        <v>96</v>
      </c>
    </row>
    <row r="8" spans="1:13" s="57" customFormat="1" ht="30" customHeight="1">
      <c r="A8" s="93" t="s">
        <v>6</v>
      </c>
      <c r="B8" s="94">
        <v>0.2</v>
      </c>
      <c r="C8" s="93" t="s">
        <v>15</v>
      </c>
      <c r="D8" s="94">
        <v>0.7</v>
      </c>
      <c r="E8" s="95"/>
      <c r="F8" s="95"/>
      <c r="J8" s="71" t="s">
        <v>98</v>
      </c>
    </row>
    <row r="9" spans="1:13" s="57" customFormat="1" ht="30" customHeight="1">
      <c r="A9" s="93" t="s">
        <v>7</v>
      </c>
      <c r="B9" s="94">
        <v>0.7</v>
      </c>
      <c r="C9" s="93" t="s">
        <v>8</v>
      </c>
      <c r="D9" s="94">
        <v>0.8</v>
      </c>
      <c r="E9" s="93" t="s">
        <v>67</v>
      </c>
      <c r="F9" s="94">
        <v>0.3</v>
      </c>
      <c r="J9" s="72" t="s">
        <v>97</v>
      </c>
    </row>
    <row r="10" spans="1:13" s="57" customFormat="1" ht="30" customHeight="1">
      <c r="A10" s="96"/>
      <c r="B10" s="96"/>
      <c r="C10" s="96"/>
      <c r="D10" s="96"/>
      <c r="E10" s="93" t="s">
        <v>10</v>
      </c>
      <c r="F10" s="97">
        <v>0.4</v>
      </c>
      <c r="J10" s="73" t="s">
        <v>58</v>
      </c>
    </row>
    <row r="11" spans="1:13" s="57" customFormat="1" ht="30" customHeight="1">
      <c r="A11" s="95"/>
      <c r="B11" s="95"/>
      <c r="C11" s="95"/>
      <c r="D11" s="95"/>
      <c r="E11" s="93" t="s">
        <v>9</v>
      </c>
      <c r="F11" s="97">
        <v>0.3</v>
      </c>
      <c r="J11" s="74" t="s">
        <v>214</v>
      </c>
    </row>
    <row r="12" spans="1:13" s="57" customFormat="1" ht="30" customHeight="1">
      <c r="A12" s="93" t="s">
        <v>12</v>
      </c>
      <c r="B12" s="94">
        <v>0.1</v>
      </c>
      <c r="C12" s="93" t="s">
        <v>11</v>
      </c>
      <c r="D12" s="94">
        <v>0.2</v>
      </c>
      <c r="E12" s="96"/>
      <c r="F12" s="95"/>
      <c r="J12" s="57" t="s">
        <v>215</v>
      </c>
    </row>
    <row r="13" spans="1:13" s="57" customFormat="1" ht="30" customHeight="1">
      <c r="A13" s="95"/>
      <c r="B13" s="95"/>
      <c r="C13" s="93" t="s">
        <v>13</v>
      </c>
      <c r="D13" s="94">
        <v>0.75</v>
      </c>
      <c r="E13" s="95"/>
      <c r="F13" s="95"/>
      <c r="J13" s="75" t="s">
        <v>146</v>
      </c>
    </row>
    <row r="14" spans="1:13" s="57" customFormat="1" ht="30" customHeight="1">
      <c r="A14" s="95"/>
      <c r="B14" s="95"/>
      <c r="C14" s="93" t="s">
        <v>14</v>
      </c>
      <c r="D14" s="94">
        <v>0.05</v>
      </c>
      <c r="E14" s="95"/>
      <c r="F14" s="95"/>
    </row>
    <row r="15" spans="1:13" ht="30" customHeight="1"/>
    <row r="16" spans="1:13" ht="30" customHeight="1"/>
    <row r="17" spans="1:16" ht="30" customHeight="1">
      <c r="A17" s="6" t="s">
        <v>40</v>
      </c>
    </row>
    <row r="18" spans="1:16" ht="30" customHeight="1">
      <c r="B18" s="57" t="s">
        <v>49</v>
      </c>
      <c r="C18" s="58" t="s">
        <v>50</v>
      </c>
      <c r="D18" s="57" t="s">
        <v>222</v>
      </c>
      <c r="E18" s="57" t="s">
        <v>184</v>
      </c>
      <c r="F18" s="57" t="s">
        <v>183</v>
      </c>
      <c r="G18" s="57" t="s">
        <v>30</v>
      </c>
    </row>
    <row r="19" spans="1:16" s="57" customFormat="1" ht="30" customHeight="1">
      <c r="A19" s="78" t="s">
        <v>41</v>
      </c>
      <c r="B19" s="79">
        <v>1</v>
      </c>
      <c r="C19" s="79">
        <v>1</v>
      </c>
      <c r="D19" s="57">
        <f>B19*C19</f>
        <v>1</v>
      </c>
      <c r="E19" s="81">
        <v>0</v>
      </c>
      <c r="F19" s="58">
        <f>E19^2</f>
        <v>0</v>
      </c>
      <c r="G19" s="52" t="s">
        <v>173</v>
      </c>
    </row>
    <row r="20" spans="1:16" s="57" customFormat="1" ht="30" customHeight="1">
      <c r="A20" s="78" t="s">
        <v>42</v>
      </c>
      <c r="B20" s="79">
        <v>-10</v>
      </c>
      <c r="C20" s="79">
        <v>0.5</v>
      </c>
      <c r="D20" s="57">
        <f t="shared" ref="D20:D26" si="0">ABS(B20)*C20</f>
        <v>5</v>
      </c>
      <c r="E20" s="81">
        <v>0.3</v>
      </c>
      <c r="F20" s="58">
        <f t="shared" ref="F20:F26" si="1">E20^2</f>
        <v>0.09</v>
      </c>
      <c r="G20" s="52" t="s">
        <v>174</v>
      </c>
      <c r="J20" s="61" t="s">
        <v>71</v>
      </c>
      <c r="L20" s="62"/>
      <c r="P20" s="62"/>
    </row>
    <row r="21" spans="1:16" s="57" customFormat="1" ht="30" customHeight="1">
      <c r="A21" s="80" t="s">
        <v>129</v>
      </c>
      <c r="B21" s="79">
        <v>2</v>
      </c>
      <c r="C21" s="79">
        <v>0.5</v>
      </c>
      <c r="D21" s="57">
        <f t="shared" si="0"/>
        <v>1</v>
      </c>
      <c r="E21" s="81">
        <v>0.4</v>
      </c>
      <c r="F21" s="58">
        <f t="shared" si="1"/>
        <v>0.16000000000000003</v>
      </c>
      <c r="G21" s="52" t="s">
        <v>162</v>
      </c>
      <c r="J21" s="80" t="s">
        <v>29</v>
      </c>
      <c r="K21" s="86">
        <v>20000000000</v>
      </c>
      <c r="L21" s="62"/>
      <c r="P21" s="62"/>
    </row>
    <row r="22" spans="1:16" s="57" customFormat="1" ht="30" customHeight="1">
      <c r="A22" s="78" t="s">
        <v>43</v>
      </c>
      <c r="B22" s="79">
        <v>-2</v>
      </c>
      <c r="C22" s="79">
        <v>0.2</v>
      </c>
      <c r="D22" s="57">
        <f t="shared" si="0"/>
        <v>0.4</v>
      </c>
      <c r="E22" s="81">
        <v>0.6</v>
      </c>
      <c r="F22" s="58">
        <f t="shared" si="1"/>
        <v>0.36</v>
      </c>
      <c r="G22" s="52" t="s">
        <v>161</v>
      </c>
      <c r="J22" s="80" t="s">
        <v>103</v>
      </c>
      <c r="K22" s="79">
        <v>0.05</v>
      </c>
      <c r="L22" s="62"/>
      <c r="N22" s="62"/>
      <c r="P22" s="62"/>
    </row>
    <row r="23" spans="1:16" s="57" customFormat="1" ht="30" customHeight="1">
      <c r="A23" s="78" t="s">
        <v>44</v>
      </c>
      <c r="B23" s="79">
        <v>-4</v>
      </c>
      <c r="C23" s="79">
        <v>0.01</v>
      </c>
      <c r="D23" s="57">
        <f t="shared" si="0"/>
        <v>0.04</v>
      </c>
      <c r="E23" s="81">
        <v>0.8</v>
      </c>
      <c r="F23" s="58">
        <f t="shared" si="1"/>
        <v>0.64000000000000012</v>
      </c>
      <c r="G23" s="52" t="s">
        <v>163</v>
      </c>
      <c r="L23" s="62"/>
      <c r="N23" s="62"/>
      <c r="P23" s="62"/>
    </row>
    <row r="24" spans="1:16" s="57" customFormat="1" ht="30" customHeight="1">
      <c r="A24" s="78" t="s">
        <v>46</v>
      </c>
      <c r="B24" s="79">
        <v>1000</v>
      </c>
      <c r="C24" s="79">
        <f>C19</f>
        <v>1</v>
      </c>
      <c r="D24" s="57">
        <f t="shared" si="0"/>
        <v>1000</v>
      </c>
      <c r="E24" s="81">
        <v>1</v>
      </c>
      <c r="F24" s="58">
        <f t="shared" si="1"/>
        <v>1</v>
      </c>
      <c r="G24" s="52" t="s">
        <v>51</v>
      </c>
    </row>
    <row r="25" spans="1:16" s="57" customFormat="1" ht="30" customHeight="1">
      <c r="A25" s="78" t="s">
        <v>47</v>
      </c>
      <c r="B25" s="79">
        <v>-2</v>
      </c>
      <c r="C25" s="79">
        <v>0.1</v>
      </c>
      <c r="D25" s="57">
        <f t="shared" si="0"/>
        <v>0.2</v>
      </c>
      <c r="E25" s="81">
        <v>1.2</v>
      </c>
      <c r="F25" s="58">
        <f t="shared" si="1"/>
        <v>1.44</v>
      </c>
    </row>
    <row r="26" spans="1:16" s="57" customFormat="1" ht="30" customHeight="1">
      <c r="A26" s="78" t="s">
        <v>48</v>
      </c>
      <c r="B26" s="79">
        <f>-B24</f>
        <v>-1000</v>
      </c>
      <c r="C26" s="79">
        <v>1</v>
      </c>
      <c r="D26" s="57">
        <f t="shared" si="0"/>
        <v>1000</v>
      </c>
      <c r="E26" s="81">
        <f>E24</f>
        <v>1</v>
      </c>
      <c r="F26" s="58">
        <f t="shared" si="1"/>
        <v>1</v>
      </c>
    </row>
    <row r="27" spans="1:16" s="57" customFormat="1" ht="30" customHeight="1"/>
    <row r="28" spans="1:16" s="57" customFormat="1" ht="30" customHeight="1"/>
    <row r="29" spans="1:16" s="57" customFormat="1" ht="30" customHeight="1">
      <c r="A29" s="53" t="s">
        <v>32</v>
      </c>
      <c r="J29" s="61" t="s">
        <v>34</v>
      </c>
    </row>
    <row r="30" spans="1:16" s="57" customFormat="1" ht="30" customHeight="1">
      <c r="A30" s="66" t="s">
        <v>39</v>
      </c>
      <c r="E30" s="66" t="s">
        <v>31</v>
      </c>
    </row>
    <row r="31" spans="1:16" s="57" customFormat="1" ht="30" customHeight="1">
      <c r="B31" s="57" t="s">
        <v>0</v>
      </c>
      <c r="C31" s="57" t="s">
        <v>1</v>
      </c>
      <c r="D31" s="57" t="s">
        <v>30</v>
      </c>
      <c r="F31" s="57" t="s">
        <v>0</v>
      </c>
      <c r="G31" s="57" t="s">
        <v>1</v>
      </c>
      <c r="H31" s="57" t="s">
        <v>30</v>
      </c>
      <c r="K31" s="67" t="s">
        <v>181</v>
      </c>
      <c r="L31" s="67" t="s">
        <v>182</v>
      </c>
      <c r="O31" s="67" t="s">
        <v>181</v>
      </c>
      <c r="P31" s="67" t="s">
        <v>182</v>
      </c>
    </row>
    <row r="32" spans="1:16" s="57" customFormat="1" ht="30" customHeight="1">
      <c r="A32" s="82" t="s">
        <v>17</v>
      </c>
      <c r="B32" s="83">
        <v>100000000000</v>
      </c>
      <c r="C32" s="83">
        <v>100000000000000</v>
      </c>
      <c r="D32" s="52" t="s">
        <v>36</v>
      </c>
      <c r="E32" s="82" t="s">
        <v>17</v>
      </c>
      <c r="F32" s="83">
        <v>10000000000</v>
      </c>
      <c r="G32" s="83">
        <v>100000000000000</v>
      </c>
      <c r="H32" s="52" t="s">
        <v>36</v>
      </c>
      <c r="J32" s="68" t="str">
        <f>A32</f>
        <v>accessible stars</v>
      </c>
      <c r="K32" s="57">
        <f>SQRT(B32*C32)</f>
        <v>3162277660168.3794</v>
      </c>
      <c r="L32" s="62">
        <f>LogVariance(B32,C32)</f>
        <v>1.1704562191085683</v>
      </c>
      <c r="N32" s="68" t="str">
        <f>E32</f>
        <v>accessible stars</v>
      </c>
      <c r="O32" s="57">
        <f>SQRT(F32*G32)</f>
        <v>1000000000000</v>
      </c>
      <c r="P32" s="62">
        <f>LogVariance(F32,G32)</f>
        <v>1.5606082921447579</v>
      </c>
    </row>
    <row r="33" spans="1:16" s="57" customFormat="1" ht="30" customHeight="1">
      <c r="A33" s="82" t="s">
        <v>19</v>
      </c>
      <c r="B33" s="83">
        <v>100000000000</v>
      </c>
      <c r="C33" s="83">
        <v>1000000000000</v>
      </c>
      <c r="D33" s="52" t="s">
        <v>35</v>
      </c>
      <c r="E33" s="84" t="s">
        <v>19</v>
      </c>
      <c r="F33" s="85">
        <v>100000000000</v>
      </c>
      <c r="G33" s="85">
        <v>1000000000000</v>
      </c>
      <c r="H33" s="54" t="s">
        <v>35</v>
      </c>
      <c r="J33" s="68" t="str">
        <f t="shared" ref="J33:J34" si="2">A33</f>
        <v>years of future</v>
      </c>
      <c r="K33" s="57">
        <f t="shared" ref="K33:K35" si="3">SQRT(B33*C33)</f>
        <v>316227766016.83789</v>
      </c>
      <c r="L33" s="62">
        <f t="shared" ref="L33:L35" si="4">LogVariance(B33,C33)</f>
        <v>0.39015207303618948</v>
      </c>
      <c r="M33" s="62"/>
      <c r="N33" s="68" t="str">
        <f t="shared" ref="N33:N37" si="5">E33</f>
        <v>years of future</v>
      </c>
      <c r="O33" s="57">
        <f t="shared" ref="O33:O37" si="6">SQRT(F33*G33)</f>
        <v>316227766016.83789</v>
      </c>
      <c r="P33" s="62">
        <f t="shared" ref="P33:P38" si="7">LogVariance(F33,G33)</f>
        <v>0.39015207303618948</v>
      </c>
    </row>
    <row r="34" spans="1:16" s="57" customFormat="1" ht="30" customHeight="1">
      <c r="A34" s="82" t="s">
        <v>18</v>
      </c>
      <c r="B34" s="83">
        <v>1E+20</v>
      </c>
      <c r="C34" s="83">
        <v>1.0000000000000001E+25</v>
      </c>
      <c r="D34" s="52" t="s">
        <v>36</v>
      </c>
      <c r="E34" s="82" t="s">
        <v>20</v>
      </c>
      <c r="F34" s="83">
        <v>10000000000</v>
      </c>
      <c r="G34" s="83">
        <v>1000000000000</v>
      </c>
      <c r="H34" s="52"/>
      <c r="J34" s="68" t="str">
        <f t="shared" si="2"/>
        <v>usable wattage</v>
      </c>
      <c r="K34" s="57">
        <f t="shared" si="3"/>
        <v>3.1622776601683796E+22</v>
      </c>
      <c r="L34" s="62">
        <f t="shared" si="4"/>
        <v>1.9507603651809475</v>
      </c>
      <c r="N34" s="68" t="str">
        <f t="shared" si="5"/>
        <v>humans per star</v>
      </c>
      <c r="O34" s="57">
        <f t="shared" si="6"/>
        <v>100000000000</v>
      </c>
      <c r="P34" s="62">
        <f t="shared" si="7"/>
        <v>0.78030414607237897</v>
      </c>
    </row>
    <row r="35" spans="1:16" s="57" customFormat="1" ht="30" customHeight="1">
      <c r="A35" s="82" t="s">
        <v>45</v>
      </c>
      <c r="B35" s="83">
        <v>0.1</v>
      </c>
      <c r="C35" s="83">
        <v>0.1</v>
      </c>
      <c r="D35" s="52" t="s">
        <v>36</v>
      </c>
      <c r="E35" s="82" t="s">
        <v>21</v>
      </c>
      <c r="F35" s="83">
        <v>10000000000</v>
      </c>
      <c r="G35" s="83">
        <v>1000000000000</v>
      </c>
      <c r="H35" s="52"/>
      <c r="J35" s="68" t="str">
        <f>A35</f>
        <v>brains per watt</v>
      </c>
      <c r="K35" s="57">
        <f t="shared" si="3"/>
        <v>0.1</v>
      </c>
      <c r="L35" s="62">
        <f t="shared" si="4"/>
        <v>0</v>
      </c>
      <c r="N35" s="68" t="str">
        <f t="shared" si="5"/>
        <v>factory farmed animals per star</v>
      </c>
      <c r="O35" s="57">
        <f t="shared" si="6"/>
        <v>100000000000</v>
      </c>
      <c r="P35" s="62">
        <f t="shared" si="7"/>
        <v>0.78030414607237897</v>
      </c>
    </row>
    <row r="36" spans="1:16" s="57" customFormat="1" ht="30" customHeight="1">
      <c r="A36" s="68"/>
      <c r="B36" s="69"/>
      <c r="C36" s="69"/>
      <c r="E36" s="82" t="s">
        <v>22</v>
      </c>
      <c r="F36" s="83">
        <v>10000000000000</v>
      </c>
      <c r="G36" s="83">
        <v>1E+16</v>
      </c>
      <c r="H36" s="52" t="s">
        <v>37</v>
      </c>
      <c r="J36" s="68"/>
      <c r="L36" s="62"/>
      <c r="N36" s="68" t="str">
        <f t="shared" si="5"/>
        <v>wild vertebrates per star</v>
      </c>
      <c r="O36" s="57">
        <f t="shared" si="6"/>
        <v>316227766016837.94</v>
      </c>
      <c r="P36" s="62">
        <f t="shared" si="7"/>
        <v>1.1704562191085683</v>
      </c>
    </row>
    <row r="37" spans="1:16" s="57" customFormat="1" ht="30" customHeight="1">
      <c r="A37" s="68"/>
      <c r="B37" s="69"/>
      <c r="C37" s="69"/>
      <c r="E37" s="82" t="s">
        <v>60</v>
      </c>
      <c r="F37" s="83">
        <v>1E+17</v>
      </c>
      <c r="G37" s="83">
        <v>1E+21</v>
      </c>
      <c r="H37" s="52" t="s">
        <v>38</v>
      </c>
      <c r="J37" s="68"/>
      <c r="L37" s="62"/>
      <c r="N37" s="68" t="str">
        <f t="shared" si="5"/>
        <v>insects per star</v>
      </c>
      <c r="O37" s="57">
        <f t="shared" si="6"/>
        <v>1E+19</v>
      </c>
      <c r="P37" s="62">
        <f t="shared" si="7"/>
        <v>1.5606082921447579</v>
      </c>
    </row>
    <row r="38" spans="1:16" s="57" customFormat="1" ht="30" customHeight="1">
      <c r="E38" s="82" t="s">
        <v>64</v>
      </c>
      <c r="F38" s="83">
        <v>1E-3</v>
      </c>
      <c r="G38" s="83">
        <v>1</v>
      </c>
      <c r="H38" s="52"/>
      <c r="N38" s="68" t="str">
        <f>E38</f>
        <v>simulations per insect</v>
      </c>
      <c r="O38" s="57">
        <f>SQRT(F38*G38)</f>
        <v>3.1622776601683791E-2</v>
      </c>
      <c r="P38" s="62">
        <f t="shared" si="7"/>
        <v>1.1704562191085683</v>
      </c>
    </row>
    <row r="41" spans="1:16" ht="20">
      <c r="A41" s="6" t="s">
        <v>23</v>
      </c>
    </row>
    <row r="42" spans="1:16">
      <c r="A42">
        <v>1</v>
      </c>
      <c r="B42" t="s">
        <v>28</v>
      </c>
      <c r="C42" t="s">
        <v>24</v>
      </c>
    </row>
    <row r="43" spans="1:16">
      <c r="A43">
        <v>2</v>
      </c>
      <c r="B43" t="s">
        <v>138</v>
      </c>
      <c r="C43" t="s">
        <v>25</v>
      </c>
    </row>
    <row r="44" spans="1:16">
      <c r="A44">
        <v>3</v>
      </c>
      <c r="B44" t="s">
        <v>26</v>
      </c>
      <c r="C44" t="s">
        <v>27</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K23" sqref="K23"/>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57</v>
      </c>
      <c r="F1" s="11" t="s">
        <v>52</v>
      </c>
      <c r="K1" s="11" t="s">
        <v>65</v>
      </c>
    </row>
    <row r="2" spans="1:18" ht="15" customHeight="1">
      <c r="B2" s="7" t="s">
        <v>181</v>
      </c>
      <c r="C2" s="7" t="s">
        <v>182</v>
      </c>
      <c r="F2" s="5"/>
      <c r="G2" s="7" t="s">
        <v>181</v>
      </c>
      <c r="H2" s="7" t="s">
        <v>182</v>
      </c>
      <c r="L2" s="15" t="s">
        <v>185</v>
      </c>
      <c r="M2" s="15" t="s">
        <v>183</v>
      </c>
      <c r="N2" t="s">
        <v>66</v>
      </c>
      <c r="P2" t="s">
        <v>186</v>
      </c>
      <c r="Q2" s="3"/>
      <c r="R2" s="3"/>
    </row>
    <row r="3" spans="1:18" ht="15" customHeight="1">
      <c r="A3" s="5" t="s">
        <v>17</v>
      </c>
      <c r="B3" s="3">
        <f>VLOOKUP($A3,Globals!$J$32:$L$36,2,FALSE)</f>
        <v>3162277660168.3794</v>
      </c>
      <c r="C3" s="3">
        <f>VLOOKUP($A3,Globals!$J$32:$L$36,3,FALSE)</f>
        <v>1.1704562191085683</v>
      </c>
      <c r="F3" s="5" t="s">
        <v>17</v>
      </c>
      <c r="G3">
        <f>VLOOKUP($F3,Globals!$N$32:$P$38,2,FALSE)</f>
        <v>1000000000000</v>
      </c>
      <c r="H3">
        <f>VLOOKUP($F3,Globals!$N$32:$P$38,3,FALSE)</f>
        <v>1.5606082921447579</v>
      </c>
      <c r="K3" t="s">
        <v>212</v>
      </c>
      <c r="L3" s="14">
        <f>G10*P3</f>
        <v>2.2135943621178649E+34</v>
      </c>
      <c r="M3" s="14">
        <f>H10</f>
        <v>2.7310645112533267</v>
      </c>
      <c r="N3">
        <v>1</v>
      </c>
      <c r="O3" t="s">
        <v>78</v>
      </c>
      <c r="P3">
        <f>p_biological</f>
        <v>0.7</v>
      </c>
      <c r="Q3" s="3"/>
      <c r="R3" s="3"/>
    </row>
    <row r="4" spans="1:18" ht="15" customHeight="1">
      <c r="A4" s="5" t="s">
        <v>19</v>
      </c>
      <c r="B4" s="3">
        <f>VLOOKUP($A4,Globals!$J$32:$L$36,2,FALSE)</f>
        <v>316227766016.83789</v>
      </c>
      <c r="C4" s="3">
        <f>VLOOKUP($A4,Globals!$J$32:$L$36,3,FALSE)</f>
        <v>0.39015207303618948</v>
      </c>
      <c r="F4" s="5" t="s">
        <v>19</v>
      </c>
      <c r="G4">
        <f>VLOOKUP($F4,Globals!$N$32:$P$38,2,FALSE)</f>
        <v>316227766016.83789</v>
      </c>
      <c r="H4">
        <f>VLOOKUP($F4,Globals!$N$32:$P$38,3,FALSE)</f>
        <v>0.39015207303618948</v>
      </c>
      <c r="K4" t="s">
        <v>206</v>
      </c>
      <c r="L4" s="14">
        <f>B11*P4</f>
        <v>6.3245553203367595E+46</v>
      </c>
      <c r="M4" s="14">
        <f>C11</f>
        <v>4.5113686573257059</v>
      </c>
      <c r="N4">
        <v>1</v>
      </c>
      <c r="O4" t="s">
        <v>82</v>
      </c>
      <c r="P4">
        <f>p_computronium*p_hedonium</f>
        <v>2.0000000000000004E-2</v>
      </c>
      <c r="Q4" s="3"/>
      <c r="R4" s="3"/>
    </row>
    <row r="5" spans="1:18" ht="15" customHeight="1">
      <c r="A5" s="5" t="s">
        <v>18</v>
      </c>
      <c r="B5" s="3">
        <f>VLOOKUP($A5,Globals!$J$32:$L$36,2,FALSE)</f>
        <v>3.1622776601683796E+22</v>
      </c>
      <c r="C5" s="3">
        <f>VLOOKUP($A5,Globals!$J$32:$L$36,3,FALSE)</f>
        <v>1.9507603651809475</v>
      </c>
      <c r="K5" s="32" t="s">
        <v>177</v>
      </c>
      <c r="L5" s="33" t="str">
        <f>WriteArray(SumLognormDists(L3:M4))</f>
        <v>disabled</v>
      </c>
      <c r="M5" s="33" t="s">
        <v>172</v>
      </c>
      <c r="Q5" s="3"/>
      <c r="R5" s="3"/>
    </row>
    <row r="6" spans="1:18" ht="15" customHeight="1">
      <c r="A6" s="5" t="s">
        <v>45</v>
      </c>
      <c r="B6" s="3">
        <f>VLOOKUP($A6,Globals!$J$32:$L$36,2,FALSE)</f>
        <v>0.1</v>
      </c>
      <c r="C6" s="3">
        <f>VLOOKUP($A6,Globals!$J$32:$L$36,3,FALSE)</f>
        <v>0</v>
      </c>
      <c r="K6" s="3" t="s">
        <v>180</v>
      </c>
      <c r="L6" s="3" t="e">
        <f>STupidExcelMean(L5)</f>
        <v>#VALUE!</v>
      </c>
      <c r="M6" s="3" t="e">
        <f>STupidExcelVariance(L5,L6)</f>
        <v>#VALUE!</v>
      </c>
      <c r="N6" t="s">
        <v>175</v>
      </c>
      <c r="Q6" s="3"/>
      <c r="R6" s="3"/>
    </row>
    <row r="7" spans="1:18" ht="15" customHeight="1">
      <c r="F7" s="10" t="s">
        <v>56</v>
      </c>
      <c r="Q7" s="3"/>
      <c r="R7" s="3"/>
    </row>
    <row r="8" spans="1:18" ht="15" customHeight="1">
      <c r="F8" s="5" t="s">
        <v>20</v>
      </c>
      <c r="G8">
        <f>VLOOKUP($F8,Globals!$N$32:$P$38,2,FALSE)</f>
        <v>100000000000</v>
      </c>
      <c r="H8">
        <f>VLOOKUP($F8,Globals!$N$32:$P$38,3,FALSE)</f>
        <v>0.78030414607237897</v>
      </c>
      <c r="K8" t="s">
        <v>211</v>
      </c>
      <c r="L8" s="14">
        <f>G16*P8</f>
        <v>2.6563132345414381E+34</v>
      </c>
      <c r="M8" s="14">
        <f>H16</f>
        <v>2.8210645112533266</v>
      </c>
      <c r="N8">
        <v>-1</v>
      </c>
      <c r="O8" t="s">
        <v>68</v>
      </c>
      <c r="P8">
        <f>p_biological*p_not_care_about_animals*p_factory_farming</f>
        <v>0.16799999999999998</v>
      </c>
      <c r="Q8" s="3"/>
      <c r="R8" s="3"/>
    </row>
    <row r="9" spans="1:18" ht="15" customHeight="1">
      <c r="A9" s="10" t="s">
        <v>53</v>
      </c>
      <c r="F9" s="5" t="s">
        <v>41</v>
      </c>
      <c r="G9">
        <f>VLOOKUP($F9,Globals!$A$19:$F$26,4,FALSE)</f>
        <v>1</v>
      </c>
      <c r="H9">
        <f>VLOOKUP($F9,Globals!$A$19:$F$26,6,FALSE)</f>
        <v>0</v>
      </c>
      <c r="K9" t="s">
        <v>208</v>
      </c>
      <c r="L9" s="14">
        <f>G22*P9</f>
        <v>8.9599999999999976E+36</v>
      </c>
      <c r="M9" s="14">
        <f>H22</f>
        <v>3.4812165842895157</v>
      </c>
      <c r="N9">
        <v>-1</v>
      </c>
      <c r="O9" t="s">
        <v>79</v>
      </c>
      <c r="P9">
        <f>p_biological*p_not_care_about_animals*p_spread_was</f>
        <v>0.22399999999999998</v>
      </c>
      <c r="Q9" s="3"/>
      <c r="R9" s="3"/>
    </row>
    <row r="10" spans="1:18" ht="15" customHeight="1">
      <c r="A10" s="5" t="s">
        <v>46</v>
      </c>
      <c r="B10" s="3">
        <f>VLOOKUP($A10,Globals!$A$19:$F$26,4,FALSE)</f>
        <v>1000</v>
      </c>
      <c r="C10" s="3">
        <f>VLOOKUP($A10,Globals!$A$19:$F$26,6,FALSE)</f>
        <v>1</v>
      </c>
      <c r="F10" s="18" t="s">
        <v>58</v>
      </c>
      <c r="G10" s="14">
        <f>PRODUCT(G$3:G$4)*PRODUCT(G8:G9)</f>
        <v>3.1622776601683788E+34</v>
      </c>
      <c r="H10" s="14">
        <f>SUM(H$3:H$4)+SUM(H8:H9)</f>
        <v>2.7310645112533267</v>
      </c>
      <c r="K10" t="s">
        <v>209</v>
      </c>
      <c r="L10" s="14">
        <f>G28*P10</f>
        <v>2.8334007835108666E+40</v>
      </c>
      <c r="M10" s="14">
        <f>H28</f>
        <v>4.1513686573257056</v>
      </c>
      <c r="N10">
        <v>-1</v>
      </c>
      <c r="O10" t="s">
        <v>80</v>
      </c>
      <c r="P10">
        <f>p_biological*p_not_care_about_animals*p_spread_was</f>
        <v>0.22399999999999998</v>
      </c>
      <c r="Q10" s="3"/>
      <c r="R10" s="3"/>
    </row>
    <row r="11" spans="1:18" ht="15" customHeight="1">
      <c r="A11" s="17" t="s">
        <v>58</v>
      </c>
      <c r="B11" s="14">
        <f>PRODUCT($B$3:$B$6)*B10</f>
        <v>3.1622776601683793E+48</v>
      </c>
      <c r="C11" s="14">
        <f>SUM(C$3:C$6)+C10</f>
        <v>4.5113686573257059</v>
      </c>
      <c r="K11" t="s">
        <v>210</v>
      </c>
      <c r="L11" s="14">
        <f>G35*P11</f>
        <v>6.7199999999999966E+38</v>
      </c>
      <c r="M11" s="14">
        <f>H35</f>
        <v>5.3218248764342739</v>
      </c>
      <c r="N11">
        <v>-1</v>
      </c>
      <c r="O11" t="s">
        <v>81</v>
      </c>
      <c r="P11">
        <f>p_biological*p_not_care_about_animals*p_suffering_simulations</f>
        <v>0.16799999999999998</v>
      </c>
      <c r="Q11" s="3"/>
      <c r="R11" s="3"/>
    </row>
    <row r="12" spans="1:18" ht="15" customHeight="1">
      <c r="B12" s="3"/>
      <c r="K12" t="s">
        <v>213</v>
      </c>
      <c r="L12" s="14">
        <f>B16*P12</f>
        <v>4.7434164902525701E+43</v>
      </c>
      <c r="M12" s="14">
        <f>C16</f>
        <v>4.9513686573257054</v>
      </c>
      <c r="N12">
        <v>-1</v>
      </c>
      <c r="O12" t="s">
        <v>83</v>
      </c>
      <c r="P12">
        <f>p_computronium*p_paperclip</f>
        <v>7.5000000000000011E-2</v>
      </c>
      <c r="Q12" s="3"/>
      <c r="R12" s="3"/>
    </row>
    <row r="13" spans="1:18" ht="15" customHeight="1">
      <c r="F13" s="1" t="s">
        <v>59</v>
      </c>
      <c r="K13" t="s">
        <v>207</v>
      </c>
      <c r="L13" s="14">
        <f>B21*P13</f>
        <v>1.5811388300841899E+46</v>
      </c>
      <c r="M13" s="14">
        <f>C21</f>
        <v>4.5113686573257059</v>
      </c>
      <c r="N13">
        <v>-1</v>
      </c>
      <c r="O13" t="s">
        <v>84</v>
      </c>
      <c r="P13">
        <f>p_computronium*p_dolorium</f>
        <v>5.000000000000001E-3</v>
      </c>
      <c r="Q13" s="3"/>
      <c r="R13" s="3"/>
    </row>
    <row r="14" spans="1:18" ht="15" customHeight="1">
      <c r="A14" s="10" t="s">
        <v>54</v>
      </c>
      <c r="F14" t="s">
        <v>21</v>
      </c>
      <c r="G14">
        <f>VLOOKUP($F14,Globals!$N$32:$P$38,2,FALSE)</f>
        <v>100000000000</v>
      </c>
      <c r="H14">
        <f>VLOOKUP($F14,Globals!$N$32:$P$38,3,FALSE)</f>
        <v>0.78030414607237897</v>
      </c>
      <c r="K14" s="32" t="s">
        <v>178</v>
      </c>
      <c r="L14" s="33" t="str">
        <f>WriteArray(SumLognormDists(L8:M13))</f>
        <v>disabled</v>
      </c>
      <c r="M14" s="33" t="s">
        <v>172</v>
      </c>
    </row>
    <row r="15" spans="1:18" ht="15" customHeight="1">
      <c r="A15" s="5" t="s">
        <v>47</v>
      </c>
      <c r="B15" s="3">
        <f>VLOOKUP($A15,Globals!$A$19:$F$26,4,FALSE)</f>
        <v>0.2</v>
      </c>
      <c r="C15" s="3">
        <f>VLOOKUP($A15,Globals!$A$19:$F$26,6,FALSE)</f>
        <v>1.44</v>
      </c>
      <c r="F15" s="5" t="s">
        <v>42</v>
      </c>
      <c r="G15">
        <f>VLOOKUP($F15,Globals!$A$19:$F$26,4,FALSE)</f>
        <v>5</v>
      </c>
      <c r="H15">
        <f>VLOOKUP($F15,Globals!$A$19:$F$26,6,FALSE)</f>
        <v>0.09</v>
      </c>
      <c r="K15" s="3" t="s">
        <v>179</v>
      </c>
      <c r="L15" s="3" t="e">
        <f>STupidExcelMean(L14)</f>
        <v>#VALUE!</v>
      </c>
      <c r="M15" s="3" t="e">
        <f>STupidExcelVariance(L14,L15)</f>
        <v>#VALUE!</v>
      </c>
      <c r="N15" s="7" t="s">
        <v>175</v>
      </c>
    </row>
    <row r="16" spans="1:18" ht="15" customHeight="1">
      <c r="A16" s="17" t="s">
        <v>58</v>
      </c>
      <c r="B16" s="14">
        <f>PRODUCT($B$3:$B$6)*B15</f>
        <v>6.3245553203367596E+44</v>
      </c>
      <c r="C16" s="14">
        <f>SUM(C$3:C$6)+C15</f>
        <v>4.9513686573257054</v>
      </c>
      <c r="F16" s="18" t="s">
        <v>58</v>
      </c>
      <c r="G16" s="14">
        <f>PRODUCT(G$3:G$4)*PRODUCT(G14:G15)</f>
        <v>1.5811388300841894E+35</v>
      </c>
      <c r="H16" s="14">
        <f>SUM(H$3:H$4)+SUM(H14:H15)</f>
        <v>2.8210645112533266</v>
      </c>
    </row>
    <row r="17" spans="1:23" ht="15" customHeight="1">
      <c r="K17" s="3" t="s">
        <v>176</v>
      </c>
      <c r="L17" s="3" t="e">
        <f>L6-L15</f>
        <v>#VALUE!</v>
      </c>
      <c r="M17" t="e">
        <f>DifferenceVariance(L6:M6,L15:M15)</f>
        <v>#VALUE!</v>
      </c>
    </row>
    <row r="18" spans="1:23" ht="15" customHeight="1">
      <c r="K18" s="28" t="s">
        <v>118</v>
      </c>
      <c r="L18" s="20" t="e">
        <f>EXP(MuFromParams(L17,M17))</f>
        <v>#VALUE!</v>
      </c>
      <c r="M18" s="20" t="e">
        <f>(SigmaFromParams(L17,M17) / LN(10))^2</f>
        <v>#VALUE!</v>
      </c>
    </row>
    <row r="19" spans="1:23" ht="15" customHeight="1">
      <c r="A19" s="10" t="s">
        <v>55</v>
      </c>
      <c r="F19" s="1" t="s">
        <v>61</v>
      </c>
      <c r="S19" s="3"/>
      <c r="T19" s="3"/>
      <c r="U19" s="3"/>
      <c r="V19" s="3"/>
      <c r="W19" s="3"/>
    </row>
    <row r="20" spans="1:23" ht="15" customHeight="1">
      <c r="A20" s="5" t="s">
        <v>48</v>
      </c>
      <c r="B20" s="3">
        <f>VLOOKUP($A20,Globals!$A$19:$F$26,4,FALSE)</f>
        <v>1000</v>
      </c>
      <c r="C20" s="3">
        <f>VLOOKUP($A20,Globals!$A$19:$F$26,6,FALSE)</f>
        <v>1</v>
      </c>
      <c r="F20" t="s">
        <v>22</v>
      </c>
      <c r="G20">
        <f>VLOOKUP($F20,Globals!$N$32:$P$38,2,FALSE)</f>
        <v>316227766016837.94</v>
      </c>
      <c r="H20">
        <f>VLOOKUP($F20,Globals!$N$32:$P$38,3,FALSE)</f>
        <v>1.1704562191085683</v>
      </c>
      <c r="S20" s="23"/>
      <c r="T20" s="3"/>
      <c r="U20" s="3"/>
      <c r="V20" s="3"/>
      <c r="W20" s="3"/>
    </row>
    <row r="21" spans="1:23" ht="15" customHeight="1">
      <c r="A21" s="17" t="s">
        <v>58</v>
      </c>
      <c r="B21" s="14">
        <f>PRODUCT($B$3:$B$6)*B20</f>
        <v>3.1622776601683793E+48</v>
      </c>
      <c r="C21" s="14">
        <f>SUM(C$3:C$6)+C20</f>
        <v>4.5113686573257059</v>
      </c>
      <c r="F21" s="5" t="s">
        <v>43</v>
      </c>
      <c r="G21">
        <f>VLOOKUP($F21,Globals!$A$19:$F$26,4,FALSE)</f>
        <v>0.4</v>
      </c>
      <c r="H21">
        <f>VLOOKUP($F21,Globals!$A$19:$F$26,6,FALSE)</f>
        <v>0.36</v>
      </c>
      <c r="L21" s="3"/>
      <c r="M21" s="3"/>
      <c r="N21" s="29"/>
      <c r="S21" s="8"/>
      <c r="T21" s="3"/>
      <c r="U21" s="3"/>
      <c r="V21" s="3"/>
      <c r="W21" s="3"/>
    </row>
    <row r="22" spans="1:23" ht="15" customHeight="1">
      <c r="F22" s="18" t="s">
        <v>58</v>
      </c>
      <c r="G22" s="14">
        <f>PRODUCT(G$3:G$4)*PRODUCT(G20:G21)</f>
        <v>3.9999999999999993E+37</v>
      </c>
      <c r="H22" s="14">
        <f>SUM(H$3:H$4)+SUM(H20:H21)</f>
        <v>3.4812165842895157</v>
      </c>
      <c r="L22" s="2"/>
      <c r="M22" s="2"/>
      <c r="S22" s="8"/>
      <c r="T22" s="3"/>
      <c r="U22" s="3"/>
      <c r="V22" s="3"/>
      <c r="W22" s="3"/>
    </row>
    <row r="23" spans="1:23" ht="15" customHeight="1">
      <c r="B23" s="3"/>
      <c r="C23" s="3"/>
      <c r="K23" s="3"/>
      <c r="L23" s="3"/>
      <c r="M23" s="3"/>
      <c r="S23" s="8"/>
      <c r="T23" s="3"/>
      <c r="U23" s="3"/>
      <c r="V23" s="3"/>
      <c r="W23" s="3"/>
    </row>
    <row r="24" spans="1:23" ht="15" customHeight="1">
      <c r="B24" s="3"/>
      <c r="C24" s="3"/>
      <c r="L24" s="3"/>
      <c r="M24" s="3"/>
      <c r="S24" s="8"/>
      <c r="T24" s="3"/>
      <c r="U24" s="3"/>
      <c r="V24" s="3"/>
      <c r="W24" s="3"/>
    </row>
    <row r="25" spans="1:23" ht="15" customHeight="1">
      <c r="B25" s="3"/>
      <c r="C25" s="3"/>
      <c r="F25" s="1" t="s">
        <v>62</v>
      </c>
      <c r="M25" s="29"/>
      <c r="S25" s="8"/>
      <c r="T25" s="3"/>
      <c r="U25" s="3"/>
      <c r="V25" s="3"/>
      <c r="W25" s="3"/>
    </row>
    <row r="26" spans="1:23" ht="15" customHeight="1">
      <c r="B26" s="3"/>
      <c r="C26" s="3"/>
      <c r="F26" t="s">
        <v>60</v>
      </c>
      <c r="G26">
        <f>VLOOKUP($F26,Globals!$N$32:$P$38,2,FALSE)</f>
        <v>1E+19</v>
      </c>
      <c r="H26">
        <f>VLOOKUP($F26,Globals!$N$32:$P$38,3,FALSE)</f>
        <v>1.5606082921447579</v>
      </c>
      <c r="M26" s="29"/>
      <c r="S26" s="24"/>
      <c r="T26" s="3"/>
      <c r="U26" s="3"/>
      <c r="V26" s="3"/>
      <c r="W26" s="3"/>
    </row>
    <row r="27" spans="1:23" ht="15" customHeight="1">
      <c r="A27" s="8"/>
      <c r="B27" s="3"/>
      <c r="C27" s="3"/>
      <c r="F27" t="s">
        <v>44</v>
      </c>
      <c r="G27">
        <f>VLOOKUP($F27,Globals!$A$19:$F$26,4,FALSE)</f>
        <v>0.04</v>
      </c>
      <c r="H27">
        <f>VLOOKUP($F27,Globals!$A$19:$F$26,6,FALSE)</f>
        <v>0.64000000000000012</v>
      </c>
      <c r="M27" s="29"/>
      <c r="S27" s="3"/>
      <c r="T27" s="3"/>
      <c r="U27" s="3"/>
      <c r="V27" s="3"/>
      <c r="W27" s="3"/>
    </row>
    <row r="28" spans="1:23" ht="15" customHeight="1">
      <c r="F28" s="18" t="s">
        <v>58</v>
      </c>
      <c r="G28" s="14">
        <f>PRODUCT(G$3:G$4)*PRODUCT(G26:G27)</f>
        <v>1.2649110640673514E+41</v>
      </c>
      <c r="H28" s="14">
        <f>SUM(H$3:H$4)+SUM(H26:H27)</f>
        <v>4.1513686573257056</v>
      </c>
      <c r="S28" s="3"/>
      <c r="T28" s="3"/>
      <c r="U28" s="3"/>
      <c r="V28" s="3"/>
      <c r="W28" s="3"/>
    </row>
    <row r="29" spans="1:23" ht="15" customHeight="1">
      <c r="S29" s="13"/>
      <c r="T29" s="3"/>
      <c r="U29" s="3"/>
      <c r="V29" s="3"/>
      <c r="W29" s="3"/>
    </row>
    <row r="30" spans="1:23" ht="15" customHeight="1">
      <c r="S30" s="3"/>
      <c r="T30" s="3"/>
      <c r="U30" s="3"/>
      <c r="V30" s="3"/>
      <c r="W30" s="3"/>
    </row>
    <row r="31" spans="1:23" ht="15" customHeight="1">
      <c r="A31" s="8"/>
      <c r="B31" s="3"/>
      <c r="C31" s="3"/>
      <c r="F31" s="1" t="s">
        <v>63</v>
      </c>
      <c r="S31" s="3"/>
      <c r="T31" s="3"/>
      <c r="U31" s="3"/>
      <c r="V31" s="3"/>
      <c r="W31" s="3"/>
    </row>
    <row r="32" spans="1:23" ht="15" customHeight="1">
      <c r="A32" s="8"/>
      <c r="B32" s="3"/>
      <c r="C32" s="3"/>
      <c r="F32" t="s">
        <v>60</v>
      </c>
      <c r="G32">
        <f>VLOOKUP($F32,Globals!$N$32:$P$38,2,FALSE)</f>
        <v>1E+19</v>
      </c>
      <c r="H32">
        <f>VLOOKUP($F32,Globals!$N$32:$P$38,3,FALSE)</f>
        <v>1.5606082921447579</v>
      </c>
      <c r="S32" s="3"/>
      <c r="T32" s="3"/>
      <c r="U32" s="3"/>
      <c r="V32" s="3"/>
      <c r="W32" s="3"/>
    </row>
    <row r="33" spans="1:23" ht="15" customHeight="1">
      <c r="A33" s="8"/>
      <c r="B33" s="3"/>
      <c r="C33" s="3"/>
      <c r="F33" t="s">
        <v>64</v>
      </c>
      <c r="G33">
        <f>VLOOKUP($F33,Globals!$N$32:$P$38,2,FALSE)</f>
        <v>3.1622776601683791E-2</v>
      </c>
      <c r="H33">
        <f>VLOOKUP($F33,Globals!$N$32:$P$38,3,FALSE)</f>
        <v>1.1704562191085683</v>
      </c>
      <c r="S33" s="3"/>
      <c r="T33" s="3"/>
      <c r="U33" s="3"/>
      <c r="V33" s="3"/>
      <c r="W33" s="3"/>
    </row>
    <row r="34" spans="1:23" ht="15" customHeight="1">
      <c r="A34" s="8"/>
      <c r="B34" s="3"/>
      <c r="C34" s="3"/>
      <c r="F34" t="s">
        <v>44</v>
      </c>
      <c r="G34">
        <f>VLOOKUP($F34,Globals!$A$19:$F$26,4,FALSE)</f>
        <v>0.04</v>
      </c>
      <c r="H34">
        <f>VLOOKUP($F34,Globals!$A$19:$F$26,6,FALSE)</f>
        <v>0.64000000000000012</v>
      </c>
      <c r="S34" s="8"/>
      <c r="T34" s="3"/>
      <c r="U34" s="3"/>
      <c r="V34" s="3"/>
      <c r="W34" s="3"/>
    </row>
    <row r="35" spans="1:23" ht="15" customHeight="1">
      <c r="A35" s="8"/>
      <c r="B35" s="3"/>
      <c r="C35" s="3"/>
      <c r="F35" s="15" t="s">
        <v>58</v>
      </c>
      <c r="G35" s="14">
        <f>PRODUCT(G$3:G$4)*PRODUCT(G32:G34)</f>
        <v>3.9999999999999985E+39</v>
      </c>
      <c r="H35" s="14">
        <f>SUM(H$3:H$4)+SUM(H32:H34)</f>
        <v>5.3218248764342739</v>
      </c>
      <c r="S35" s="8"/>
      <c r="T35" s="3"/>
      <c r="U35" s="3"/>
      <c r="V35" s="3"/>
      <c r="W35" s="3"/>
    </row>
    <row r="36" spans="1:23" ht="15" customHeight="1">
      <c r="A36" s="8"/>
      <c r="B36" s="3"/>
      <c r="C36" s="3"/>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workbookViewId="0">
      <selection activeCell="D4" sqref="D4"/>
    </sheetView>
  </sheetViews>
  <sheetFormatPr baseColWidth="10" defaultRowHeight="15" x14ac:dyDescent="0"/>
  <cols>
    <col min="1" max="1" width="21.6640625" customWidth="1"/>
    <col min="2" max="2" width="12.83203125" bestFit="1" customWidth="1"/>
    <col min="3" max="3" width="12.1640625" bestFit="1" customWidth="1"/>
    <col min="5" max="5" width="10.83203125" customWidth="1"/>
    <col min="6" max="6" width="21.6640625" customWidth="1"/>
    <col min="7" max="7" width="12.83203125" bestFit="1" customWidth="1"/>
    <col min="11" max="11" width="12.83203125" bestFit="1" customWidth="1"/>
  </cols>
  <sheetData>
    <row r="1" spans="1:16" ht="20">
      <c r="A1" s="110" t="s">
        <v>136</v>
      </c>
      <c r="B1" s="98"/>
      <c r="C1" s="98"/>
      <c r="D1" s="41"/>
      <c r="F1" s="1" t="s">
        <v>69</v>
      </c>
    </row>
    <row r="2" spans="1:16">
      <c r="A2" s="90"/>
      <c r="B2" s="90" t="s">
        <v>0</v>
      </c>
      <c r="C2" s="90" t="s">
        <v>1</v>
      </c>
      <c r="D2" s="41"/>
      <c r="G2" s="7" t="s">
        <v>181</v>
      </c>
      <c r="H2" s="7" t="s">
        <v>182</v>
      </c>
      <c r="I2" t="s">
        <v>184</v>
      </c>
    </row>
    <row r="3" spans="1:16" ht="30">
      <c r="A3" s="55" t="s">
        <v>105</v>
      </c>
      <c r="B3" s="63">
        <v>50000000000</v>
      </c>
      <c r="C3" s="63">
        <v>1000000000000</v>
      </c>
      <c r="D3" s="41" t="s">
        <v>189</v>
      </c>
      <c r="F3" s="15" t="s">
        <v>58</v>
      </c>
      <c r="G3" s="14">
        <v>1</v>
      </c>
      <c r="H3" s="14">
        <f>I3^2</f>
        <v>6.25E-2</v>
      </c>
      <c r="I3">
        <v>0.25</v>
      </c>
    </row>
    <row r="4" spans="1:16">
      <c r="A4" s="59" t="s">
        <v>99</v>
      </c>
      <c r="B4" s="60">
        <v>0.1</v>
      </c>
      <c r="C4" s="60">
        <v>0.5</v>
      </c>
      <c r="D4" s="41" t="s">
        <v>218</v>
      </c>
      <c r="F4" s="19" t="s">
        <v>86</v>
      </c>
      <c r="G4" s="20">
        <f>ParetoPosterior(median,alpha,G3:H3)</f>
        <v>1.0718443947358864</v>
      </c>
      <c r="H4" s="3"/>
    </row>
    <row r="5" spans="1:16" ht="45">
      <c r="A5" s="59" t="s">
        <v>100</v>
      </c>
      <c r="B5" s="60">
        <v>5.0000000000000001E-3</v>
      </c>
      <c r="C5" s="60">
        <v>0.2</v>
      </c>
      <c r="D5" s="41"/>
      <c r="F5" s="19" t="s">
        <v>93</v>
      </c>
      <c r="G5" s="20" t="str">
        <f>LognormPosterior(mu_global_poverty,sigma_global_poverty,G3:H3)</f>
        <v>disabled</v>
      </c>
      <c r="H5" s="3"/>
    </row>
    <row r="6" spans="1:16" ht="45">
      <c r="A6" s="59" t="s">
        <v>101</v>
      </c>
      <c r="B6" s="60">
        <f>B5*1.1</f>
        <v>5.5000000000000005E-3</v>
      </c>
      <c r="C6" s="60">
        <f>C5*1.1</f>
        <v>0.22000000000000003</v>
      </c>
      <c r="D6" s="41"/>
    </row>
    <row r="7" spans="1:16" ht="30">
      <c r="A7" s="76" t="s">
        <v>95</v>
      </c>
      <c r="B7" s="77">
        <f>1000/C3*interest_rate</f>
        <v>5.0000000000000008E-11</v>
      </c>
      <c r="C7" s="77">
        <f>1000/B3*interest_rate</f>
        <v>1.0000000000000001E-9</v>
      </c>
      <c r="D7" s="41"/>
    </row>
    <row r="8" spans="1:16">
      <c r="A8" s="5"/>
      <c r="F8" s="1" t="s">
        <v>94</v>
      </c>
    </row>
    <row r="9" spans="1:16">
      <c r="A9" s="5"/>
      <c r="G9" t="s">
        <v>2</v>
      </c>
      <c r="H9" t="s">
        <v>33</v>
      </c>
      <c r="J9" s="13"/>
      <c r="K9" s="3"/>
      <c r="L9" s="3"/>
      <c r="M9" s="3"/>
      <c r="N9" s="13"/>
      <c r="O9" s="3"/>
      <c r="P9" s="3"/>
    </row>
    <row r="10" spans="1:16">
      <c r="A10" s="5"/>
      <c r="F10" t="s">
        <v>99</v>
      </c>
      <c r="G10">
        <f>GEOMEAN($B$4,$C$4)</f>
        <v>0.22360679774997896</v>
      </c>
      <c r="H10">
        <f>LogVariance($B$4,$C$4)</f>
        <v>0.27270459618181209</v>
      </c>
      <c r="J10" s="3"/>
      <c r="K10" s="3"/>
      <c r="L10" s="3"/>
      <c r="M10" s="3"/>
      <c r="N10" s="3"/>
      <c r="O10" s="3"/>
      <c r="P10" s="3"/>
    </row>
    <row r="11" spans="1:16">
      <c r="A11" s="5"/>
      <c r="F11" s="3" t="s">
        <v>100</v>
      </c>
      <c r="G11">
        <f>GEOMEAN($B$5,$C$5)</f>
        <v>3.1622776601683791E-2</v>
      </c>
      <c r="H11">
        <f>LogVariance($B$5,$C$5)</f>
        <v>0.62504702674494428</v>
      </c>
      <c r="J11" s="3"/>
      <c r="K11" s="3"/>
      <c r="L11" s="3"/>
      <c r="M11" s="3"/>
      <c r="N11" s="3"/>
      <c r="O11" s="3"/>
      <c r="P11" s="3"/>
    </row>
    <row r="12" spans="1:16" ht="20">
      <c r="A12" s="39" t="s">
        <v>65</v>
      </c>
      <c r="F12" t="s">
        <v>95</v>
      </c>
      <c r="G12">
        <f>GEOMEAN($B$7,$C$7)</f>
        <v>2.2360679774997899E-10</v>
      </c>
      <c r="H12">
        <f>LogVariance($B$7,$C$7)</f>
        <v>0.50759954989056688</v>
      </c>
      <c r="J12" s="3"/>
      <c r="K12" s="3"/>
      <c r="L12" s="3"/>
      <c r="M12" s="3"/>
      <c r="N12" s="3"/>
      <c r="O12" s="3"/>
      <c r="P12" s="3"/>
    </row>
    <row r="13" spans="1:16">
      <c r="A13" s="23" t="s">
        <v>190</v>
      </c>
      <c r="B13" s="3"/>
      <c r="C13" s="3"/>
      <c r="F13" t="s">
        <v>118</v>
      </c>
      <c r="G13" t="e">
        <f>VLOOKUP(F13,'EV of Far Future'!$K$17:$M$18,2,FALSE)</f>
        <v>#VALUE!</v>
      </c>
      <c r="H13" t="e">
        <f>VLOOKUP(F13,'EV of Far Future'!$K$17:$M$18,3,FALSE)</f>
        <v>#VALUE!</v>
      </c>
      <c r="J13" s="3"/>
      <c r="K13" s="3"/>
      <c r="L13" s="3"/>
      <c r="M13" s="3"/>
      <c r="N13" s="3"/>
      <c r="O13" s="3"/>
      <c r="P13" s="3"/>
    </row>
    <row r="14" spans="1:16" ht="30">
      <c r="A14" s="5" t="s">
        <v>187</v>
      </c>
      <c r="B14" t="e">
        <f>G15-G25</f>
        <v>#VALUE!</v>
      </c>
      <c r="C14" t="e">
        <f>DifferenceVariance(G15:H15,G25:H25)</f>
        <v>#VALUE!</v>
      </c>
      <c r="F14" s="15" t="s">
        <v>58</v>
      </c>
      <c r="G14" s="14" t="e">
        <f>PRODUCT(G10:G13)</f>
        <v>#VALUE!</v>
      </c>
      <c r="H14" s="14" t="e">
        <f>SUM(H10:H13)</f>
        <v>#VALUE!</v>
      </c>
      <c r="J14" s="3"/>
      <c r="K14" s="3"/>
      <c r="L14" s="3"/>
      <c r="M14" s="3"/>
      <c r="N14" s="3"/>
      <c r="O14" s="3"/>
      <c r="P14" s="3"/>
    </row>
    <row r="15" spans="1:16">
      <c r="A15" s="17" t="s">
        <v>188</v>
      </c>
      <c r="B15" s="14" t="e">
        <f>EXP(MuFromParams(ABS(B14),C14))</f>
        <v>#VALUE!</v>
      </c>
      <c r="C15" s="14" t="e">
        <f>(SigmaFromParams(B14,C14) / LN(10))^2</f>
        <v>#VALUE!</v>
      </c>
      <c r="F15" s="3" t="s">
        <v>180</v>
      </c>
      <c r="G15" t="e">
        <f>meanFromParams(G14:H14)</f>
        <v>#VALUE!</v>
      </c>
      <c r="H15" t="e">
        <f>VarianceFromParams(G14:H14)</f>
        <v>#VALUE!</v>
      </c>
      <c r="J15" s="3"/>
      <c r="K15" s="3"/>
      <c r="L15" s="3"/>
      <c r="M15" s="3"/>
      <c r="N15" s="3"/>
      <c r="O15" s="3"/>
      <c r="P15" s="3"/>
    </row>
    <row r="16" spans="1:16">
      <c r="A16" s="44" t="s">
        <v>86</v>
      </c>
      <c r="B16" s="20" t="e">
        <f>ParetoPosterior(median,alpha,B15:C15)*SIGN(B14)</f>
        <v>#VALUE!</v>
      </c>
      <c r="J16" s="3"/>
      <c r="K16" s="3"/>
      <c r="L16" s="3"/>
      <c r="M16" s="3"/>
      <c r="N16" s="3"/>
      <c r="O16" s="3"/>
      <c r="P16" s="3"/>
    </row>
    <row r="17" spans="1:16">
      <c r="A17" s="44" t="s">
        <v>93</v>
      </c>
      <c r="B17" s="20" t="e">
        <f>LognormPosterior(mu_far_future,sigma_far_future,B15:C15)*SIGN(B14)</f>
        <v>#VALUE!</v>
      </c>
      <c r="J17" s="3"/>
      <c r="K17" s="3"/>
      <c r="L17" s="3"/>
      <c r="M17" s="3"/>
      <c r="N17" s="3"/>
      <c r="O17" s="3"/>
      <c r="P17" s="3"/>
    </row>
    <row r="18" spans="1:16">
      <c r="A18" s="5"/>
      <c r="F18" s="1" t="s">
        <v>102</v>
      </c>
      <c r="J18" s="3"/>
      <c r="K18" s="3"/>
      <c r="L18" s="3"/>
      <c r="M18" s="3"/>
      <c r="N18" s="3"/>
      <c r="O18" s="3"/>
      <c r="P18" s="3"/>
    </row>
    <row r="19" spans="1:16">
      <c r="A19" s="5"/>
      <c r="G19" s="7" t="s">
        <v>181</v>
      </c>
      <c r="H19" s="7" t="s">
        <v>183</v>
      </c>
      <c r="J19" s="3"/>
      <c r="K19" s="3"/>
      <c r="L19" s="3"/>
      <c r="M19" s="3"/>
      <c r="N19" s="3"/>
      <c r="O19" s="3"/>
      <c r="P19" s="3"/>
    </row>
    <row r="20" spans="1:16">
      <c r="A20" s="40" t="s">
        <v>91</v>
      </c>
      <c r="B20" s="4" t="e">
        <f>B16+G4</f>
        <v>#VALUE!</v>
      </c>
      <c r="F20" t="s">
        <v>99</v>
      </c>
      <c r="G20">
        <f>GEOMEAN($B$4,$C$4)</f>
        <v>0.22360679774997896</v>
      </c>
      <c r="H20">
        <f>LogVariance($B$4,$C$4)</f>
        <v>0.27270459618181209</v>
      </c>
      <c r="J20" s="13"/>
      <c r="K20" s="3"/>
      <c r="L20" s="3"/>
      <c r="M20" s="3"/>
      <c r="N20" s="13"/>
      <c r="O20" s="3"/>
      <c r="P20" s="3"/>
    </row>
    <row r="21" spans="1:16">
      <c r="A21" s="40" t="s">
        <v>92</v>
      </c>
      <c r="B21" s="4" t="e">
        <f>B17+G5</f>
        <v>#VALUE!</v>
      </c>
      <c r="F21" s="3" t="s">
        <v>101</v>
      </c>
      <c r="G21">
        <f>GEOMEAN($B$6,$C$6)</f>
        <v>3.4785054261852175E-2</v>
      </c>
      <c r="H21">
        <f>LogVariance($B$6,$C$6)</f>
        <v>0.62504702674494428</v>
      </c>
      <c r="J21" s="3"/>
      <c r="K21" s="3"/>
      <c r="L21" s="3"/>
      <c r="M21" s="3"/>
      <c r="N21" s="3"/>
      <c r="O21" s="3"/>
      <c r="P21" s="3"/>
    </row>
    <row r="22" spans="1:16">
      <c r="F22" t="s">
        <v>95</v>
      </c>
      <c r="G22">
        <f>GEOMEAN($B$7,$C$7)</f>
        <v>2.2360679774997899E-10</v>
      </c>
      <c r="H22">
        <f>LogVariance($B$7,$C$7)</f>
        <v>0.50759954989056688</v>
      </c>
      <c r="J22" s="3"/>
      <c r="K22" s="3"/>
      <c r="L22" s="3"/>
      <c r="M22" s="3"/>
      <c r="N22" s="3"/>
      <c r="O22" s="3"/>
      <c r="P22" s="3"/>
    </row>
    <row r="23" spans="1:16">
      <c r="F23" t="s">
        <v>118</v>
      </c>
      <c r="G23" t="e">
        <f>VLOOKUP(F23,'EV of Far Future'!$K$17:$M$18,2,FALSE)</f>
        <v>#VALUE!</v>
      </c>
      <c r="H23" t="e">
        <f>VLOOKUP(F23,'EV of Far Future'!$K$17:$M$18,3,FALSE)</f>
        <v>#VALUE!</v>
      </c>
      <c r="J23" s="3"/>
      <c r="K23" s="3"/>
      <c r="L23" s="3"/>
      <c r="M23" s="3"/>
      <c r="N23" s="3"/>
      <c r="O23" s="3"/>
      <c r="P23" s="3"/>
    </row>
    <row r="24" spans="1:16">
      <c r="F24" s="15" t="s">
        <v>58</v>
      </c>
      <c r="G24" s="14" t="e">
        <f>PRODUCT(G20:G23)</f>
        <v>#VALUE!</v>
      </c>
      <c r="H24" s="14" t="e">
        <f>SUM(H20:H23)</f>
        <v>#VALUE!</v>
      </c>
      <c r="J24" s="3"/>
      <c r="K24" s="3"/>
      <c r="L24" s="3"/>
      <c r="M24" s="3"/>
      <c r="N24" s="3"/>
      <c r="O24" s="3"/>
      <c r="P24" s="3"/>
    </row>
    <row r="25" spans="1:16">
      <c r="F25" t="s">
        <v>179</v>
      </c>
      <c r="G25" t="e">
        <f>meanFromParams(G24:H24)</f>
        <v>#VALUE!</v>
      </c>
      <c r="H25" t="e">
        <f>VarianceFromParams(G24:H24)</f>
        <v>#VALUE!</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E2" sqref="E2"/>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9" t="s">
        <v>136</v>
      </c>
      <c r="H1" s="1" t="s">
        <v>69</v>
      </c>
      <c r="M1" s="1" t="s">
        <v>85</v>
      </c>
    </row>
    <row r="2" spans="1:15">
      <c r="A2" s="70"/>
      <c r="B2" s="57" t="s">
        <v>0</v>
      </c>
      <c r="C2" s="57" t="s">
        <v>1</v>
      </c>
      <c r="D2" s="67" t="s">
        <v>181</v>
      </c>
      <c r="E2" s="67" t="s">
        <v>183</v>
      </c>
      <c r="F2" t="s">
        <v>30</v>
      </c>
      <c r="I2" s="7" t="s">
        <v>181</v>
      </c>
      <c r="J2" s="7" t="s">
        <v>182</v>
      </c>
      <c r="N2" s="7" t="s">
        <v>181</v>
      </c>
      <c r="O2" s="7" t="s">
        <v>183</v>
      </c>
    </row>
    <row r="3" spans="1:15" ht="30">
      <c r="A3" s="55" t="s">
        <v>130</v>
      </c>
      <c r="B3" s="56">
        <v>0.7</v>
      </c>
      <c r="C3" s="99">
        <v>13</v>
      </c>
      <c r="D3" s="90"/>
      <c r="E3" s="90"/>
      <c r="F3" s="7" t="s">
        <v>134</v>
      </c>
      <c r="G3" s="7"/>
      <c r="H3" t="s">
        <v>74</v>
      </c>
      <c r="I3">
        <f>D5</f>
        <v>3016.620625799671</v>
      </c>
      <c r="J3">
        <f>E5</f>
        <v>0.49504262895320128</v>
      </c>
      <c r="M3" s="3" t="s">
        <v>202</v>
      </c>
      <c r="N3" s="26">
        <f>VLOOKUP(M3,$A$10:$E$13,4,FALSE)</f>
        <v>4.4721359549995794E-2</v>
      </c>
      <c r="O3" s="26">
        <f>VLOOKUP(M3,$A$10:$E$13,5,FALSE)</f>
        <v>0.50759954989056688</v>
      </c>
    </row>
    <row r="4" spans="1:15" ht="30">
      <c r="A4" s="59" t="s">
        <v>170</v>
      </c>
      <c r="B4" s="60">
        <v>3</v>
      </c>
      <c r="C4" s="100">
        <v>4</v>
      </c>
      <c r="D4" s="90">
        <f>GEOMEAN(B4,C4)</f>
        <v>3.4641016151377548</v>
      </c>
      <c r="E4" s="90">
        <f>LogVariance(B4,C4)</f>
        <v>4.8745107090250664E-2</v>
      </c>
      <c r="F4" t="s">
        <v>171</v>
      </c>
      <c r="H4" t="s">
        <v>42</v>
      </c>
      <c r="I4">
        <f>VLOOKUP($H4,Globals!A19:F26,4,FALSE)</f>
        <v>5</v>
      </c>
      <c r="J4">
        <f>VLOOKUP($H4,Globals!A19:F26,5,FALSE)</f>
        <v>0.3</v>
      </c>
      <c r="M4" s="3" t="s">
        <v>210</v>
      </c>
      <c r="N4">
        <f>VLOOKUP($M4,'EV of Far Future'!$K$3:$N$13,2,FALSE)</f>
        <v>6.7199999999999966E+38</v>
      </c>
      <c r="O4">
        <f>VLOOKUP($M4,'EV of Far Future'!$K$3:$N$13,3,FALSE)</f>
        <v>5.3218248764342739</v>
      </c>
    </row>
    <row r="5" spans="1:15" ht="30">
      <c r="A5" s="101" t="s">
        <v>74</v>
      </c>
      <c r="B5" s="102">
        <f>B3*1000</f>
        <v>700</v>
      </c>
      <c r="C5" s="102">
        <f>C3*1000</f>
        <v>13000</v>
      </c>
      <c r="D5" s="90">
        <f>GEOMEAN(B5,C5)</f>
        <v>3016.620625799671</v>
      </c>
      <c r="E5" s="90">
        <f>LogVariance(B5,C5)</f>
        <v>0.49504262895320128</v>
      </c>
      <c r="H5" s="15" t="s">
        <v>58</v>
      </c>
      <c r="I5" s="14">
        <f>PRODUCT(I3:I4)</f>
        <v>15083.103128998355</v>
      </c>
      <c r="J5" s="14">
        <f>SUM(J3:J4)</f>
        <v>0.79504262895320132</v>
      </c>
      <c r="M5" s="3" t="s">
        <v>72</v>
      </c>
      <c r="N5">
        <f>1/factory_farmed_animals</f>
        <v>5.0000000000000002E-11</v>
      </c>
      <c r="O5">
        <v>0</v>
      </c>
    </row>
    <row r="6" spans="1:15" ht="30">
      <c r="A6" s="101" t="s">
        <v>73</v>
      </c>
      <c r="B6" s="102"/>
      <c r="C6" s="102"/>
      <c r="D6" s="90">
        <f>PRODUCT(D4:D5)</f>
        <v>10449.880382090505</v>
      </c>
      <c r="E6" s="90">
        <f>SUM(E4:E5)</f>
        <v>0.54378773604345199</v>
      </c>
      <c r="H6" s="19" t="s">
        <v>86</v>
      </c>
      <c r="I6" s="20">
        <f>ParetoPosterior(median,alpha,I5:J5)</f>
        <v>278.14172544025013</v>
      </c>
      <c r="M6" s="3" t="s">
        <v>104</v>
      </c>
      <c r="N6">
        <f>$D$8</f>
        <v>626.99282292543035</v>
      </c>
      <c r="O6">
        <f>$E$8</f>
        <v>0.54378773604345199</v>
      </c>
    </row>
    <row r="7" spans="1:15" ht="45">
      <c r="A7" s="59" t="s">
        <v>114</v>
      </c>
      <c r="B7" s="60">
        <v>0.01</v>
      </c>
      <c r="C7" s="60">
        <v>0.01</v>
      </c>
      <c r="D7" s="90">
        <f>GEOMEAN(B7,C7)</f>
        <v>0.01</v>
      </c>
      <c r="E7" s="90">
        <f>LogVariance(B7,C7)</f>
        <v>0</v>
      </c>
      <c r="F7" t="s">
        <v>115</v>
      </c>
      <c r="H7" s="19" t="s">
        <v>75</v>
      </c>
      <c r="I7" s="21" t="str">
        <f>LognormPosterior(mu_factory_farming,sigma_factory_farming,I5:J5)</f>
        <v>disabled</v>
      </c>
      <c r="J7" t="s">
        <v>167</v>
      </c>
      <c r="M7" s="15" t="s">
        <v>58</v>
      </c>
      <c r="N7" s="14">
        <f>PRODUCT(N3:N6)</f>
        <v>9.4214304136898395E+29</v>
      </c>
      <c r="O7" s="14">
        <f>SUM(O3:O6)</f>
        <v>6.3732121623682927</v>
      </c>
    </row>
    <row r="8" spans="1:15" ht="30">
      <c r="A8" s="101" t="s">
        <v>104</v>
      </c>
      <c r="B8" s="102"/>
      <c r="C8" s="102"/>
      <c r="D8" s="90">
        <f>D6*(interest_rate+D7)</f>
        <v>626.99282292543035</v>
      </c>
      <c r="E8" s="90">
        <f>E6+E7</f>
        <v>0.54378773604345199</v>
      </c>
      <c r="I8" s="22"/>
    </row>
    <row r="9" spans="1:15">
      <c r="A9" s="101"/>
      <c r="B9" s="102"/>
      <c r="C9" s="102"/>
      <c r="D9" s="90"/>
      <c r="E9" s="90"/>
      <c r="I9" s="2"/>
    </row>
    <row r="10" spans="1:15" ht="45">
      <c r="A10" s="59" t="s">
        <v>201</v>
      </c>
      <c r="B10" s="60">
        <v>0.01</v>
      </c>
      <c r="C10" s="60">
        <v>0.2</v>
      </c>
      <c r="D10" s="90">
        <f>GEOMEAN(B10,C10)</f>
        <v>4.4721359549995794E-2</v>
      </c>
      <c r="E10" s="90">
        <f>LogVariance(B10,C10)</f>
        <v>0.50759954989056688</v>
      </c>
      <c r="F10" t="s">
        <v>204</v>
      </c>
      <c r="H10" s="13" t="s">
        <v>70</v>
      </c>
      <c r="M10" s="1" t="s">
        <v>199</v>
      </c>
    </row>
    <row r="11" spans="1:15" ht="30">
      <c r="A11" s="59" t="s">
        <v>150</v>
      </c>
      <c r="B11" s="60">
        <v>5.0000000000000001E-3</v>
      </c>
      <c r="C11" s="60">
        <v>0.1</v>
      </c>
      <c r="D11" s="90">
        <f>GEOMEAN(B11,C11)</f>
        <v>2.2360679774997897E-2</v>
      </c>
      <c r="E11" s="90">
        <f>LogVariance(B11,C11)</f>
        <v>0.50759954989056688</v>
      </c>
      <c r="I11" s="7" t="s">
        <v>181</v>
      </c>
      <c r="J11" s="7" t="s">
        <v>182</v>
      </c>
      <c r="M11" s="3" t="s">
        <v>203</v>
      </c>
      <c r="N11" s="26">
        <f>VLOOKUP(M11,$A$10:$E$13,4,FALSE)</f>
        <v>2.6457513110645908E-2</v>
      </c>
      <c r="O11" s="26">
        <f>VLOOKUP(M11,$A$10:$E$13,5,FALSE)</f>
        <v>0.32971675223038294</v>
      </c>
    </row>
    <row r="12" spans="1:15" ht="30">
      <c r="A12" s="59" t="s">
        <v>202</v>
      </c>
      <c r="B12" s="60">
        <v>0.01</v>
      </c>
      <c r="C12" s="60">
        <v>0.2</v>
      </c>
      <c r="D12" s="90">
        <f>GEOMEAN(B12,C12)</f>
        <v>4.4721359549995794E-2</v>
      </c>
      <c r="E12" s="90">
        <f>LogVariance(B12,C12)</f>
        <v>0.50759954989056688</v>
      </c>
      <c r="H12" s="3" t="s">
        <v>68</v>
      </c>
      <c r="I12">
        <f>VLOOKUP($H12,'EV of Far Future'!$O$3:$P$13,2,FALSE)</f>
        <v>0.16799999999999998</v>
      </c>
      <c r="J12">
        <v>0</v>
      </c>
      <c r="M12" s="3" t="s">
        <v>206</v>
      </c>
      <c r="N12">
        <f>VLOOKUP($M12,'EV of Far Future'!$K$3:$N$13,2,FALSE)</f>
        <v>6.3245553203367595E+46</v>
      </c>
      <c r="O12">
        <f>VLOOKUP($M12,'EV of Far Future'!$K$3:$N$13,3,FALSE)</f>
        <v>4.5113686573257059</v>
      </c>
    </row>
    <row r="13" spans="1:15">
      <c r="A13" s="65" t="s">
        <v>203</v>
      </c>
      <c r="B13" s="64">
        <v>0.01</v>
      </c>
      <c r="C13" s="64">
        <v>7.0000000000000007E-2</v>
      </c>
      <c r="D13" s="90">
        <f>GEOMEAN(B13,C13)</f>
        <v>2.6457513110645908E-2</v>
      </c>
      <c r="E13" s="90">
        <f>LogVariance(B13,C13)</f>
        <v>0.32971675223038294</v>
      </c>
      <c r="H13" s="3" t="s">
        <v>76</v>
      </c>
      <c r="I13">
        <v>1</v>
      </c>
      <c r="J13">
        <v>0</v>
      </c>
      <c r="M13" s="3" t="s">
        <v>72</v>
      </c>
      <c r="N13">
        <f>1/factory_farmed_animals</f>
        <v>5.0000000000000002E-11</v>
      </c>
      <c r="O13">
        <v>0</v>
      </c>
    </row>
    <row r="14" spans="1:15">
      <c r="A14" s="42"/>
      <c r="B14" s="41"/>
      <c r="C14" s="41"/>
      <c r="D14" s="41"/>
      <c r="E14" s="41"/>
      <c r="H14" s="3" t="s">
        <v>211</v>
      </c>
      <c r="I14">
        <f>VLOOKUP($H14,'EV of Far Future'!$K$3:$N$13,2,FALSE)</f>
        <v>2.6563132345414381E+34</v>
      </c>
      <c r="J14">
        <f>VLOOKUP($H14,'EV of Far Future'!$K$3:$N$13,3,FALSE)</f>
        <v>2.8210645112533266</v>
      </c>
      <c r="M14" s="3" t="s">
        <v>104</v>
      </c>
      <c r="N14">
        <f>$D$8</f>
        <v>626.99282292543035</v>
      </c>
      <c r="O14">
        <f>$E$8</f>
        <v>0.54378773604345199</v>
      </c>
    </row>
    <row r="15" spans="1:15">
      <c r="H15" s="3" t="s">
        <v>72</v>
      </c>
      <c r="I15">
        <f>1/factory_farmed_animals</f>
        <v>5.0000000000000002E-11</v>
      </c>
      <c r="J15">
        <v>0</v>
      </c>
      <c r="M15" s="15" t="s">
        <v>58</v>
      </c>
      <c r="N15" s="14">
        <f>PRODUCT(N11:N14)</f>
        <v>5.2457983186546567E+37</v>
      </c>
      <c r="O15" s="14">
        <f>SUM(O11:O14)</f>
        <v>5.3848731455995411</v>
      </c>
    </row>
    <row r="16" spans="1:15">
      <c r="H16" s="3" t="s">
        <v>104</v>
      </c>
      <c r="I16">
        <f>$D$8</f>
        <v>626.99282292543035</v>
      </c>
      <c r="J16">
        <f>$E$8</f>
        <v>0.54378773604345199</v>
      </c>
    </row>
    <row r="17" spans="1:15">
      <c r="H17" s="15" t="s">
        <v>58</v>
      </c>
      <c r="I17" s="14">
        <f>PRODUCT(I12:I16)</f>
        <v>1.3990110401394262E+26</v>
      </c>
      <c r="J17" s="14">
        <f>SUM(J12:J16)</f>
        <v>3.3648522472967786</v>
      </c>
    </row>
    <row r="18" spans="1:15" ht="20">
      <c r="A18" s="39" t="s">
        <v>65</v>
      </c>
      <c r="M18" t="s">
        <v>191</v>
      </c>
    </row>
    <row r="19" spans="1:15">
      <c r="A19" s="10" t="s">
        <v>194</v>
      </c>
      <c r="B19" t="s">
        <v>181</v>
      </c>
      <c r="C19" t="s">
        <v>183</v>
      </c>
      <c r="M19" t="s">
        <v>192</v>
      </c>
      <c r="N19">
        <f>I17</f>
        <v>1.3990110401394262E+26</v>
      </c>
      <c r="O19">
        <f>J17</f>
        <v>3.3648522472967786</v>
      </c>
    </row>
    <row r="20" spans="1:15">
      <c r="A20" s="8" t="s">
        <v>176</v>
      </c>
      <c r="B20" t="e">
        <f>N25</f>
        <v>#VALUE!</v>
      </c>
      <c r="C20" t="e">
        <f>O25</f>
        <v>#VALUE!</v>
      </c>
      <c r="H20" s="1" t="s">
        <v>77</v>
      </c>
      <c r="N20">
        <f>I26</f>
        <v>1.2561907218253124E+28</v>
      </c>
      <c r="O20">
        <f>J26</f>
        <v>4.5326038702235341</v>
      </c>
    </row>
    <row r="21" spans="1:15">
      <c r="A21" s="17" t="s">
        <v>188</v>
      </c>
      <c r="B21" s="14" t="e">
        <f>EXP(MuFromParams(ABS(B20),C20))</f>
        <v>#VALUE!</v>
      </c>
      <c r="C21" s="14" t="e">
        <f>(SigmaFromParams(B20,C20) / LN(10))^2</f>
        <v>#VALUE!</v>
      </c>
      <c r="I21" s="7" t="s">
        <v>181</v>
      </c>
      <c r="J21" s="7" t="s">
        <v>183</v>
      </c>
      <c r="N21">
        <f>I35</f>
        <v>1.9862119282694878E+31</v>
      </c>
      <c r="O21">
        <f>J35</f>
        <v>5.2027559432597243</v>
      </c>
    </row>
    <row r="22" spans="1:15">
      <c r="A22" s="44" t="s">
        <v>86</v>
      </c>
      <c r="B22" s="20" t="e">
        <f>ParetoPosterior(median,alpha,B21:C21)*SIGN(B20)</f>
        <v>#VALUE!</v>
      </c>
      <c r="H22" s="3" t="s">
        <v>201</v>
      </c>
      <c r="I22" s="26">
        <f>VLOOKUP(H22,$A$10:$E$13,4,FALSE)</f>
        <v>4.4721359549995794E-2</v>
      </c>
      <c r="J22" s="26">
        <f>VLOOKUP(H22,$A$10:$E$13,5,FALSE)</f>
        <v>0.50759954989056688</v>
      </c>
      <c r="M22" s="3"/>
      <c r="N22" s="3">
        <f>N7</f>
        <v>9.4214304136898395E+29</v>
      </c>
      <c r="O22" s="3">
        <f>O7</f>
        <v>6.3732121623682927</v>
      </c>
    </row>
    <row r="23" spans="1:15">
      <c r="A23" s="44" t="s">
        <v>93</v>
      </c>
      <c r="B23" s="20" t="e">
        <f>LognormPosterior(mu_far_future,sigma_far_future,B21:C21)*SIGN(B20)</f>
        <v>#VALUE!</v>
      </c>
      <c r="H23" s="3" t="s">
        <v>208</v>
      </c>
      <c r="I23">
        <f>VLOOKUP($H23,'EV of Far Future'!$K$3:$N$13,2,FALSE)</f>
        <v>8.9599999999999976E+36</v>
      </c>
      <c r="J23">
        <f>VLOOKUP($H23,'EV of Far Future'!$K$3:$N$13,3,FALSE)</f>
        <v>3.4812165842895157</v>
      </c>
      <c r="N23">
        <f>N15</f>
        <v>5.2457983186546567E+37</v>
      </c>
      <c r="O23">
        <f>O15</f>
        <v>5.3848731455995411</v>
      </c>
    </row>
    <row r="24" spans="1:15">
      <c r="H24" s="3" t="s">
        <v>72</v>
      </c>
      <c r="I24">
        <f>1/factory_farmed_animals</f>
        <v>5.0000000000000002E-11</v>
      </c>
      <c r="J24">
        <v>0</v>
      </c>
      <c r="M24" s="32" t="s">
        <v>193</v>
      </c>
      <c r="N24" s="33" t="str">
        <f>WriteArray(SumLognormDists(N19:O23))</f>
        <v>disabled</v>
      </c>
      <c r="O24" s="33" t="s">
        <v>172</v>
      </c>
    </row>
    <row r="25" spans="1:15">
      <c r="A25" s="8"/>
      <c r="B25" s="3"/>
      <c r="C25" s="3"/>
      <c r="D25" s="3"/>
      <c r="H25" s="3" t="s">
        <v>104</v>
      </c>
      <c r="I25">
        <f>$D$8</f>
        <v>626.99282292543035</v>
      </c>
      <c r="J25">
        <f>$E$8</f>
        <v>0.54378773604345199</v>
      </c>
      <c r="M25" s="3" t="s">
        <v>176</v>
      </c>
      <c r="N25" s="3" t="e">
        <f>STupidExcelMean(N24)</f>
        <v>#VALUE!</v>
      </c>
      <c r="O25" s="3" t="e">
        <f>STupidExcelVariance(N24,N25)</f>
        <v>#VALUE!</v>
      </c>
    </row>
    <row r="26" spans="1:15">
      <c r="A26" s="40" t="s">
        <v>91</v>
      </c>
      <c r="B26" s="4" t="e">
        <f>B22+I6</f>
        <v>#VALUE!</v>
      </c>
      <c r="C26" s="3"/>
      <c r="D26" s="3"/>
      <c r="H26" s="15" t="s">
        <v>58</v>
      </c>
      <c r="I26" s="14">
        <f>PRODUCT(I22:I25)</f>
        <v>1.2561907218253124E+28</v>
      </c>
      <c r="J26" s="14">
        <f>SUM(J22:J25)</f>
        <v>4.5326038702235341</v>
      </c>
      <c r="M26" s="3"/>
      <c r="N26" s="3"/>
      <c r="O26" s="3"/>
    </row>
    <row r="27" spans="1:15">
      <c r="A27" s="40" t="s">
        <v>92</v>
      </c>
      <c r="B27" s="4" t="e">
        <f>B23+I7</f>
        <v>#VALUE!</v>
      </c>
      <c r="D27" s="3"/>
      <c r="H27" s="3"/>
      <c r="I27" s="3"/>
      <c r="M27" s="3"/>
      <c r="N27" s="3"/>
      <c r="O27" s="3"/>
    </row>
    <row r="28" spans="1:15">
      <c r="D28" s="3"/>
      <c r="H28" s="3"/>
      <c r="I28" s="22"/>
      <c r="M28" s="3"/>
      <c r="N28" s="3"/>
      <c r="O28" s="3"/>
    </row>
    <row r="29" spans="1:15">
      <c r="H29" s="1" t="s">
        <v>90</v>
      </c>
      <c r="M29" s="3"/>
      <c r="N29" s="3"/>
      <c r="O29" s="3"/>
    </row>
    <row r="30" spans="1:15">
      <c r="I30" s="7" t="s">
        <v>181</v>
      </c>
      <c r="J30" s="7" t="s">
        <v>183</v>
      </c>
      <c r="M30" s="3"/>
      <c r="N30" s="22"/>
      <c r="O30" s="3"/>
    </row>
    <row r="31" spans="1:15">
      <c r="H31" s="3" t="s">
        <v>150</v>
      </c>
      <c r="I31" s="26">
        <f>VLOOKUP(H31,$A$10:$E$13,4,FALSE)</f>
        <v>2.2360679774997897E-2</v>
      </c>
      <c r="J31" s="26">
        <f>VLOOKUP(H31,$A$10:$E$13,5,FALSE)</f>
        <v>0.50759954989056688</v>
      </c>
      <c r="M31" s="13"/>
      <c r="N31" s="3"/>
      <c r="O31" s="3"/>
    </row>
    <row r="32" spans="1:15">
      <c r="H32" s="3" t="s">
        <v>209</v>
      </c>
      <c r="I32">
        <f>VLOOKUP($H32,'EV of Far Future'!$K$3:$N$13,2,FALSE)</f>
        <v>2.8334007835108666E+40</v>
      </c>
      <c r="J32">
        <f>VLOOKUP($H32,'EV of Far Future'!$K$3:$N$13,3,FALSE)</f>
        <v>4.1513686573257056</v>
      </c>
      <c r="M32" s="3"/>
      <c r="N32" s="31"/>
      <c r="O32" s="31"/>
    </row>
    <row r="33" spans="2:15">
      <c r="B33" s="3"/>
      <c r="H33" s="3" t="s">
        <v>72</v>
      </c>
      <c r="I33">
        <f>1/factory_farmed_animals</f>
        <v>5.0000000000000002E-11</v>
      </c>
      <c r="J33">
        <v>0</v>
      </c>
      <c r="M33" s="3"/>
      <c r="N33" s="26"/>
      <c r="O33" s="3"/>
    </row>
    <row r="34" spans="2:15">
      <c r="B34" s="3"/>
      <c r="H34" s="3" t="s">
        <v>104</v>
      </c>
      <c r="I34">
        <f>$D$8</f>
        <v>626.99282292543035</v>
      </c>
      <c r="J34">
        <f>$E$8</f>
        <v>0.54378773604345199</v>
      </c>
      <c r="M34" s="3"/>
      <c r="N34" s="3"/>
      <c r="O34" s="3"/>
    </row>
    <row r="35" spans="2:15">
      <c r="H35" s="15" t="s">
        <v>58</v>
      </c>
      <c r="I35" s="14">
        <f>PRODUCT(I31:I34)</f>
        <v>1.9862119282694878E+31</v>
      </c>
      <c r="J35" s="14">
        <f>SUM(J31:J34)</f>
        <v>5.2027559432597243</v>
      </c>
      <c r="M35" s="3"/>
      <c r="N35" s="3"/>
      <c r="O35" s="3"/>
    </row>
    <row r="36" spans="2:15">
      <c r="H36" s="3"/>
      <c r="I36" s="3"/>
      <c r="M36" s="3"/>
      <c r="N36" s="3"/>
      <c r="O36" s="3"/>
    </row>
    <row r="37" spans="2:15">
      <c r="H37" s="3"/>
      <c r="I37" s="22"/>
      <c r="M37" s="3"/>
      <c r="N37" s="3"/>
      <c r="O37" s="3"/>
    </row>
    <row r="38" spans="2:15">
      <c r="M38" s="3"/>
      <c r="N38" s="3"/>
      <c r="O38" s="3"/>
    </row>
    <row r="39" spans="2:15">
      <c r="M39" s="3"/>
      <c r="N39" s="3"/>
      <c r="O39" s="3"/>
    </row>
    <row r="40" spans="2:15">
      <c r="M40" s="3"/>
      <c r="N40" s="3"/>
      <c r="O40" s="3"/>
    </row>
    <row r="41" spans="2:15">
      <c r="M41" s="3"/>
      <c r="N41" s="3"/>
      <c r="O41" s="3"/>
    </row>
    <row r="42" spans="2:15">
      <c r="M42" s="3"/>
      <c r="N42" s="3"/>
      <c r="O42" s="3"/>
    </row>
    <row r="43" spans="2:15">
      <c r="M43" s="3"/>
      <c r="N43" s="3"/>
      <c r="O43" s="3"/>
    </row>
    <row r="44" spans="2:15">
      <c r="M44" s="3"/>
      <c r="N44" s="3"/>
      <c r="O44" s="3"/>
    </row>
    <row r="45" spans="2: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2"/>
  <sheetViews>
    <sheetView workbookViewId="0">
      <selection activeCell="K16" sqref="K16"/>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c r="A1" s="10" t="s">
        <v>119</v>
      </c>
      <c r="B1" t="s">
        <v>137</v>
      </c>
      <c r="G1" s="10" t="s">
        <v>116</v>
      </c>
      <c r="H1" t="s">
        <v>137</v>
      </c>
      <c r="M1" s="1"/>
    </row>
    <row r="2" spans="1:15">
      <c r="A2" s="70"/>
      <c r="B2" s="57" t="s">
        <v>0</v>
      </c>
      <c r="C2" s="57" t="s">
        <v>1</v>
      </c>
      <c r="D2" s="57" t="s">
        <v>181</v>
      </c>
      <c r="E2" s="57" t="s">
        <v>183</v>
      </c>
      <c r="H2" s="57" t="s">
        <v>0</v>
      </c>
      <c r="I2" s="57" t="s">
        <v>1</v>
      </c>
      <c r="J2" s="57" t="s">
        <v>181</v>
      </c>
      <c r="K2" s="57" t="s">
        <v>183</v>
      </c>
    </row>
    <row r="3" spans="1:15">
      <c r="A3" s="108" t="s">
        <v>112</v>
      </c>
      <c r="B3" s="109">
        <v>70000</v>
      </c>
      <c r="C3" s="109">
        <v>150000</v>
      </c>
      <c r="D3" s="57"/>
      <c r="E3" s="57"/>
      <c r="G3" s="55" t="s">
        <v>106</v>
      </c>
      <c r="H3" s="56">
        <v>0.03</v>
      </c>
      <c r="I3" s="56">
        <v>0.3</v>
      </c>
      <c r="J3" s="57">
        <f>GEOMEAN(H3,I3)</f>
        <v>9.4868329805051374E-2</v>
      </c>
      <c r="K3" s="57">
        <f>LogVariance(H3,I3)</f>
        <v>0.39015207303618948</v>
      </c>
      <c r="L3" t="s">
        <v>135</v>
      </c>
    </row>
    <row r="4" spans="1:15" ht="30">
      <c r="A4" s="70" t="s">
        <v>113</v>
      </c>
      <c r="B4" s="57">
        <f>1/C3</f>
        <v>6.6666666666666666E-6</v>
      </c>
      <c r="C4" s="57">
        <f>1/B3</f>
        <v>1.4285714285714285E-5</v>
      </c>
      <c r="D4" s="57">
        <f>GEOMEAN(B4,C4)</f>
        <v>9.7590007294853309E-6</v>
      </c>
      <c r="E4" s="57">
        <f>LogVariance(B4,C4)</f>
        <v>0.12913769056993327</v>
      </c>
      <c r="G4" s="59" t="s">
        <v>110</v>
      </c>
      <c r="H4" s="60">
        <v>200</v>
      </c>
      <c r="I4" s="60">
        <v>10000</v>
      </c>
      <c r="J4" s="57"/>
      <c r="K4" s="57"/>
    </row>
    <row r="5" spans="1:15" ht="30">
      <c r="G5" s="103" t="s">
        <v>145</v>
      </c>
      <c r="H5" s="102">
        <f>1/I4</f>
        <v>1E-4</v>
      </c>
      <c r="I5" s="102">
        <f>1/H4</f>
        <v>5.0000000000000001E-3</v>
      </c>
      <c r="J5" s="57">
        <f>GEOMEAN(H5,I5)</f>
        <v>7.0710678118654762E-4</v>
      </c>
      <c r="K5" s="57">
        <f>LogVariance(H5,I5)</f>
        <v>0.66285666921800146</v>
      </c>
    </row>
    <row r="6" spans="1:15" ht="30">
      <c r="G6" s="59" t="s">
        <v>107</v>
      </c>
      <c r="H6" s="60">
        <v>0.5</v>
      </c>
      <c r="I6" s="60">
        <v>3</v>
      </c>
      <c r="J6" s="57">
        <f>GEOMEAN(H6,I6)</f>
        <v>1.2247448713915889</v>
      </c>
      <c r="K6" s="57">
        <f>LogVariance(H6,I6)</f>
        <v>0.30359732347288149</v>
      </c>
    </row>
    <row r="7" spans="1:15" ht="30">
      <c r="G7" s="59" t="s">
        <v>108</v>
      </c>
      <c r="H7" s="60">
        <v>0.1</v>
      </c>
      <c r="I7" s="60">
        <v>0.7</v>
      </c>
      <c r="J7" s="57">
        <f>GEOMEAN(H7,I7)</f>
        <v>0.26457513110645903</v>
      </c>
      <c r="K7" s="57">
        <f>LogVariance(H7,I7)</f>
        <v>0.32971675223038288</v>
      </c>
      <c r="M7" s="26"/>
      <c r="N7" s="3"/>
      <c r="O7" s="3"/>
    </row>
    <row r="8" spans="1:15">
      <c r="G8" s="76" t="s">
        <v>120</v>
      </c>
      <c r="H8" s="104"/>
      <c r="I8" s="104"/>
      <c r="J8" s="57">
        <f>J3*J5*J6*J7*D4*1000</f>
        <v>2.1213203435596419E-7</v>
      </c>
      <c r="K8" s="57">
        <f>K3+K5+K6+K7+E4</f>
        <v>1.8154605085273885</v>
      </c>
      <c r="M8" s="3"/>
      <c r="N8" s="3"/>
      <c r="O8" s="3"/>
    </row>
    <row r="9" spans="1:15" ht="20">
      <c r="A9" s="39" t="s">
        <v>65</v>
      </c>
      <c r="G9" s="70"/>
      <c r="H9" s="57"/>
      <c r="I9" s="57"/>
      <c r="J9" s="57"/>
      <c r="K9" s="57"/>
      <c r="M9" s="3"/>
      <c r="N9" s="3" t="s">
        <v>163</v>
      </c>
      <c r="O9" s="3"/>
    </row>
    <row r="10" spans="1:15">
      <c r="A10" s="10" t="s">
        <v>128</v>
      </c>
      <c r="G10" s="70"/>
      <c r="H10" s="57"/>
      <c r="I10" s="57"/>
      <c r="J10" s="57"/>
      <c r="K10" s="57"/>
      <c r="M10" s="3"/>
      <c r="O10" s="3"/>
    </row>
    <row r="11" spans="1:15">
      <c r="A11" s="45" t="s">
        <v>195</v>
      </c>
      <c r="B11" s="46" t="e">
        <f>ParetoPosterior(median,alpha,H26:I26)</f>
        <v>#VALUE!</v>
      </c>
      <c r="G11" s="105" t="s">
        <v>117</v>
      </c>
      <c r="H11" s="67" t="s">
        <v>137</v>
      </c>
      <c r="I11" s="57"/>
      <c r="J11" s="57"/>
      <c r="K11" s="57"/>
      <c r="M11" s="3"/>
      <c r="N11" s="3"/>
      <c r="O11" s="3"/>
    </row>
    <row r="12" spans="1:15" ht="30">
      <c r="A12" s="45" t="s">
        <v>196</v>
      </c>
      <c r="B12" s="46" t="str">
        <f>LognormPosterior(mu_far_future,sigma_far_future,H26:I26)</f>
        <v>disabled</v>
      </c>
      <c r="G12" s="95"/>
      <c r="H12" s="90" t="s">
        <v>0</v>
      </c>
      <c r="I12" s="90" t="s">
        <v>1</v>
      </c>
      <c r="J12" s="57" t="s">
        <v>181</v>
      </c>
      <c r="K12" s="57" t="s">
        <v>183</v>
      </c>
      <c r="M12" s="3"/>
      <c r="N12" s="27"/>
      <c r="O12" s="27"/>
    </row>
    <row r="13" spans="1:15">
      <c r="A13" s="42"/>
      <c r="B13" s="41"/>
      <c r="G13" s="55" t="s">
        <v>109</v>
      </c>
      <c r="H13" s="63">
        <v>1000000</v>
      </c>
      <c r="I13" s="63">
        <v>1000000000</v>
      </c>
      <c r="J13" s="57">
        <f>GEOMEAN(H13,I13)</f>
        <v>31622776.601683792</v>
      </c>
      <c r="K13" s="57">
        <f>LogVariance(H13,I13)</f>
        <v>1.1704562191085683</v>
      </c>
      <c r="M13" s="3"/>
      <c r="N13" s="3"/>
      <c r="O13" s="3"/>
    </row>
    <row r="14" spans="1:15">
      <c r="G14" s="59" t="s">
        <v>111</v>
      </c>
      <c r="H14" s="60">
        <v>2000</v>
      </c>
      <c r="I14" s="60">
        <v>2000</v>
      </c>
      <c r="J14" s="57">
        <f>GEOMEAN(H14,I14)</f>
        <v>2000</v>
      </c>
      <c r="K14" s="57">
        <f>LogVariance(H14,I14)</f>
        <v>0</v>
      </c>
      <c r="M14" s="3"/>
      <c r="N14" s="3"/>
      <c r="O14" s="3"/>
    </row>
    <row r="15" spans="1:15">
      <c r="A15" s="23"/>
      <c r="B15" s="3"/>
      <c r="G15" s="101" t="s">
        <v>121</v>
      </c>
      <c r="H15" s="106">
        <f>1/I13</f>
        <v>1.0000000000000001E-9</v>
      </c>
      <c r="I15" s="106">
        <f>1/H13</f>
        <v>9.9999999999999995E-7</v>
      </c>
      <c r="J15" s="57">
        <f>GEOMEAN(H15,I15)</f>
        <v>3.1622776601683792E-8</v>
      </c>
      <c r="K15" s="57">
        <f>LogVariance(H15,I15)</f>
        <v>1.1704562191085683</v>
      </c>
      <c r="M15" s="26"/>
      <c r="N15" s="3"/>
      <c r="O15" s="3"/>
    </row>
    <row r="16" spans="1:15">
      <c r="A16" s="8"/>
      <c r="B16" s="3"/>
      <c r="G16" s="107" t="s">
        <v>120</v>
      </c>
      <c r="H16" s="104"/>
      <c r="I16" s="104"/>
      <c r="J16" s="57">
        <f>J14*J15*D4*1000</f>
        <v>6.1721339984836745E-7</v>
      </c>
      <c r="K16" s="57">
        <f>K14+K15+E4</f>
        <v>1.2995939096785016</v>
      </c>
      <c r="M16" s="3"/>
      <c r="O16" s="3"/>
    </row>
    <row r="17" spans="1:15">
      <c r="A17" s="8"/>
      <c r="B17" s="3"/>
      <c r="M17" s="3"/>
      <c r="O17" s="3"/>
    </row>
    <row r="18" spans="1:15">
      <c r="A18" s="8"/>
      <c r="B18" s="3"/>
      <c r="M18" s="3"/>
      <c r="N18" s="3"/>
      <c r="O18" s="3"/>
    </row>
    <row r="19" spans="1:15">
      <c r="A19" s="8"/>
      <c r="B19" s="3"/>
      <c r="G19" s="10" t="s">
        <v>123</v>
      </c>
      <c r="M19" s="3"/>
      <c r="N19" s="3"/>
      <c r="O19" s="3"/>
    </row>
    <row r="20" spans="1:15">
      <c r="A20" s="23"/>
      <c r="B20" s="3"/>
      <c r="G20" s="5" t="s">
        <v>120</v>
      </c>
      <c r="J20">
        <f>GEOMEAN(J8,J16)</f>
        <v>3.6184352162446591E-7</v>
      </c>
      <c r="K20">
        <f>MAX(K8,K16)</f>
        <v>1.8154605085273885</v>
      </c>
      <c r="L20" t="s">
        <v>122</v>
      </c>
      <c r="M20" s="3"/>
      <c r="N20" s="3"/>
      <c r="O20" s="3"/>
    </row>
    <row r="21" spans="1:15">
      <c r="A21" s="8"/>
      <c r="B21" s="3"/>
    </row>
    <row r="22" spans="1:15">
      <c r="A22" s="8"/>
      <c r="B22" s="3"/>
    </row>
    <row r="23" spans="1:15">
      <c r="H23" s="7" t="s">
        <v>181</v>
      </c>
      <c r="I23" s="7" t="s">
        <v>182</v>
      </c>
    </row>
    <row r="24" spans="1:15">
      <c r="G24" s="5" t="s">
        <v>120</v>
      </c>
      <c r="H24">
        <f>J20</f>
        <v>3.6184352162446591E-7</v>
      </c>
      <c r="I24">
        <f>K20</f>
        <v>1.8154605085273885</v>
      </c>
      <c r="J24" s="3"/>
      <c r="K24" s="3"/>
      <c r="L24" s="3"/>
      <c r="M24" s="3"/>
    </row>
    <row r="25" spans="1:15">
      <c r="G25" s="8" t="s">
        <v>118</v>
      </c>
      <c r="H25" t="e">
        <f>'EV of Far Future'!L18</f>
        <v>#VALUE!</v>
      </c>
      <c r="I25" t="e">
        <f>'EV of Far Future'!M18</f>
        <v>#VALUE!</v>
      </c>
      <c r="J25" s="3"/>
      <c r="K25" s="3"/>
      <c r="L25" s="3"/>
      <c r="M25" s="3"/>
    </row>
    <row r="26" spans="1:15">
      <c r="G26" s="17" t="s">
        <v>58</v>
      </c>
      <c r="H26" s="14" t="e">
        <f>PRODUCT(H24:H25)</f>
        <v>#VALUE!</v>
      </c>
      <c r="I26" s="14" t="e">
        <f>SUM(I24:I25)</f>
        <v>#VALUE!</v>
      </c>
      <c r="J26" s="3"/>
      <c r="K26" s="3"/>
      <c r="L26" s="3"/>
      <c r="M26" s="3"/>
    </row>
    <row r="27" spans="1:15">
      <c r="G27" s="8"/>
      <c r="H27" s="3"/>
      <c r="I27" s="3"/>
      <c r="J27" s="3"/>
      <c r="K27" s="3"/>
      <c r="L27" s="3"/>
      <c r="M27" s="3"/>
    </row>
    <row r="28" spans="1:15">
      <c r="G28" s="8"/>
      <c r="H28" s="3"/>
      <c r="I28" s="3"/>
      <c r="J28" s="3"/>
      <c r="K28" s="3"/>
      <c r="L28" s="3"/>
      <c r="M28" s="3"/>
    </row>
    <row r="29" spans="1:15">
      <c r="G29" s="8"/>
      <c r="H29" s="3"/>
      <c r="I29" s="3"/>
      <c r="J29" s="3"/>
      <c r="K29" s="3"/>
      <c r="L29" s="3"/>
      <c r="M29" s="3"/>
    </row>
    <row r="30" spans="1:15">
      <c r="G30" s="8"/>
      <c r="H30" s="3"/>
      <c r="I30" s="3"/>
      <c r="J30" s="3"/>
      <c r="K30" s="3"/>
      <c r="L30" s="3"/>
      <c r="M30" s="3"/>
    </row>
    <row r="31" spans="1:15">
      <c r="G31" s="8"/>
      <c r="H31" s="3"/>
      <c r="I31" s="3"/>
      <c r="J31" s="3"/>
      <c r="K31" s="3"/>
      <c r="L31" s="3"/>
      <c r="M31" s="3"/>
    </row>
    <row r="32" spans="1:15">
      <c r="G32" s="8"/>
      <c r="H32" s="3"/>
      <c r="I32" s="3"/>
      <c r="J32" s="3"/>
      <c r="K32" s="3"/>
      <c r="L32" s="3"/>
      <c r="M32"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2"/>
  <sheetViews>
    <sheetView tabSelected="1" workbookViewId="0">
      <selection activeCell="E9" sqref="E9"/>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136</v>
      </c>
      <c r="H1" s="1" t="s">
        <v>155</v>
      </c>
    </row>
    <row r="2" spans="1:10">
      <c r="B2" s="57" t="s">
        <v>0</v>
      </c>
      <c r="C2" s="57" t="s">
        <v>1</v>
      </c>
      <c r="D2" s="57" t="s">
        <v>181</v>
      </c>
      <c r="E2" s="57" t="s">
        <v>183</v>
      </c>
      <c r="I2" t="s">
        <v>181</v>
      </c>
      <c r="J2" s="57" t="s">
        <v>183</v>
      </c>
    </row>
    <row r="3" spans="1:10">
      <c r="A3" s="111" t="s">
        <v>139</v>
      </c>
      <c r="B3" s="56">
        <v>0.1</v>
      </c>
      <c r="C3" s="56">
        <v>0.5</v>
      </c>
      <c r="D3" s="90">
        <f>GEOMEAN(B3,C3)</f>
        <v>0.22360679774997896</v>
      </c>
      <c r="E3" s="90">
        <f>LogVariance(B3,C3)</f>
        <v>0.27270459618181209</v>
      </c>
      <c r="H3" t="s">
        <v>206</v>
      </c>
      <c r="I3">
        <f>VLOOKUP(H3,'EV of Far Future'!$K$3:$M$13,2,FALSE)</f>
        <v>6.3245553203367595E+46</v>
      </c>
      <c r="J3">
        <f>VLOOKUP(H3,'EV of Far Future'!$K$3:$M$13,3,FALSE)</f>
        <v>4.5113686573257059</v>
      </c>
    </row>
    <row r="4" spans="1:10" ht="30">
      <c r="A4" s="112" t="s">
        <v>144</v>
      </c>
      <c r="B4" s="60">
        <v>0.2</v>
      </c>
      <c r="C4" s="60">
        <v>0.8</v>
      </c>
      <c r="D4" s="90">
        <f>GEOMEAN(B4,C4)</f>
        <v>0.4</v>
      </c>
      <c r="E4" s="90">
        <f>LogVariance(B4,C4)</f>
        <v>0.23489495370875477</v>
      </c>
      <c r="H4" t="s">
        <v>207</v>
      </c>
      <c r="I4">
        <f>VLOOKUP(H4,'EV of Far Future'!$K$3:$M$13,2,FALSE)</f>
        <v>1.5811388300841899E+46</v>
      </c>
      <c r="J4">
        <f>VLOOKUP(H4,'EV of Far Future'!$K$3:$M$13,3,FALSE)</f>
        <v>4.5113686573257059</v>
      </c>
    </row>
    <row r="5" spans="1:10" ht="30">
      <c r="A5" s="103" t="s">
        <v>145</v>
      </c>
      <c r="B5" s="102">
        <f>VLOOKUP(A5,'AI Safety'!G3:I8,2,FALSE)</f>
        <v>1E-4</v>
      </c>
      <c r="C5" s="102">
        <f>VLOOKUP(A5,'AI Safety'!G3:I8,3,FALSE)</f>
        <v>5.0000000000000001E-3</v>
      </c>
      <c r="D5" s="90">
        <f>GEOMEAN(B5,C5)</f>
        <v>7.0710678118654762E-4</v>
      </c>
      <c r="E5" s="90">
        <f>LogVariance(B5,C5)</f>
        <v>0.66285666921800146</v>
      </c>
      <c r="H5" t="s">
        <v>211</v>
      </c>
      <c r="I5">
        <f>VLOOKUP(H5,'EV of Far Future'!$K$3:$M$13,2,FALSE)</f>
        <v>2.6563132345414381E+34</v>
      </c>
      <c r="J5">
        <f>VLOOKUP(H5,'EV of Far Future'!$K$3:$M$13,3,FALSE)</f>
        <v>2.8210645112533266</v>
      </c>
    </row>
    <row r="6" spans="1:10" ht="30">
      <c r="A6" s="59" t="s">
        <v>142</v>
      </c>
      <c r="B6" s="60">
        <v>0.5</v>
      </c>
      <c r="C6" s="60">
        <v>5</v>
      </c>
      <c r="D6" s="90">
        <f>GEOMEAN(B6,C6)</f>
        <v>1.5811388300841898</v>
      </c>
      <c r="E6" s="90">
        <f>LogVariance(B6,C6)</f>
        <v>0.39015207303618948</v>
      </c>
      <c r="H6" t="s">
        <v>208</v>
      </c>
      <c r="I6">
        <f>VLOOKUP(H6,'EV of Far Future'!$K$3:$M$13,2,FALSE)</f>
        <v>8.9599999999999976E+36</v>
      </c>
      <c r="J6">
        <f>VLOOKUP(H6,'EV of Far Future'!$K$3:$M$13,3,FALSE)</f>
        <v>3.4812165842895157</v>
      </c>
    </row>
    <row r="7" spans="1:10" ht="45">
      <c r="A7" s="59" t="s">
        <v>143</v>
      </c>
      <c r="B7" s="60">
        <v>1000</v>
      </c>
      <c r="C7" s="60">
        <v>100000</v>
      </c>
      <c r="D7" s="90"/>
      <c r="E7" s="90"/>
      <c r="H7" t="s">
        <v>209</v>
      </c>
      <c r="I7">
        <f>VLOOKUP(H7,'EV of Far Future'!$K$3:$M$13,2,FALSE)</f>
        <v>2.8334007835108666E+40</v>
      </c>
      <c r="J7">
        <f>VLOOKUP(H7,'EV of Far Future'!$K$3:$M$13,3,FALSE)</f>
        <v>4.1513686573257056</v>
      </c>
    </row>
    <row r="8" spans="1:10">
      <c r="A8" s="101" t="s">
        <v>147</v>
      </c>
      <c r="B8" s="102">
        <f>1000/C7</f>
        <v>0.01</v>
      </c>
      <c r="C8" s="102">
        <f>1000/B7</f>
        <v>1</v>
      </c>
      <c r="D8" s="90">
        <f>GEOMEAN(B8,C8)</f>
        <v>0.1</v>
      </c>
      <c r="E8" s="90">
        <f>LogVariance(B8,C8)</f>
        <v>0.78030414607237897</v>
      </c>
      <c r="H8" t="s">
        <v>210</v>
      </c>
      <c r="I8">
        <f>VLOOKUP(H8,'EV of Far Future'!$K$3:$M$13,2,FALSE)</f>
        <v>6.7199999999999966E+38</v>
      </c>
      <c r="J8">
        <f>VLOOKUP(H8,'EV of Far Future'!$K$3:$M$13,3,FALSE)</f>
        <v>5.3218248764342739</v>
      </c>
    </row>
    <row r="9" spans="1:10" ht="45">
      <c r="A9" s="101" t="s">
        <v>148</v>
      </c>
      <c r="B9" s="102"/>
      <c r="C9" s="102"/>
      <c r="D9" s="90">
        <f>PRODUCT(D3:D6)*D8</f>
        <v>1.0000000000000003E-5</v>
      </c>
      <c r="E9" s="90">
        <f>SUM(E3:E6)+E8</f>
        <v>2.3409124382171367</v>
      </c>
    </row>
    <row r="10" spans="1:10">
      <c r="A10" s="101"/>
      <c r="B10" s="102"/>
      <c r="C10" s="102"/>
      <c r="D10" s="90"/>
      <c r="E10" s="90"/>
      <c r="H10" s="15" t="s">
        <v>205</v>
      </c>
      <c r="I10" s="14">
        <f>D11*I3</f>
        <v>2.0000000000000002E+45</v>
      </c>
      <c r="J10" s="14">
        <f>E11+J3</f>
        <v>4.9015207303618951</v>
      </c>
    </row>
    <row r="11" spans="1:10" ht="45">
      <c r="A11" s="59" t="s">
        <v>200</v>
      </c>
      <c r="B11" s="60">
        <v>0.01</v>
      </c>
      <c r="C11" s="60">
        <v>0.1</v>
      </c>
      <c r="D11" s="90">
        <f t="shared" ref="D11:D16" si="0">GEOMEAN(B11,C11)</f>
        <v>3.1622776601683791E-2</v>
      </c>
      <c r="E11" s="90">
        <f t="shared" ref="E11:E16" si="1">LogVariance(B11,C11)</f>
        <v>0.39015207303618948</v>
      </c>
      <c r="H11" s="15" t="s">
        <v>151</v>
      </c>
      <c r="I11" s="14">
        <f t="shared" ref="I11:I15" si="2">D12*I4</f>
        <v>5.0000000000000004E+44</v>
      </c>
      <c r="J11" s="14">
        <f t="shared" ref="J11:J15" si="3">E12+J4</f>
        <v>4.9015207303618951</v>
      </c>
    </row>
    <row r="12" spans="1:10" ht="45">
      <c r="A12" s="59" t="s">
        <v>141</v>
      </c>
      <c r="B12" s="60">
        <v>0.01</v>
      </c>
      <c r="C12" s="60">
        <v>0.1</v>
      </c>
      <c r="D12" s="90">
        <f t="shared" si="0"/>
        <v>3.1622776601683791E-2</v>
      </c>
      <c r="E12" s="90">
        <f t="shared" si="1"/>
        <v>0.39015207303618948</v>
      </c>
      <c r="H12" s="15" t="s">
        <v>217</v>
      </c>
      <c r="I12" s="14">
        <f t="shared" si="2"/>
        <v>2.6563132345414381E+34</v>
      </c>
      <c r="J12" s="14">
        <f t="shared" si="3"/>
        <v>2.8210645112533266</v>
      </c>
    </row>
    <row r="13" spans="1:10" ht="60">
      <c r="A13" s="59" t="s">
        <v>216</v>
      </c>
      <c r="B13" s="60">
        <v>1</v>
      </c>
      <c r="C13" s="60">
        <v>1</v>
      </c>
      <c r="D13" s="90">
        <f t="shared" si="0"/>
        <v>1</v>
      </c>
      <c r="E13" s="90">
        <f t="shared" si="1"/>
        <v>0</v>
      </c>
      <c r="H13" s="15" t="s">
        <v>152</v>
      </c>
      <c r="I13" s="14">
        <f t="shared" si="2"/>
        <v>1.7919999999999998E+36</v>
      </c>
      <c r="J13" s="14">
        <f t="shared" si="3"/>
        <v>3.7161115379982705</v>
      </c>
    </row>
    <row r="14" spans="1:10" ht="30">
      <c r="A14" s="59" t="s">
        <v>149</v>
      </c>
      <c r="B14" s="60">
        <v>0.1</v>
      </c>
      <c r="C14" s="60">
        <v>0.4</v>
      </c>
      <c r="D14" s="90">
        <f t="shared" si="0"/>
        <v>0.2</v>
      </c>
      <c r="E14" s="90">
        <f t="shared" si="1"/>
        <v>0.23489495370875477</v>
      </c>
      <c r="H14" s="15" t="s">
        <v>153</v>
      </c>
      <c r="I14" s="14">
        <f t="shared" si="2"/>
        <v>2.833400783510867E+39</v>
      </c>
      <c r="J14" s="14">
        <f t="shared" si="3"/>
        <v>4.3862636110344599</v>
      </c>
    </row>
    <row r="15" spans="1:10" ht="30">
      <c r="A15" s="59" t="s">
        <v>150</v>
      </c>
      <c r="B15" s="60">
        <v>0.05</v>
      </c>
      <c r="C15" s="60">
        <v>0.2</v>
      </c>
      <c r="D15" s="90">
        <f t="shared" si="0"/>
        <v>0.1</v>
      </c>
      <c r="E15" s="90">
        <f t="shared" si="1"/>
        <v>0.23489495370875477</v>
      </c>
      <c r="H15" s="15" t="s">
        <v>154</v>
      </c>
      <c r="I15" s="14">
        <f t="shared" si="2"/>
        <v>6.7199999999999973E+37</v>
      </c>
      <c r="J15" s="14">
        <f t="shared" si="3"/>
        <v>5.5567198301430283</v>
      </c>
    </row>
    <row r="16" spans="1:10" ht="30">
      <c r="A16" s="59" t="s">
        <v>140</v>
      </c>
      <c r="B16" s="60">
        <v>0.05</v>
      </c>
      <c r="C16" s="60">
        <v>0.2</v>
      </c>
      <c r="D16" s="90">
        <f t="shared" si="0"/>
        <v>0.1</v>
      </c>
      <c r="E16" s="90">
        <f t="shared" si="1"/>
        <v>0.23489495370875477</v>
      </c>
      <c r="H16" s="32" t="s">
        <v>193</v>
      </c>
      <c r="I16" s="33" t="str">
        <f>WriteArray(SumLognormDists(I11:J15))</f>
        <v>disabled</v>
      </c>
      <c r="J16" s="33" t="s">
        <v>172</v>
      </c>
    </row>
    <row r="17" spans="1:12">
      <c r="H17" s="3" t="s">
        <v>176</v>
      </c>
      <c r="I17" s="3" t="e">
        <f>STupidExcelMean(I16)</f>
        <v>#VALUE!</v>
      </c>
      <c r="J17" s="3" t="e">
        <f>STupidExcelVariance(I16,I17)</f>
        <v>#VALUE!</v>
      </c>
      <c r="K17" s="3"/>
      <c r="L17" s="3"/>
    </row>
    <row r="18" spans="1:12">
      <c r="H18" s="15" t="s">
        <v>188</v>
      </c>
      <c r="I18" s="14" t="e">
        <f>EXP(MuFromParams(ABS(I17),J17))</f>
        <v>#VALUE!</v>
      </c>
      <c r="J18" s="14" t="e">
        <f>(SigmaFromParams(I17,J17) / LN(10))^2</f>
        <v>#VALUE!</v>
      </c>
      <c r="K18" s="3"/>
      <c r="L18" s="3"/>
    </row>
    <row r="19" spans="1:12">
      <c r="K19" s="3"/>
      <c r="L19" s="3"/>
    </row>
    <row r="20" spans="1:12" ht="20">
      <c r="A20" s="6" t="s">
        <v>65</v>
      </c>
      <c r="K20" s="3"/>
      <c r="L20" s="3"/>
    </row>
    <row r="21" spans="1:12">
      <c r="A21" s="16" t="s">
        <v>195</v>
      </c>
      <c r="B21" s="30" t="e">
        <f>ParetoPosterior(median,alpha,I18:J18)</f>
        <v>#VALUE!</v>
      </c>
      <c r="K21" s="3"/>
      <c r="L21" s="3"/>
    </row>
    <row r="22" spans="1:12">
      <c r="A22" s="16" t="s">
        <v>197</v>
      </c>
      <c r="B22" s="30" t="str">
        <f>LognormPosterior(mu_far_future,sigma_far_future,I18:J18)</f>
        <v>disabled</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Summary</vt:lpstr>
      <vt:lpstr>Globals</vt:lpstr>
      <vt:lpstr>EV of Far Future</vt:lpstr>
      <vt:lpstr>GiveDirectly</vt:lpstr>
      <vt:lpstr>THL</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2016-04-09T00:29:40Z</dcterms:modified>
</cp:coreProperties>
</file>