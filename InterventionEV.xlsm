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260" tabRatio="500"/>
  </bookViews>
  <sheets>
    <sheet name="Summary" sheetId="7" r:id="rId1"/>
    <sheet name="Globals" sheetId="2" r:id="rId2"/>
    <sheet name="EV of Far Future" sheetId="3" r:id="rId3"/>
    <sheet name="GiveDirectly" sheetId="5" r:id="rId4"/>
    <sheet name="THL" sheetId="1" r:id="rId5"/>
    <sheet name="Cage-Free" sheetId="12" r:id="rId6"/>
    <sheet name="AI Safety" sheetId="6" r:id="rId7"/>
    <sheet name="AI Targeted Values Spreading" sheetId="10" r:id="rId8"/>
    <sheet name="GiveWell Analyst" sheetId="13" r:id="rId9"/>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K4" i="7" l="1"/>
  <c r="G5" i="5"/>
  <c r="F4" i="2"/>
  <c r="I7" i="12"/>
  <c r="I7" i="1"/>
  <c r="G4" i="2"/>
  <c r="B27" i="1"/>
  <c r="K5" i="7"/>
  <c r="B27" i="5"/>
  <c r="B31" i="5"/>
  <c r="C3" i="7"/>
  <c r="G11" i="7"/>
  <c r="B26" i="5"/>
  <c r="G4" i="5"/>
  <c r="B30" i="5"/>
  <c r="B3" i="7"/>
  <c r="F11" i="7"/>
  <c r="K3" i="7"/>
  <c r="G17" i="7"/>
  <c r="G16" i="7"/>
  <c r="I4" i="7"/>
  <c r="H4" i="7"/>
  <c r="H3" i="5"/>
  <c r="D4" i="2"/>
  <c r="C36" i="13"/>
  <c r="K7" i="6"/>
  <c r="K8" i="6"/>
  <c r="K20" i="6"/>
  <c r="I24" i="6"/>
  <c r="I26" i="6"/>
  <c r="J7" i="6"/>
  <c r="J8" i="6"/>
  <c r="J20" i="6"/>
  <c r="H24" i="6"/>
  <c r="H26" i="6"/>
  <c r="B12" i="6"/>
  <c r="C5" i="7"/>
  <c r="G14" i="7"/>
  <c r="E22" i="7"/>
  <c r="D22" i="7"/>
  <c r="G22" i="7"/>
  <c r="E23" i="7"/>
  <c r="D23" i="7"/>
  <c r="G23" i="7"/>
  <c r="G18" i="7"/>
  <c r="G19" i="7"/>
  <c r="G20" i="7"/>
  <c r="G21" i="7"/>
  <c r="B31" i="1"/>
  <c r="C4" i="7"/>
  <c r="G12" i="7"/>
  <c r="K6" i="7"/>
  <c r="G13" i="7"/>
  <c r="I18" i="13"/>
  <c r="I19" i="13"/>
  <c r="I39" i="13"/>
  <c r="I20" i="13"/>
  <c r="I40" i="13"/>
  <c r="I21" i="13"/>
  <c r="I41" i="13"/>
  <c r="I44" i="13"/>
  <c r="I47" i="13"/>
  <c r="J47" i="13"/>
  <c r="I50" i="13"/>
  <c r="B25" i="13"/>
  <c r="J50" i="13"/>
  <c r="C25" i="13"/>
  <c r="I30" i="13"/>
  <c r="I31" i="13"/>
  <c r="I32" i="13"/>
  <c r="I45" i="13"/>
  <c r="I48" i="13"/>
  <c r="J48" i="13"/>
  <c r="I51" i="13"/>
  <c r="B26" i="13"/>
  <c r="J51" i="13"/>
  <c r="C26" i="13"/>
  <c r="I22" i="13"/>
  <c r="I33" i="13"/>
  <c r="I23" i="13"/>
  <c r="I34" i="13"/>
  <c r="I24" i="13"/>
  <c r="I35" i="13"/>
  <c r="I25" i="13"/>
  <c r="I36" i="13"/>
  <c r="I46" i="13"/>
  <c r="I49" i="13"/>
  <c r="J49" i="13"/>
  <c r="I52" i="13"/>
  <c r="B27" i="13"/>
  <c r="J52" i="13"/>
  <c r="C27" i="13"/>
  <c r="B28" i="13"/>
  <c r="B29" i="13"/>
  <c r="C29" i="13"/>
  <c r="C30" i="13"/>
  <c r="B30" i="13"/>
  <c r="B31" i="13"/>
  <c r="D36" i="13"/>
  <c r="C37" i="13"/>
  <c r="I9" i="1"/>
  <c r="I6" i="1"/>
  <c r="J5" i="7"/>
  <c r="J3" i="7"/>
  <c r="I6" i="12"/>
  <c r="J6" i="7"/>
  <c r="I16" i="10"/>
  <c r="D10" i="1"/>
  <c r="L6" i="3"/>
  <c r="L15" i="3"/>
  <c r="I13" i="1"/>
  <c r="D11" i="1"/>
  <c r="E11" i="1"/>
  <c r="D12" i="1"/>
  <c r="I15" i="1"/>
  <c r="I16" i="1"/>
  <c r="N19" i="1"/>
  <c r="J13" i="1"/>
  <c r="E12" i="1"/>
  <c r="J15" i="1"/>
  <c r="J16" i="1"/>
  <c r="O19" i="1"/>
  <c r="I25" i="1"/>
  <c r="I26" i="1"/>
  <c r="N20" i="1"/>
  <c r="J25" i="1"/>
  <c r="J26" i="1"/>
  <c r="O20" i="1"/>
  <c r="I34" i="1"/>
  <c r="I35" i="1"/>
  <c r="N21" i="1"/>
  <c r="J34" i="1"/>
  <c r="J35" i="1"/>
  <c r="O21" i="1"/>
  <c r="N6" i="1"/>
  <c r="N7" i="1"/>
  <c r="N22" i="1"/>
  <c r="O6" i="1"/>
  <c r="O7" i="1"/>
  <c r="O22" i="1"/>
  <c r="N14" i="1"/>
  <c r="N15" i="1"/>
  <c r="N23" i="1"/>
  <c r="O14" i="1"/>
  <c r="O15" i="1"/>
  <c r="O23" i="1"/>
  <c r="N24" i="1"/>
  <c r="L16" i="3"/>
  <c r="M16" i="3"/>
  <c r="L7" i="3"/>
  <c r="M7" i="3"/>
  <c r="M18" i="3"/>
  <c r="L18" i="3"/>
  <c r="L19" i="3"/>
  <c r="L13" i="5"/>
  <c r="L14" i="5"/>
  <c r="L25" i="5"/>
  <c r="M19" i="3"/>
  <c r="M13" i="5"/>
  <c r="M14" i="5"/>
  <c r="M25" i="5"/>
  <c r="L27" i="5"/>
  <c r="N25" i="1"/>
  <c r="O25" i="1"/>
  <c r="C24" i="1"/>
  <c r="B24" i="1"/>
  <c r="C25" i="1"/>
  <c r="B25" i="1"/>
  <c r="P36" i="2"/>
  <c r="H3" i="3"/>
  <c r="P37" i="2"/>
  <c r="H4" i="3"/>
  <c r="P41" i="2"/>
  <c r="H26" i="3"/>
  <c r="H26" i="2"/>
  <c r="J26" i="2"/>
  <c r="L26" i="2"/>
  <c r="H27" i="3"/>
  <c r="H28" i="3"/>
  <c r="M11" i="3"/>
  <c r="G3" i="3"/>
  <c r="G4" i="3"/>
  <c r="G26" i="3"/>
  <c r="G27" i="3"/>
  <c r="G28" i="3"/>
  <c r="O11" i="3"/>
  <c r="L11" i="3"/>
  <c r="G14" i="3"/>
  <c r="G15" i="3"/>
  <c r="G16" i="3"/>
  <c r="O9" i="3"/>
  <c r="L9" i="3"/>
  <c r="P39" i="2"/>
  <c r="H14" i="3"/>
  <c r="H23" i="2"/>
  <c r="J23" i="2"/>
  <c r="L23" i="2"/>
  <c r="H15" i="3"/>
  <c r="H16" i="3"/>
  <c r="M9" i="3"/>
  <c r="G20" i="3"/>
  <c r="G21" i="3"/>
  <c r="G22" i="3"/>
  <c r="O10" i="3"/>
  <c r="L10" i="3"/>
  <c r="P40" i="2"/>
  <c r="H20" i="3"/>
  <c r="H25" i="2"/>
  <c r="J25" i="2"/>
  <c r="L25" i="2"/>
  <c r="H21" i="3"/>
  <c r="H22" i="3"/>
  <c r="M10" i="3"/>
  <c r="G32" i="3"/>
  <c r="G33" i="3"/>
  <c r="G34" i="3"/>
  <c r="G35" i="3"/>
  <c r="O12" i="3"/>
  <c r="L12" i="3"/>
  <c r="H32" i="3"/>
  <c r="P42" i="2"/>
  <c r="H33" i="3"/>
  <c r="H34" i="3"/>
  <c r="H35" i="3"/>
  <c r="M12" i="3"/>
  <c r="B3" i="3"/>
  <c r="B4" i="3"/>
  <c r="B5" i="3"/>
  <c r="B6" i="3"/>
  <c r="B10" i="3"/>
  <c r="B11" i="3"/>
  <c r="O4" i="3"/>
  <c r="L4" i="3"/>
  <c r="L36" i="2"/>
  <c r="C3" i="3"/>
  <c r="L37" i="2"/>
  <c r="C4" i="3"/>
  <c r="L38" i="2"/>
  <c r="C5" i="3"/>
  <c r="L39" i="2"/>
  <c r="C6" i="3"/>
  <c r="H27" i="2"/>
  <c r="J27" i="2"/>
  <c r="L27" i="2"/>
  <c r="C10" i="3"/>
  <c r="C11" i="3"/>
  <c r="M4" i="3"/>
  <c r="K9" i="13"/>
  <c r="K10" i="13"/>
  <c r="E16" i="7"/>
  <c r="I14" i="1"/>
  <c r="D8" i="1"/>
  <c r="E4" i="1"/>
  <c r="E5" i="1"/>
  <c r="E6" i="1"/>
  <c r="E8" i="1"/>
  <c r="E7" i="1"/>
  <c r="E9" i="1"/>
  <c r="I22" i="1"/>
  <c r="I23" i="1"/>
  <c r="I24" i="1"/>
  <c r="E14" i="1"/>
  <c r="J22" i="1"/>
  <c r="J23" i="1"/>
  <c r="I31" i="1"/>
  <c r="I32" i="1"/>
  <c r="I33" i="1"/>
  <c r="E15" i="1"/>
  <c r="J31" i="1"/>
  <c r="J32" i="1"/>
  <c r="N3" i="1"/>
  <c r="N4" i="1"/>
  <c r="N5" i="1"/>
  <c r="E16" i="1"/>
  <c r="O3" i="1"/>
  <c r="O4" i="1"/>
  <c r="N11" i="1"/>
  <c r="N12" i="1"/>
  <c r="N13" i="1"/>
  <c r="L9" i="13"/>
  <c r="L4" i="13"/>
  <c r="L5" i="13"/>
  <c r="L6" i="13"/>
  <c r="L10" i="13"/>
  <c r="K11" i="13"/>
  <c r="L7" i="13"/>
  <c r="L11" i="13"/>
  <c r="K12" i="13"/>
  <c r="I25" i="6"/>
  <c r="H25" i="6"/>
  <c r="L8" i="13"/>
  <c r="L12" i="13"/>
  <c r="D43" i="13"/>
  <c r="C43" i="13"/>
  <c r="B43" i="13"/>
  <c r="J4" i="13"/>
  <c r="I4" i="13"/>
  <c r="K7" i="13"/>
  <c r="K4" i="13"/>
  <c r="K5" i="13"/>
  <c r="K8" i="13"/>
  <c r="K6" i="13"/>
  <c r="D17" i="13"/>
  <c r="E17" i="13"/>
  <c r="J39" i="13"/>
  <c r="D18" i="13"/>
  <c r="E18" i="13"/>
  <c r="J40" i="13"/>
  <c r="D19" i="13"/>
  <c r="E19" i="13"/>
  <c r="J41" i="13"/>
  <c r="D7" i="13"/>
  <c r="E7" i="13"/>
  <c r="J30" i="13"/>
  <c r="D8" i="13"/>
  <c r="E8" i="13"/>
  <c r="J31" i="13"/>
  <c r="D9" i="13"/>
  <c r="E9" i="13"/>
  <c r="J32" i="13"/>
  <c r="D10" i="13"/>
  <c r="E10" i="13"/>
  <c r="J33" i="13"/>
  <c r="D11" i="13"/>
  <c r="E11" i="13"/>
  <c r="J34" i="13"/>
  <c r="D12" i="13"/>
  <c r="E12" i="13"/>
  <c r="J35" i="13"/>
  <c r="D13" i="13"/>
  <c r="E13" i="13"/>
  <c r="J36" i="13"/>
  <c r="L3" i="13"/>
  <c r="K3" i="13"/>
  <c r="I3" i="7"/>
  <c r="H3" i="7"/>
  <c r="O12" i="1"/>
  <c r="E17" i="1"/>
  <c r="O11" i="1"/>
  <c r="J4" i="1"/>
  <c r="J3" i="1"/>
  <c r="J5" i="1"/>
  <c r="I4" i="1"/>
  <c r="I5" i="1"/>
  <c r="H24" i="2"/>
  <c r="J24" i="2"/>
  <c r="L24" i="2"/>
  <c r="J4" i="12"/>
  <c r="E4" i="12"/>
  <c r="E5" i="12"/>
  <c r="E6" i="12"/>
  <c r="E7" i="12"/>
  <c r="E8" i="12"/>
  <c r="E9" i="12"/>
  <c r="J3" i="12"/>
  <c r="J5" i="12"/>
  <c r="I6" i="7"/>
  <c r="I4" i="12"/>
  <c r="I5" i="12"/>
  <c r="H6" i="7"/>
  <c r="B20" i="3"/>
  <c r="B21" i="3"/>
  <c r="O13" i="3"/>
  <c r="L13" i="3"/>
  <c r="H29" i="2"/>
  <c r="J29" i="2"/>
  <c r="L29" i="2"/>
  <c r="C20" i="3"/>
  <c r="C21" i="3"/>
  <c r="M13" i="3"/>
  <c r="B25" i="3"/>
  <c r="B26" i="3"/>
  <c r="O14" i="3"/>
  <c r="L14" i="3"/>
  <c r="H30" i="2"/>
  <c r="J30" i="2"/>
  <c r="L30" i="2"/>
  <c r="C25" i="3"/>
  <c r="C26" i="3"/>
  <c r="M14" i="3"/>
  <c r="G8" i="3"/>
  <c r="G9" i="3"/>
  <c r="G10" i="3"/>
  <c r="O3" i="3"/>
  <c r="L3" i="3"/>
  <c r="P38" i="2"/>
  <c r="H8" i="3"/>
  <c r="H21" i="2"/>
  <c r="J21" i="2"/>
  <c r="L21" i="2"/>
  <c r="H9" i="3"/>
  <c r="H10" i="3"/>
  <c r="M3" i="3"/>
  <c r="B15" i="3"/>
  <c r="B16" i="3"/>
  <c r="O5" i="3"/>
  <c r="L5" i="3"/>
  <c r="H28" i="2"/>
  <c r="J28" i="2"/>
  <c r="L28" i="2"/>
  <c r="C15" i="3"/>
  <c r="C16" i="3"/>
  <c r="M5" i="3"/>
  <c r="K3" i="6"/>
  <c r="K5" i="6"/>
  <c r="K6" i="6"/>
  <c r="E4" i="6"/>
  <c r="K14" i="6"/>
  <c r="K15" i="6"/>
  <c r="K16" i="6"/>
  <c r="D16" i="7"/>
  <c r="E17" i="7"/>
  <c r="D17" i="7"/>
  <c r="E18" i="7"/>
  <c r="D18" i="7"/>
  <c r="E19" i="7"/>
  <c r="D19" i="7"/>
  <c r="E20" i="7"/>
  <c r="D20" i="7"/>
  <c r="E21" i="7"/>
  <c r="D21" i="7"/>
  <c r="I3" i="10"/>
  <c r="I10" i="10"/>
  <c r="J3" i="10"/>
  <c r="E13" i="10"/>
  <c r="J10" i="10"/>
  <c r="I4" i="10"/>
  <c r="I11" i="10"/>
  <c r="J4" i="10"/>
  <c r="E14" i="10"/>
  <c r="J11" i="10"/>
  <c r="I5" i="10"/>
  <c r="I12" i="10"/>
  <c r="J5" i="10"/>
  <c r="E15" i="10"/>
  <c r="J12" i="10"/>
  <c r="I6" i="10"/>
  <c r="I13" i="10"/>
  <c r="J6" i="10"/>
  <c r="E16" i="10"/>
  <c r="J13" i="10"/>
  <c r="I7" i="10"/>
  <c r="I14" i="10"/>
  <c r="J7" i="10"/>
  <c r="E17" i="10"/>
  <c r="J14" i="10"/>
  <c r="I8" i="10"/>
  <c r="I15" i="10"/>
  <c r="J8" i="10"/>
  <c r="E18" i="10"/>
  <c r="J15" i="10"/>
  <c r="I17" i="10"/>
  <c r="J17" i="10"/>
  <c r="J18" i="10"/>
  <c r="I18" i="10"/>
  <c r="B24" i="10"/>
  <c r="C6" i="7"/>
  <c r="G15" i="7"/>
  <c r="B23" i="10"/>
  <c r="B6" i="7"/>
  <c r="F15" i="7"/>
  <c r="B11" i="6"/>
  <c r="B5" i="7"/>
  <c r="F14" i="7"/>
  <c r="F13" i="7"/>
  <c r="B26" i="1"/>
  <c r="B30" i="1"/>
  <c r="B4" i="7"/>
  <c r="F12" i="7"/>
  <c r="F16" i="7"/>
  <c r="F17" i="7"/>
  <c r="F18" i="7"/>
  <c r="F19" i="7"/>
  <c r="F20" i="7"/>
  <c r="F21" i="7"/>
  <c r="F22" i="7"/>
  <c r="F23"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B30" i="2"/>
  <c r="C27" i="2"/>
  <c r="C30" i="2"/>
  <c r="G30" i="2"/>
  <c r="I30" i="2"/>
  <c r="K30" i="2"/>
  <c r="O38" i="2"/>
  <c r="C21" i="2"/>
  <c r="G21" i="2"/>
  <c r="I21" i="2"/>
  <c r="K21" i="2"/>
  <c r="G27" i="2"/>
  <c r="D27" i="2"/>
  <c r="I27" i="2"/>
  <c r="K27" i="2"/>
  <c r="C28" i="2"/>
  <c r="G28" i="2"/>
  <c r="I28" i="2"/>
  <c r="K28" i="2"/>
  <c r="C24" i="2"/>
  <c r="D24" i="2"/>
  <c r="E24" i="2"/>
  <c r="D5" i="12"/>
  <c r="D6" i="12"/>
  <c r="D8" i="12"/>
  <c r="D9" i="12"/>
  <c r="I3" i="12"/>
  <c r="G24" i="2"/>
  <c r="I24" i="2"/>
  <c r="K24" i="2"/>
  <c r="I5" i="7"/>
  <c r="H5" i="7"/>
  <c r="B7" i="5"/>
  <c r="C7" i="5"/>
  <c r="L12" i="5"/>
  <c r="M12" i="5"/>
  <c r="M10" i="5"/>
  <c r="M11" i="5"/>
  <c r="L20" i="5"/>
  <c r="L21" i="5"/>
  <c r="L26" i="5"/>
  <c r="M20" i="5"/>
  <c r="M19" i="5"/>
  <c r="M21" i="5"/>
  <c r="M26" i="5"/>
  <c r="L28" i="5"/>
  <c r="M28" i="5"/>
  <c r="G12" i="5"/>
  <c r="G13" i="5"/>
  <c r="G14" i="5"/>
  <c r="H12" i="5"/>
  <c r="H13" i="5"/>
  <c r="H10" i="5"/>
  <c r="H11" i="5"/>
  <c r="H14" i="5"/>
  <c r="H15" i="5"/>
  <c r="G15" i="5"/>
  <c r="C24" i="5"/>
  <c r="B24" i="5"/>
  <c r="C25" i="5"/>
  <c r="B25" i="5"/>
  <c r="C22" i="2"/>
  <c r="C4" i="12"/>
  <c r="B4" i="12"/>
  <c r="D4" i="12"/>
  <c r="D7" i="12"/>
  <c r="L10" i="5"/>
  <c r="B6" i="5"/>
  <c r="C6" i="5"/>
  <c r="L11" i="5"/>
  <c r="B9" i="5"/>
  <c r="C9" i="5"/>
  <c r="L19" i="5"/>
  <c r="D7" i="1"/>
  <c r="D9" i="1"/>
  <c r="D4" i="1"/>
  <c r="B5" i="1"/>
  <c r="C5" i="1"/>
  <c r="D5" i="1"/>
  <c r="D6" i="1"/>
  <c r="I32" i="6"/>
  <c r="I33" i="6"/>
  <c r="H32" i="6"/>
  <c r="H33" i="6"/>
  <c r="K33" i="6"/>
  <c r="J33" i="6"/>
  <c r="H15" i="6"/>
  <c r="D14" i="1"/>
  <c r="D15" i="1"/>
  <c r="D16" i="1"/>
  <c r="D17" i="1"/>
  <c r="I3" i="1"/>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D4" i="7"/>
  <c r="H5" i="6"/>
  <c r="C4" i="6"/>
  <c r="B4" i="6"/>
  <c r="D6" i="7"/>
  <c r="D3" i="7"/>
  <c r="K13" i="6"/>
  <c r="D5" i="7"/>
</calcChain>
</file>

<file path=xl/sharedStrings.xml><?xml version="1.0" encoding="utf-8"?>
<sst xmlns="http://schemas.openxmlformats.org/spreadsheetml/2006/main" count="639" uniqueCount="351">
  <si>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</si>
  <si>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</si>
  <si>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</si>
  <si>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</si>
  <si>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</si>
  <si>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</si>
  <si>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</si>
  <si>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</si>
  <si>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</si>
  <si>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</si>
  <si>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</si>
  <si>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</si>
  <si>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</si>
  <si>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</si>
  <si>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</si>
  <si>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</si>
  <si>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</si>
  <si>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</si>
  <si>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</si>
  <si>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</si>
  <si>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</si>
  <si>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</si>
  <si>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</si>
  <si>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</si>
  <si>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</si>
  <si>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</si>
  <si>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</si>
  <si>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</si>
  <si>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</si>
  <si>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</si>
  <si>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</si>
  <si>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</si>
  <si>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</si>
  <si>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</si>
  <si>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</si>
  <si>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</si>
  <si>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</si>
  <si>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</si>
  <si>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</si>
  <si>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</si>
  <si>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</si>
  <si>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</si>
  <si>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</si>
  <si>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</si>
  <si>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</si>
  <si>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</si>
  <si>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</si>
  <si>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</si>
  <si>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</si>
  <si>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</si>
  <si>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</si>
  <si>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</si>
  <si>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</si>
  <si>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</si>
  <si>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</si>
  <si>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</si>
  <si>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</si>
  <si>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</si>
  <si>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</si>
  <si>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</si>
  <si>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</si>
  <si>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</si>
  <si>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</si>
  <si>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</si>
  <si>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</si>
  <si>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</si>
  <si>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1/factory farmed animals</t>
  </si>
  <si>
    <t>animals spared per $1000</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</si>
  <si>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</si>
  <si>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</si>
  <si>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</si>
  <si>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</si>
  <si>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</si>
  <si>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</si>
  <si>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</si>
  <si>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</si>
  <si>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</si>
  <si>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</si>
  <si>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</si>
  <si>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</si>
  <si>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</si>
  <si>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</si>
  <si>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</si>
  <si>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</si>
  <si>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</si>
  <si>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</si>
  <si>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</si>
  <si>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</si>
  <si>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</si>
  <si>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</si>
  <si>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</si>
  <si>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</si>
  <si>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</si>
  <si>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</si>
  <si>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</si>
  <si>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</si>
  <si>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</si>
  <si>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</si>
  <si>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animals permanently spared per $1000</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</si>
  <si>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</si>
  <si>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</si>
  <si>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</si>
  <si>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</si>
  <si>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</si>
  <si>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</si>
  <si>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</si>
  <si>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</si>
  <si>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</si>
  <si>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</si>
  <si>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</si>
  <si>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</si>
  <si>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</si>
  <si>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</si>
  <si>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</si>
  <si>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</si>
  <si>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</si>
  <si>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</si>
  <si>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</si>
  <si>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</si>
  <si>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</si>
  <si>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</si>
  <si>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</si>
  <si>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</si>
  <si>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Estimated by doubling the 80% CI given by http://www.animalcharityevaluators.org/research/interventions/impact-calculator/</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</si>
  <si>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</si>
  <si>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</si>
  <si>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</si>
  <si>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</si>
  <si>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</si>
  <si>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</si>
  <si>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</si>
  <si>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</si>
  <si>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</si>
  <si>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</si>
  <si>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</si>
  <si>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</si>
  <si>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</si>
  <si>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</si>
  <si>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</si>
  <si>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</si>
  <si>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</si>
  <si>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</si>
  <si>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</si>
  <si>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</si>
  <si>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</si>
  <si>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</si>
  <si>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</si>
  <si>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</si>
  <si>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</si>
  <si>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</si>
  <si>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</si>
  <si>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</si>
  <si>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animal-years caused per human year</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</si>
  <si>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</si>
  <si>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</si>
  <si>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</si>
  <si>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</si>
  <si>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</si>
  <si>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</si>
  <si>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</si>
  <si>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</si>
  <si>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</si>
  <si>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</si>
  <si>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</si>
  <si>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</si>
  <si>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</si>
  <si>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</si>
  <si>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</si>
  <si>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</si>
  <si>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</si>
  <si>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</si>
  <si>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</si>
  <si>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</si>
  <si>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</si>
  <si>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</si>
  <si>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</si>
  <si>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</si>
  <si>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</si>
  <si>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</si>
  <si>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</si>
  <si>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</si>
  <si>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</si>
  <si>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</si>
  <si>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</si>
  <si>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</si>
  <si>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</si>
  <si>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</si>
  <si>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</si>
  <si>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</si>
  <si>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</si>
  <si>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</si>
  <si>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</si>
  <si>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</si>
  <si>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</si>
  <si>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</si>
  <si>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</si>
  <si>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</si>
  <si>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</si>
  <si>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</si>
  <si>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</si>
  <si>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</si>
  <si>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</si>
  <si>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</si>
  <si>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This figure is pretty robust but only includes land animals, you could increase the upper bound to account for fish/shellfish</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</si>
  <si>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</si>
  <si>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</si>
  <si>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</si>
  <si>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</si>
  <si>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</si>
  <si>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</si>
  <si>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</si>
  <si>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</si>
  <si>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</si>
  <si>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</si>
  <si>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</si>
  <si>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</si>
  <si>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</si>
  <si>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</si>
  <si>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</si>
  <si>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</si>
  <si>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</si>
  <si>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</si>
  <si>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</si>
  <si>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</si>
  <si>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</si>
  <si>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</si>
  <si>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</si>
  <si>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</si>
  <si>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</si>
  <si>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</si>
  <si>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</si>
  <si>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animals directly spared per $1000</t>
  </si>
  <si>
    <t>animals indirectly spared per $1000</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</si>
  <si>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</si>
  <si>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</si>
  <si>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</si>
  <si>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</si>
  <si>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</si>
  <si>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</si>
  <si>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</si>
  <si>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</si>
  <si>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</si>
  <si>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</si>
  <si>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</si>
  <si>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</si>
  <si>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</si>
  <si>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</si>
  <si>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</si>
  <si>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suffering sumulations prevented</t>
  </si>
  <si>
    <t>computer emulations of human-like brains</t>
  </si>
  <si>
    <t>maximally happy beings</t>
  </si>
  <si>
    <t>computers that don't do anything useful</t>
  </si>
  <si>
    <t>maximally unhappy beings</t>
  </si>
  <si>
    <t>WAS = wild animal suffering</t>
  </si>
  <si>
    <t>Model 3 (INCOMPLETE)</t>
  </si>
  <si>
    <t>For detailed explanations of everything, see TODO: link</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</si>
  <si>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</si>
  <si>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</si>
  <si>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Non-GV future money moved ($M)</t>
  </si>
  <si>
    <t>was ~6 in 2015</t>
  </si>
  <si>
    <t>(doesn't include standouts or potential new top charities; standouts don't get much, and probably won't be any new top charities)</t>
  </si>
  <si>
    <t>http://www.openphilanthropy.org/blog/our-progress-2015-and-plans-2016</t>
  </si>
  <si>
    <t>https://docs.google.com/spreadsheets/d/1rIpnWtuYSfsjLWkJMO5FTOQE6SRGzJnnyFgyKSwIKOM/</t>
  </si>
  <si>
    <t>was ~15 in 2015 (found by looking at total money moved and subtracting grants listed on Good Ventures website)</t>
  </si>
  <si>
    <t>policy</t>
  </si>
  <si>
    <t>GW (non-GV)</t>
  </si>
  <si>
    <t>GW (GV)</t>
  </si>
  <si>
    <t>total analysts in near future</t>
  </si>
  <si>
    <t>research-money-moved attributable to research analysts</t>
  </si>
  <si>
    <t>GW (non-GV) money moved attributable to marginal research</t>
  </si>
  <si>
    <t>GW (GV) money moved attributable to marginal research</t>
  </si>
  <si>
    <t>OP money moved attributable to marginal research</t>
  </si>
  <si>
    <t>OP money moved per analyst multiplier</t>
  </si>
  <si>
    <t>GW (non-GV) money moved per analyst multiplier</t>
  </si>
  <si>
    <t>GW (GV) money moved per analyst multiplier</t>
  </si>
  <si>
    <t>Money moved per analyst multipliers</t>
  </si>
  <si>
    <t>Good Ventures (GV) future money moved ($M)</t>
  </si>
  <si>
    <t>All Cause Areas</t>
  </si>
  <si>
    <t>Cage-Free Campaigns</t>
  </si>
  <si>
    <t>Cage-free Campaigns</t>
  </si>
  <si>
    <t>Baseline</t>
  </si>
  <si>
    <t>Deworming</t>
  </si>
  <si>
    <t>Criminal Justice</t>
  </si>
  <si>
    <t>Biosecurity</t>
  </si>
  <si>
    <t>Geoengineering</t>
  </si>
  <si>
    <t>leaves out AI targeted values spreading</t>
  </si>
  <si>
    <t>TODO: maybe far future sigma should be bigger</t>
  </si>
  <si>
    <t>Impact weights</t>
  </si>
  <si>
    <t>was ~23 in 2015. GW money probably helps GD scale up, so we should count that</t>
  </si>
  <si>
    <t>Impact-weighted money moved ($M)</t>
  </si>
  <si>
    <t>Good Ventures</t>
  </si>
  <si>
    <t>Non-Good Ventures</t>
  </si>
  <si>
    <t>Totals</t>
  </si>
  <si>
    <t>OP</t>
  </si>
  <si>
    <t>Impact-weighted money moved per analyst ($K)</t>
  </si>
  <si>
    <t>As of April 2016, there are 18 analysts and 15 other (manager/program officer/operations) http://www.givewell.org/about/people</t>
  </si>
  <si>
    <t>as opposed to management/program officers/operations</t>
  </si>
  <si>
    <t>need to add up to 1</t>
  </si>
  <si>
    <t>total</t>
  </si>
  <si>
    <t>1/total analysts</t>
  </si>
  <si>
    <t>Money moved ($K) prior (log-normal)</t>
  </si>
  <si>
    <t>by efficient-market hypothesis, grantmaking should be about as good as earning to give</t>
  </si>
  <si>
    <t>Posterior (log-normal)</t>
  </si>
  <si>
    <t>Significance</t>
  </si>
  <si>
    <t>direct impact</t>
  </si>
  <si>
    <t>skills</t>
  </si>
  <si>
    <t>network</t>
  </si>
  <si>
    <t>option value</t>
  </si>
  <si>
    <t>risk</t>
  </si>
  <si>
    <t>replaceability</t>
  </si>
  <si>
    <t>1=no replaceability, 0=perfect replaceability</t>
  </si>
  <si>
    <t>other</t>
  </si>
  <si>
    <t>E2G</t>
  </si>
  <si>
    <t>GW</t>
  </si>
  <si>
    <t>weighted score</t>
  </si>
  <si>
    <t>Career Score</t>
  </si>
  <si>
    <t>Doesn't properly account for harm of reneging offer</t>
  </si>
  <si>
    <t>TODO: would make more sense to compute posterior before impact weighting</t>
  </si>
  <si>
    <t>TODO: US policy has (potentially negative) flow-through effects</t>
  </si>
  <si>
    <t>TODO: if AI-targeted values spreading is supportable and OP won't do it, that makes OP look much worse</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</si>
  <si>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</si>
  <si>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</si>
  <si>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</si>
  <si>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</si>
  <si>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</si>
  <si>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</si>
  <si>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</si>
  <si>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</si>
  <si>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</si>
  <si>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</si>
  <si>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</si>
  <si>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</si>
  <si>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</si>
  <si>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</si>
  <si>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</si>
  <si>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</si>
  <si>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money moved ($K)</t>
  </si>
  <si>
    <t>TODO: instead of proprtional significance, weight by equivalent donated dollars (so like, good option value is worth $10K in donations or something)</t>
  </si>
  <si>
    <t>TODO: break out categories into each individual factor</t>
  </si>
  <si>
    <t>TODO: should include far future effects</t>
  </si>
  <si>
    <t>user input</t>
  </si>
  <si>
    <t>Outcomes in a column are conditional on outcomes to the left, e.g. P(we reduce WAS on balance) = D8*B8. I explain my reasoning here: http://mdickens.me/2016/04/17/preventing_human_extinction,_now_with_numbers!/</t>
  </si>
  <si>
    <t>TODO: prior should be that markets are efficient for people with "normal" values, not for me</t>
  </si>
  <si>
    <t>http://globalprioritiesproject.org/2015/08/quantifyingaisafety/</t>
  </si>
  <si>
    <t>*includes direct effects only</t>
  </si>
  <si>
    <t>AMF*</t>
  </si>
  <si>
    <t>Deworming*</t>
  </si>
  <si>
    <t>Criminal Justice*</t>
  </si>
  <si>
    <t>Immigration*</t>
  </si>
  <si>
    <t>Land Use Reform*</t>
  </si>
  <si>
    <t>Macroeconomic Policy*</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</si>
</sst>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
      <u/>
      <sz val="12"/>
      <color theme="1"/>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098">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54">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8" borderId="0" xfId="0" applyFill="1"/>
    <xf numFmtId="0" fontId="0" fillId="11" borderId="0" xfId="0" applyFill="1"/>
    <xf numFmtId="0" fontId="0" fillId="0" borderId="0" xfId="0" applyNumberFormat="1" applyFill="1" applyBorder="1" applyAlignment="1">
      <alignment horizontal="center" vertical="center" wrapText="1"/>
    </xf>
    <xf numFmtId="0" fontId="1" fillId="0" borderId="0" xfId="2019"/>
    <xf numFmtId="0" fontId="0" fillId="14" borderId="0" xfId="0" applyFill="1"/>
    <xf numFmtId="0" fontId="0" fillId="0" borderId="0" xfId="0" applyFont="1" applyFill="1" applyBorder="1" applyAlignment="1">
      <alignment horizontal="center" vertical="center" wrapText="1"/>
    </xf>
    <xf numFmtId="0" fontId="0" fillId="16" borderId="0" xfId="0" applyNumberFormat="1" applyFill="1" applyBorder="1" applyAlignment="1">
      <alignment horizontal="center" vertical="center" wrapText="1"/>
    </xf>
    <xf numFmtId="0" fontId="0" fillId="16" borderId="0" xfId="0"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0" fillId="5" borderId="0" xfId="0" applyFill="1"/>
    <xf numFmtId="0" fontId="9" fillId="0" borderId="0" xfId="0" applyFont="1"/>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cellXfs>
  <cellStyles count="209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www.openphilanthropy.org/blog/our-progress-2015-and-plans-2016" TargetMode="External"/><Relationship Id="rId2" Type="http://schemas.openxmlformats.org/officeDocument/2006/relationships/hyperlink" Target="https://docs.google.com/spreadsheets/d/1rIpnWtuYSfsjLWkJMO5FTOQE6SRGzJnnyFgyKSwIK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tabSelected="1" workbookViewId="0">
      <selection activeCell="E6" sqref="E6"/>
    </sheetView>
  </sheetViews>
  <sheetFormatPr baseColWidth="10" defaultRowHeight="15" x14ac:dyDescent="0"/>
  <cols>
    <col min="1" max="1" width="28.83203125" customWidth="1"/>
    <col min="2" max="5" width="12.1640625" bestFit="1" customWidth="1"/>
    <col min="6" max="6" width="12.83203125" bestFit="1" customWidth="1"/>
    <col min="7" max="7" width="12.1640625" bestFit="1" customWidth="1"/>
    <col min="8" max="11" width="11.83203125" bestFit="1" customWidth="1"/>
    <col min="13" max="13" width="11.83203125" bestFit="1" customWidth="1"/>
  </cols>
  <sheetData>
    <row r="1" spans="1:12" ht="30" customHeight="1">
      <c r="A1" s="6" t="s">
        <v>143</v>
      </c>
      <c r="G1" s="6" t="s">
        <v>145</v>
      </c>
    </row>
    <row r="2" spans="1:12" ht="30" customHeight="1">
      <c r="A2" s="44"/>
      <c r="B2" s="58" t="s">
        <v>114</v>
      </c>
      <c r="C2" s="58" t="s">
        <v>115</v>
      </c>
      <c r="D2" s="58" t="s">
        <v>144</v>
      </c>
      <c r="G2" s="44"/>
      <c r="H2" s="44" t="s">
        <v>122</v>
      </c>
      <c r="I2" s="44" t="s">
        <v>30</v>
      </c>
      <c r="J2" s="58" t="s">
        <v>114</v>
      </c>
      <c r="K2" s="58" t="s">
        <v>115</v>
      </c>
    </row>
    <row r="3" spans="1:12" ht="30" customHeight="1">
      <c r="A3" s="96" t="s">
        <v>116</v>
      </c>
      <c r="B3" s="97">
        <f>GiveDirectly!B30</f>
        <v>-1021738259900382.6</v>
      </c>
      <c r="C3" s="97">
        <f>GiveDirectly!B31</f>
        <v>-7194.1756174838983</v>
      </c>
      <c r="D3" s="97">
        <f>C3/$C$3</f>
        <v>1</v>
      </c>
      <c r="G3" s="143" t="s">
        <v>116</v>
      </c>
      <c r="H3" s="80">
        <f>GiveDirectly!G3</f>
        <v>1</v>
      </c>
      <c r="I3" s="79">
        <f>GiveDirectly!H3</f>
        <v>4.0000000000000008E-2</v>
      </c>
      <c r="J3" s="97">
        <f>GiveDirectly!G4</f>
        <v>0.85832741114212496</v>
      </c>
      <c r="K3" s="97">
        <f>GiveDirectly!G5</f>
        <v>0.94755469095363942</v>
      </c>
    </row>
    <row r="4" spans="1:12" ht="30" customHeight="1">
      <c r="A4" s="96" t="s">
        <v>176</v>
      </c>
      <c r="B4" s="97">
        <f>THL!B30</f>
        <v>5.7048332425094946E+27</v>
      </c>
      <c r="C4" s="97">
        <f>THL!B31</f>
        <v>617286.32370819233</v>
      </c>
      <c r="D4" s="97">
        <f>C4/C3</f>
        <v>-85.803621780932133</v>
      </c>
      <c r="G4" s="80" t="s">
        <v>121</v>
      </c>
      <c r="H4" s="140">
        <f>D16</f>
        <v>11.224972160321824</v>
      </c>
      <c r="I4" s="140">
        <f>E16</f>
        <v>7.4864535847752101E-2</v>
      </c>
      <c r="J4" s="97">
        <f>ParetoPosterior(median,alpha,H4:I4)</f>
        <v>7.6651731591110082</v>
      </c>
      <c r="K4" s="97">
        <f>LognormPosterior(mu_global_poverty,sigma_global_poverty,H4:I4)</f>
        <v>7.68136697438384</v>
      </c>
    </row>
    <row r="5" spans="1:12" ht="30" customHeight="1">
      <c r="A5" s="96" t="s">
        <v>117</v>
      </c>
      <c r="B5" s="97">
        <f>'AI Safety'!B11</f>
        <v>6.3112967095697664E+27</v>
      </c>
      <c r="C5" s="97">
        <f>'AI Safety'!B12</f>
        <v>213917.63204134765</v>
      </c>
      <c r="D5" s="97">
        <f>C5/$C$3</f>
        <v>-29.73483598613673</v>
      </c>
      <c r="G5" s="80" t="s">
        <v>176</v>
      </c>
      <c r="H5" s="140">
        <f>THL!I5</f>
        <v>5429.9171264394072</v>
      </c>
      <c r="I5" s="79">
        <f>THL!J5</f>
        <v>0.49504262895320128</v>
      </c>
      <c r="J5" s="97">
        <f>THL!I6</f>
        <v>396.49368154968971</v>
      </c>
      <c r="K5" s="97">
        <f>THL!I7</f>
        <v>194.83133807235006</v>
      </c>
    </row>
    <row r="6" spans="1:12" ht="30" customHeight="1">
      <c r="A6" s="96" t="s">
        <v>142</v>
      </c>
      <c r="B6" s="97">
        <f>'AI Targeted Values Spreading'!B23</f>
        <v>7.21322996525908E+36</v>
      </c>
      <c r="C6" s="97">
        <f>'AI Targeted Values Spreading'!B24</f>
        <v>25902525.57153099</v>
      </c>
      <c r="D6" s="97">
        <f>C6/$C$3</f>
        <v>-3600.4855801101749</v>
      </c>
      <c r="G6" s="80" t="s">
        <v>279</v>
      </c>
      <c r="H6" s="140">
        <f>'Cage-Free'!I5</f>
        <v>88741.196746494257</v>
      </c>
      <c r="I6" s="140">
        <f>'Cage-Free'!J5</f>
        <v>0.31528753718843733</v>
      </c>
      <c r="J6" s="97">
        <f>'Cage-Free'!I6</f>
        <v>16679.269175199799</v>
      </c>
      <c r="K6" s="97">
        <f>'Cage-Free'!I7</f>
        <v>2531.88913733256</v>
      </c>
    </row>
    <row r="7" spans="1:12" ht="30" customHeight="1"/>
    <row r="8" spans="1:12" ht="30" customHeight="1">
      <c r="G8" s="3"/>
      <c r="H8" s="9"/>
      <c r="I8" s="3"/>
      <c r="K8" s="3"/>
      <c r="L8" s="3"/>
    </row>
    <row r="9" spans="1:12" ht="30" customHeight="1">
      <c r="A9" s="6" t="s">
        <v>277</v>
      </c>
    </row>
    <row r="10" spans="1:12" ht="30" customHeight="1">
      <c r="A10" s="44" t="s">
        <v>256</v>
      </c>
      <c r="B10" s="44" t="s">
        <v>0</v>
      </c>
      <c r="C10" s="44" t="s">
        <v>1</v>
      </c>
      <c r="D10" s="44" t="s">
        <v>161</v>
      </c>
      <c r="E10" s="44" t="s">
        <v>163</v>
      </c>
      <c r="F10" s="58" t="s">
        <v>114</v>
      </c>
      <c r="G10" s="58" t="s">
        <v>115</v>
      </c>
      <c r="H10" s="44" t="s">
        <v>27</v>
      </c>
    </row>
    <row r="11" spans="1:12" ht="30" customHeight="1">
      <c r="A11" s="44" t="s">
        <v>116</v>
      </c>
      <c r="B11" s="44"/>
      <c r="C11" s="44"/>
      <c r="D11" s="44"/>
      <c r="E11" s="44"/>
      <c r="F11" s="146">
        <f>B3</f>
        <v>-1021738259900382.6</v>
      </c>
      <c r="G11" s="146">
        <f>C3</f>
        <v>-7194.1756174838983</v>
      </c>
    </row>
    <row r="12" spans="1:12" ht="30" customHeight="1">
      <c r="A12" s="44" t="s">
        <v>176</v>
      </c>
      <c r="B12" s="44"/>
      <c r="C12" s="44"/>
      <c r="D12" s="44"/>
      <c r="E12" s="44"/>
      <c r="F12" s="146">
        <f>B4</f>
        <v>5.7048332425094946E+27</v>
      </c>
      <c r="G12" s="146">
        <f>C4</f>
        <v>617286.32370819233</v>
      </c>
    </row>
    <row r="13" spans="1:12" ht="30" customHeight="1">
      <c r="A13" s="44" t="s">
        <v>278</v>
      </c>
      <c r="B13" s="44"/>
      <c r="C13" s="44"/>
      <c r="D13" s="44"/>
      <c r="E13" s="44"/>
      <c r="F13" s="146">
        <f>J6</f>
        <v>16679.269175199799</v>
      </c>
      <c r="G13" s="146">
        <f>K6</f>
        <v>2531.88913733256</v>
      </c>
    </row>
    <row r="14" spans="1:12" ht="30" customHeight="1">
      <c r="A14" s="44" t="s">
        <v>117</v>
      </c>
      <c r="B14" s="44"/>
      <c r="C14" s="44"/>
      <c r="D14" s="44"/>
      <c r="E14" s="44"/>
      <c r="F14" s="146">
        <f>B5</f>
        <v>6.3112967095697664E+27</v>
      </c>
      <c r="G14" s="146">
        <f>C5</f>
        <v>213917.63204134765</v>
      </c>
    </row>
    <row r="15" spans="1:12" ht="30" customHeight="1">
      <c r="A15" s="44" t="s">
        <v>142</v>
      </c>
      <c r="B15" s="44"/>
      <c r="C15" s="44"/>
      <c r="D15" s="44"/>
      <c r="E15" s="44"/>
      <c r="F15" s="146">
        <f>B6</f>
        <v>7.21322996525908E+36</v>
      </c>
      <c r="G15" s="146">
        <f>C6</f>
        <v>25902525.57153099</v>
      </c>
    </row>
    <row r="16" spans="1:12" ht="30" customHeight="1">
      <c r="A16" s="62" t="s">
        <v>345</v>
      </c>
      <c r="B16" s="92">
        <v>9</v>
      </c>
      <c r="C16" s="92">
        <v>14</v>
      </c>
      <c r="D16" s="140">
        <f t="shared" ref="D16:D21" si="0">GEOMEAN(B16,C16)</f>
        <v>11.224972160321824</v>
      </c>
      <c r="E16" s="80">
        <f t="shared" ref="E16:E21" si="1">LogVariance(B16,C16)</f>
        <v>7.4864535847752101E-2</v>
      </c>
      <c r="F16" s="146">
        <f t="shared" ref="F16:F21" si="2">ParetoPosterior(median,alpha,$D16:$E16)</f>
        <v>7.6651731591110082</v>
      </c>
      <c r="G16" s="146">
        <f>LognormPosterior(mu_global_poverty,sigma_global_poverty,$D16:$E16)</f>
        <v>7.68136697438384</v>
      </c>
    </row>
    <row r="17" spans="1:8" ht="30" customHeight="1">
      <c r="A17" s="62" t="s">
        <v>346</v>
      </c>
      <c r="B17" s="92">
        <v>6</v>
      </c>
      <c r="C17" s="92">
        <v>30</v>
      </c>
      <c r="D17" s="140">
        <f t="shared" si="0"/>
        <v>13.416407864998737</v>
      </c>
      <c r="E17" s="80">
        <f t="shared" si="1"/>
        <v>0.27270459618181209</v>
      </c>
      <c r="F17" s="146">
        <f t="shared" si="2"/>
        <v>3.7274882658620698</v>
      </c>
      <c r="G17" s="146">
        <f>LognormPosterior(mu_global_poverty,sigma_global_poverty,$D17:$E17)</f>
        <v>4.4094745822667356</v>
      </c>
    </row>
    <row r="18" spans="1:8" ht="30" customHeight="1">
      <c r="A18" s="62" t="s">
        <v>347</v>
      </c>
      <c r="B18" s="92">
        <v>0.5</v>
      </c>
      <c r="C18" s="92">
        <v>15</v>
      </c>
      <c r="D18" s="140">
        <f t="shared" si="0"/>
        <v>2.7386127875258306</v>
      </c>
      <c r="E18" s="80">
        <f t="shared" si="1"/>
        <v>0.57630191965469357</v>
      </c>
      <c r="F18" s="146">
        <f t="shared" si="2"/>
        <v>0.60816760992752539</v>
      </c>
      <c r="G18" s="146">
        <f>LognormPosterior(mu_policy,sigma_policy,$D18:$E18)</f>
        <v>1.0908863363038546</v>
      </c>
      <c r="H18" s="127" t="s">
        <v>257</v>
      </c>
    </row>
    <row r="19" spans="1:8" ht="30" customHeight="1">
      <c r="A19" s="62" t="s">
        <v>348</v>
      </c>
      <c r="B19" s="92">
        <v>2</v>
      </c>
      <c r="C19" s="92">
        <v>25</v>
      </c>
      <c r="D19" s="140">
        <f t="shared" si="0"/>
        <v>7.0710678118654755</v>
      </c>
      <c r="E19" s="80">
        <f t="shared" si="1"/>
        <v>0.42796171550924683</v>
      </c>
      <c r="F19" s="146">
        <f t="shared" si="2"/>
        <v>1.3899606988089097</v>
      </c>
      <c r="G19" s="146">
        <f>LognormPosterior(mu_policy,sigma_policy,$D19:$E19)</f>
        <v>2.1388077929344163</v>
      </c>
    </row>
    <row r="20" spans="1:8" ht="30" customHeight="1">
      <c r="A20" s="62" t="s">
        <v>349</v>
      </c>
      <c r="B20" s="92">
        <v>0.1</v>
      </c>
      <c r="C20" s="92">
        <v>10</v>
      </c>
      <c r="D20" s="140">
        <f t="shared" si="0"/>
        <v>1</v>
      </c>
      <c r="E20" s="80">
        <f t="shared" si="1"/>
        <v>0.78030414607237897</v>
      </c>
      <c r="F20" s="146">
        <f t="shared" si="2"/>
        <v>0.32990094699021733</v>
      </c>
      <c r="G20" s="146">
        <f>LognormPosterior(mu_policy,sigma_policy,$D20:$E20)</f>
        <v>0.62405286763824308</v>
      </c>
    </row>
    <row r="21" spans="1:8" ht="30" customHeight="1">
      <c r="A21" s="62" t="s">
        <v>350</v>
      </c>
      <c r="B21" s="92">
        <v>1</v>
      </c>
      <c r="C21" s="92">
        <v>100</v>
      </c>
      <c r="D21" s="140">
        <f t="shared" si="0"/>
        <v>10</v>
      </c>
      <c r="E21" s="80">
        <f t="shared" si="1"/>
        <v>0.78030414607237897</v>
      </c>
      <c r="F21" s="146">
        <f t="shared" si="2"/>
        <v>0.91744602369328643</v>
      </c>
      <c r="G21" s="146">
        <f>LognormPosterior(mu_policy,sigma_policy,$D21:$E21)</f>
        <v>1.6372722236599835</v>
      </c>
    </row>
    <row r="22" spans="1:8" ht="30" customHeight="1">
      <c r="A22" s="62" t="s">
        <v>283</v>
      </c>
      <c r="B22" s="44"/>
      <c r="C22" s="44"/>
      <c r="D22" s="147">
        <f>'AI Safety'!H26/10</f>
        <v>9.7766637805357065E+38</v>
      </c>
      <c r="E22" s="147">
        <f>'AI Safety'!I26</f>
        <v>5.2940810392801163</v>
      </c>
      <c r="F22" s="146">
        <f>ParetoPosterior(1,alpha,$D22:$E22)</f>
        <v>6.3112967095697741E+26</v>
      </c>
      <c r="G22" s="146">
        <f>LognormPosterior(mu_far_future,sigma_far_future,$D22:$E22)</f>
        <v>171474.9893022576</v>
      </c>
    </row>
    <row r="23" spans="1:8" ht="30" customHeight="1">
      <c r="A23" s="62" t="s">
        <v>284</v>
      </c>
      <c r="B23" s="44"/>
      <c r="C23" s="44"/>
      <c r="D23" s="147">
        <f>D22</f>
        <v>9.7766637805357065E+38</v>
      </c>
      <c r="E23" s="147">
        <f>E22</f>
        <v>5.2940810392801163</v>
      </c>
      <c r="F23" s="146">
        <f>ParetoPosterior(median,alpha,$D23:$E23)</f>
        <v>6.3112967095697288E+26</v>
      </c>
      <c r="G23" s="146">
        <f>LognormPosterior(mu_far_future,sigma_far_future,$D23:$E23)</f>
        <v>171474.9893022576</v>
      </c>
    </row>
    <row r="24" spans="1:8" ht="30" customHeight="1">
      <c r="A24" s="45" t="s">
        <v>344</v>
      </c>
      <c r="B24" s="3"/>
      <c r="C24" s="3"/>
      <c r="D24" s="3"/>
    </row>
    <row r="25" spans="1:8" ht="30" customHeight="1"/>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workbookViewId="0">
      <selection activeCell="L4" sqref="L4"/>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150</v>
      </c>
      <c r="C1" s="6" t="s">
        <v>81</v>
      </c>
      <c r="J1" s="6" t="s">
        <v>4</v>
      </c>
      <c r="M1" s="1"/>
    </row>
    <row r="2" spans="1:13" ht="30" customHeight="1">
      <c r="A2" s="24">
        <v>1</v>
      </c>
      <c r="B2" t="s">
        <v>151</v>
      </c>
      <c r="D2" t="s">
        <v>264</v>
      </c>
      <c r="E2" s="5" t="s">
        <v>147</v>
      </c>
      <c r="F2" s="5" t="s">
        <v>148</v>
      </c>
      <c r="G2" s="5" t="s">
        <v>149</v>
      </c>
      <c r="H2" s="3"/>
    </row>
    <row r="3" spans="1:13" s="44" customFormat="1" ht="30" customHeight="1">
      <c r="A3" s="39" t="s">
        <v>255</v>
      </c>
      <c r="C3" s="71" t="s">
        <v>82</v>
      </c>
      <c r="D3" s="72">
        <v>0.1</v>
      </c>
      <c r="E3" s="72">
        <v>0.1</v>
      </c>
      <c r="F3" s="72">
        <v>1</v>
      </c>
      <c r="G3" s="109">
        <v>10</v>
      </c>
      <c r="H3" s="71" t="s">
        <v>82</v>
      </c>
      <c r="I3" s="73" t="s">
        <v>194</v>
      </c>
      <c r="J3" s="74"/>
      <c r="K3" s="71" t="s">
        <v>3</v>
      </c>
      <c r="L3" s="75">
        <v>0.1</v>
      </c>
    </row>
    <row r="4" spans="1:13" s="44" customFormat="1" ht="30" customHeight="1">
      <c r="C4" s="71" t="s">
        <v>83</v>
      </c>
      <c r="D4" s="72">
        <f>sigma_global_poverty</f>
        <v>0.75</v>
      </c>
      <c r="E4" s="72">
        <v>0.75</v>
      </c>
      <c r="F4" s="72">
        <f>sigma_global_poverty</f>
        <v>0.75</v>
      </c>
      <c r="G4" s="72">
        <f>sigma_global_poverty</f>
        <v>0.75</v>
      </c>
      <c r="H4" s="71" t="s">
        <v>83</v>
      </c>
      <c r="I4" s="73" t="s">
        <v>195</v>
      </c>
      <c r="J4" s="74"/>
      <c r="K4" s="71" t="s">
        <v>2</v>
      </c>
      <c r="L4" s="72">
        <v>1.5</v>
      </c>
    </row>
    <row r="5" spans="1:13" ht="30" customHeight="1">
      <c r="C5" s="103" t="s">
        <v>196</v>
      </c>
      <c r="G5" s="103" t="s">
        <v>286</v>
      </c>
    </row>
    <row r="6" spans="1:13" ht="30" customHeight="1"/>
    <row r="7" spans="1:13" ht="30" customHeight="1">
      <c r="A7" s="76" t="s">
        <v>13</v>
      </c>
      <c r="B7" s="34"/>
      <c r="C7" s="34"/>
      <c r="D7" s="119" t="s">
        <v>341</v>
      </c>
      <c r="E7" s="34"/>
      <c r="F7" s="34"/>
      <c r="J7" s="6" t="s">
        <v>90</v>
      </c>
      <c r="L7" s="48" t="s">
        <v>65</v>
      </c>
    </row>
    <row r="8" spans="1:13" s="44" customFormat="1" ht="30" customHeight="1">
      <c r="A8" s="77" t="s">
        <v>5</v>
      </c>
      <c r="B8" s="78">
        <v>0.2</v>
      </c>
      <c r="C8" s="77" t="s">
        <v>12</v>
      </c>
      <c r="D8" s="78">
        <v>0.7</v>
      </c>
      <c r="E8" s="79" t="s">
        <v>253</v>
      </c>
      <c r="F8" s="79"/>
      <c r="J8" s="58" t="s">
        <v>92</v>
      </c>
      <c r="L8" s="66" t="s">
        <v>26</v>
      </c>
      <c r="M8" s="108">
        <v>20000000000</v>
      </c>
    </row>
    <row r="9" spans="1:13" s="44" customFormat="1" ht="30" customHeight="1">
      <c r="A9" s="77" t="s">
        <v>224</v>
      </c>
      <c r="B9" s="78">
        <v>0.4</v>
      </c>
      <c r="C9" s="77" t="s">
        <v>6</v>
      </c>
      <c r="D9" s="78">
        <v>0.8</v>
      </c>
      <c r="E9" s="77" t="s">
        <v>61</v>
      </c>
      <c r="F9" s="78">
        <v>0.3</v>
      </c>
      <c r="J9" s="59" t="s">
        <v>91</v>
      </c>
      <c r="L9" s="66" t="s">
        <v>97</v>
      </c>
      <c r="M9" s="92">
        <v>0.05</v>
      </c>
    </row>
    <row r="10" spans="1:13" s="44" customFormat="1" ht="30" customHeight="1">
      <c r="A10" s="80"/>
      <c r="B10" s="80"/>
      <c r="C10" s="80"/>
      <c r="D10" s="126" t="s">
        <v>240</v>
      </c>
      <c r="E10" s="77" t="s">
        <v>8</v>
      </c>
      <c r="F10" s="81">
        <v>0.4</v>
      </c>
      <c r="J10" s="60" t="s">
        <v>52</v>
      </c>
    </row>
    <row r="11" spans="1:13" s="44" customFormat="1" ht="30" customHeight="1">
      <c r="A11" s="79"/>
      <c r="B11" s="79"/>
      <c r="C11" s="79"/>
      <c r="D11" s="79"/>
      <c r="E11" s="77" t="s">
        <v>7</v>
      </c>
      <c r="F11" s="81">
        <v>0.3</v>
      </c>
      <c r="J11" s="61" t="s">
        <v>190</v>
      </c>
    </row>
    <row r="12" spans="1:13" s="44" customFormat="1" ht="30" customHeight="1">
      <c r="A12" s="77" t="s">
        <v>225</v>
      </c>
      <c r="B12" s="78">
        <v>0.4</v>
      </c>
      <c r="C12" s="77" t="s">
        <v>9</v>
      </c>
      <c r="D12" s="78">
        <v>0.05</v>
      </c>
      <c r="E12" s="80" t="s">
        <v>250</v>
      </c>
      <c r="F12" s="79"/>
      <c r="J12" s="44" t="s">
        <v>191</v>
      </c>
    </row>
    <row r="13" spans="1:13" s="44" customFormat="1" ht="30" customHeight="1">
      <c r="A13" s="79"/>
      <c r="B13" s="79"/>
      <c r="C13" s="77" t="s">
        <v>201</v>
      </c>
      <c r="D13" s="78">
        <v>0.3</v>
      </c>
      <c r="E13" s="79" t="s">
        <v>249</v>
      </c>
      <c r="F13" s="79"/>
      <c r="J13" s="62" t="s">
        <v>340</v>
      </c>
    </row>
    <row r="14" spans="1:13" s="44" customFormat="1" ht="30" customHeight="1">
      <c r="A14" s="79"/>
      <c r="B14" s="79"/>
      <c r="C14" s="77" t="s">
        <v>10</v>
      </c>
      <c r="D14" s="78">
        <v>0.64</v>
      </c>
      <c r="E14" s="79" t="s">
        <v>251</v>
      </c>
      <c r="F14" s="79"/>
      <c r="J14" s="152" t="s">
        <v>340</v>
      </c>
    </row>
    <row r="15" spans="1:13" s="44" customFormat="1" ht="30" customHeight="1">
      <c r="A15" s="79"/>
      <c r="B15" s="79"/>
      <c r="C15" s="77" t="s">
        <v>11</v>
      </c>
      <c r="D15" s="78">
        <v>0.01</v>
      </c>
      <c r="E15" s="79" t="s">
        <v>252</v>
      </c>
      <c r="F15" s="79"/>
      <c r="J15" s="153" t="s">
        <v>340</v>
      </c>
    </row>
    <row r="16" spans="1:13" ht="30" customHeight="1">
      <c r="D16" s="103" t="s">
        <v>239</v>
      </c>
    </row>
    <row r="17" spans="1:13" ht="30" customHeight="1"/>
    <row r="18" spans="1:13" ht="30" customHeight="1">
      <c r="A18" s="6" t="s">
        <v>37</v>
      </c>
      <c r="D18" s="39" t="s">
        <v>247</v>
      </c>
    </row>
    <row r="19" spans="1:13" ht="30" customHeight="1">
      <c r="A19" s="6"/>
      <c r="B19" s="39" t="s">
        <v>214</v>
      </c>
      <c r="D19" s="39" t="s">
        <v>209</v>
      </c>
    </row>
    <row r="20" spans="1:13" ht="30" customHeight="1">
      <c r="B20" s="44" t="s">
        <v>0</v>
      </c>
      <c r="C20" s="44" t="s">
        <v>1</v>
      </c>
      <c r="D20" s="45" t="s">
        <v>0</v>
      </c>
      <c r="E20" s="44" t="s">
        <v>1</v>
      </c>
      <c r="F20" s="44" t="s">
        <v>60</v>
      </c>
      <c r="G20" s="104" t="s">
        <v>210</v>
      </c>
      <c r="H20" s="44" t="s">
        <v>212</v>
      </c>
      <c r="I20" s="44" t="s">
        <v>211</v>
      </c>
      <c r="J20" s="44" t="s">
        <v>213</v>
      </c>
      <c r="K20" s="44" t="s">
        <v>161</v>
      </c>
      <c r="L20" s="44" t="s">
        <v>163</v>
      </c>
      <c r="M20" s="44" t="s">
        <v>27</v>
      </c>
    </row>
    <row r="21" spans="1:13" ht="30" customHeight="1">
      <c r="A21" s="62" t="s">
        <v>227</v>
      </c>
      <c r="B21" s="65">
        <v>1</v>
      </c>
      <c r="C21" s="92">
        <f>B21</f>
        <v>1</v>
      </c>
      <c r="D21" s="106">
        <v>1</v>
      </c>
      <c r="E21" s="45">
        <v>1</v>
      </c>
      <c r="F21" s="92">
        <v>1</v>
      </c>
      <c r="G21" s="44">
        <f t="shared" ref="G21" si="0">GEOMEAN(B21,C21)</f>
        <v>1</v>
      </c>
      <c r="H21" s="44">
        <f t="shared" ref="H21" si="1">LogVariance(B21,C21)</f>
        <v>0</v>
      </c>
      <c r="I21" s="44">
        <f t="shared" ref="I21" si="2">GEOMEAN(D21,E21)</f>
        <v>1</v>
      </c>
      <c r="J21" s="44">
        <f t="shared" ref="J21" si="3">LogVariance(D21,E21)</f>
        <v>0</v>
      </c>
      <c r="K21" s="105">
        <f>G21*I21</f>
        <v>1</v>
      </c>
      <c r="L21" s="45">
        <f>H21+J21</f>
        <v>0</v>
      </c>
      <c r="M21" s="39" t="s">
        <v>246</v>
      </c>
    </row>
    <row r="22" spans="1:13" s="44" customFormat="1" ht="30" customHeight="1">
      <c r="A22" s="64" t="s">
        <v>226</v>
      </c>
      <c r="B22" s="65">
        <v>0.6</v>
      </c>
      <c r="C22" s="92">
        <f t="shared" ref="C22:C29" si="4">B22</f>
        <v>0.6</v>
      </c>
      <c r="D22" s="106">
        <v>1</v>
      </c>
      <c r="E22" s="45">
        <v>1</v>
      </c>
      <c r="F22" s="92">
        <v>1</v>
      </c>
      <c r="G22" s="44">
        <f t="shared" ref="G22:G30" si="5">GEOMEAN(B22,C22)</f>
        <v>0.6</v>
      </c>
      <c r="H22" s="44">
        <f t="shared" ref="H22:H30" si="6">LogVariance(B22,C22)</f>
        <v>0</v>
      </c>
      <c r="I22" s="44">
        <f t="shared" ref="I22:I30" si="7">GEOMEAN(D22,E22)</f>
        <v>1</v>
      </c>
      <c r="J22" s="44">
        <f t="shared" ref="J22:J30" si="8">LogVariance(D22,E22)</f>
        <v>0</v>
      </c>
      <c r="K22" s="105">
        <f>G22*I22</f>
        <v>0.6</v>
      </c>
      <c r="L22" s="45">
        <f>H22+J22</f>
        <v>0</v>
      </c>
      <c r="M22" s="39" t="s">
        <v>228</v>
      </c>
    </row>
    <row r="23" spans="1:13" s="44" customFormat="1" ht="30" customHeight="1">
      <c r="A23" s="64" t="s">
        <v>38</v>
      </c>
      <c r="B23" s="65">
        <v>6</v>
      </c>
      <c r="C23" s="92">
        <f t="shared" si="4"/>
        <v>6</v>
      </c>
      <c r="D23" s="65">
        <v>0.3</v>
      </c>
      <c r="E23" s="92">
        <f>D23</f>
        <v>0.3</v>
      </c>
      <c r="F23" s="92">
        <v>-1</v>
      </c>
      <c r="G23" s="44">
        <f t="shared" si="5"/>
        <v>6</v>
      </c>
      <c r="H23" s="44">
        <f t="shared" si="6"/>
        <v>0</v>
      </c>
      <c r="I23" s="44">
        <f t="shared" si="7"/>
        <v>0.3</v>
      </c>
      <c r="J23" s="44">
        <f t="shared" si="8"/>
        <v>0</v>
      </c>
      <c r="K23" s="105">
        <f t="shared" ref="K23:K30" si="9">G23*I23</f>
        <v>1.7999999999999998</v>
      </c>
      <c r="L23" s="45">
        <f t="shared" ref="L23:L30" si="10">H23+J23</f>
        <v>0</v>
      </c>
      <c r="M23" s="39" t="s">
        <v>154</v>
      </c>
    </row>
    <row r="24" spans="1:13" s="44" customFormat="1" ht="30" customHeight="1">
      <c r="A24" s="66" t="s">
        <v>119</v>
      </c>
      <c r="B24" s="65">
        <v>1</v>
      </c>
      <c r="C24" s="92">
        <f t="shared" si="4"/>
        <v>1</v>
      </c>
      <c r="D24" s="65">
        <f>D23</f>
        <v>0.3</v>
      </c>
      <c r="E24" s="92">
        <f t="shared" ref="E24:E26" si="11">D24</f>
        <v>0.3</v>
      </c>
      <c r="F24" s="92">
        <v>1</v>
      </c>
      <c r="G24" s="44">
        <f t="shared" si="5"/>
        <v>1</v>
      </c>
      <c r="H24" s="44">
        <f t="shared" si="6"/>
        <v>0</v>
      </c>
      <c r="I24" s="44">
        <f t="shared" si="7"/>
        <v>0.3</v>
      </c>
      <c r="J24" s="44">
        <f t="shared" si="8"/>
        <v>0</v>
      </c>
      <c r="K24" s="105">
        <f t="shared" si="9"/>
        <v>0.3</v>
      </c>
      <c r="L24" s="45">
        <f t="shared" si="10"/>
        <v>0</v>
      </c>
      <c r="M24" s="39"/>
    </row>
    <row r="25" spans="1:13" s="44" customFormat="1" ht="30" customHeight="1">
      <c r="A25" s="64" t="s">
        <v>39</v>
      </c>
      <c r="B25" s="65">
        <v>2</v>
      </c>
      <c r="C25" s="92">
        <f t="shared" si="4"/>
        <v>2</v>
      </c>
      <c r="D25" s="65">
        <v>0.2</v>
      </c>
      <c r="E25" s="92">
        <f t="shared" si="11"/>
        <v>0.2</v>
      </c>
      <c r="F25" s="92">
        <v>-1</v>
      </c>
      <c r="G25" s="44">
        <f t="shared" si="5"/>
        <v>2</v>
      </c>
      <c r="H25" s="44">
        <f t="shared" si="6"/>
        <v>0</v>
      </c>
      <c r="I25" s="44">
        <f t="shared" si="7"/>
        <v>0.2</v>
      </c>
      <c r="J25" s="44">
        <f t="shared" si="8"/>
        <v>0</v>
      </c>
      <c r="K25" s="105">
        <f t="shared" si="9"/>
        <v>0.4</v>
      </c>
      <c r="L25" s="45">
        <f t="shared" si="10"/>
        <v>0</v>
      </c>
      <c r="M25" s="39"/>
    </row>
    <row r="26" spans="1:13" s="44" customFormat="1" ht="30" customHeight="1">
      <c r="A26" s="64" t="s">
        <v>40</v>
      </c>
      <c r="B26" s="65">
        <v>4</v>
      </c>
      <c r="C26" s="92">
        <f t="shared" si="4"/>
        <v>4</v>
      </c>
      <c r="D26" s="65">
        <v>0.01</v>
      </c>
      <c r="E26" s="92">
        <f t="shared" si="11"/>
        <v>0.01</v>
      </c>
      <c r="F26" s="92">
        <v>-1</v>
      </c>
      <c r="G26" s="44">
        <f t="shared" si="5"/>
        <v>4</v>
      </c>
      <c r="H26" s="44">
        <f t="shared" si="6"/>
        <v>0</v>
      </c>
      <c r="I26" s="44">
        <f t="shared" si="7"/>
        <v>0.01</v>
      </c>
      <c r="J26" s="44">
        <f t="shared" si="8"/>
        <v>0</v>
      </c>
      <c r="K26" s="105">
        <f t="shared" si="9"/>
        <v>0.04</v>
      </c>
      <c r="L26" s="45">
        <f t="shared" si="10"/>
        <v>0</v>
      </c>
      <c r="M26" s="39" t="s">
        <v>146</v>
      </c>
    </row>
    <row r="27" spans="1:13" s="44" customFormat="1" ht="30" customHeight="1">
      <c r="A27" s="64" t="s">
        <v>42</v>
      </c>
      <c r="B27" s="65">
        <v>1000</v>
      </c>
      <c r="C27" s="92">
        <f t="shared" si="4"/>
        <v>1000</v>
      </c>
      <c r="D27" s="106">
        <f>D22</f>
        <v>1</v>
      </c>
      <c r="E27" s="45">
        <v>1</v>
      </c>
      <c r="F27" s="45">
        <v>1</v>
      </c>
      <c r="G27" s="44">
        <f t="shared" si="5"/>
        <v>1000</v>
      </c>
      <c r="H27" s="44">
        <f t="shared" si="6"/>
        <v>0</v>
      </c>
      <c r="I27" s="44">
        <f t="shared" si="7"/>
        <v>1</v>
      </c>
      <c r="J27" s="44">
        <f t="shared" si="8"/>
        <v>0</v>
      </c>
      <c r="K27" s="105">
        <f t="shared" si="9"/>
        <v>1000</v>
      </c>
      <c r="L27" s="45">
        <f t="shared" si="10"/>
        <v>0</v>
      </c>
      <c r="M27" s="39" t="s">
        <v>45</v>
      </c>
    </row>
    <row r="28" spans="1:13" s="44" customFormat="1" ht="30" customHeight="1">
      <c r="A28" s="64" t="s">
        <v>198</v>
      </c>
      <c r="B28" s="65">
        <v>1</v>
      </c>
      <c r="C28" s="92">
        <f t="shared" si="4"/>
        <v>1</v>
      </c>
      <c r="D28" s="106">
        <v>1</v>
      </c>
      <c r="E28" s="45">
        <v>1</v>
      </c>
      <c r="F28" s="92">
        <v>1</v>
      </c>
      <c r="G28" s="44">
        <f t="shared" si="5"/>
        <v>1</v>
      </c>
      <c r="H28" s="44">
        <f t="shared" si="6"/>
        <v>0</v>
      </c>
      <c r="I28" s="44">
        <f t="shared" si="7"/>
        <v>1</v>
      </c>
      <c r="J28" s="44">
        <f t="shared" si="8"/>
        <v>0</v>
      </c>
      <c r="K28" s="105">
        <f t="shared" si="9"/>
        <v>1</v>
      </c>
      <c r="L28" s="45">
        <f t="shared" si="10"/>
        <v>0</v>
      </c>
    </row>
    <row r="29" spans="1:13" s="44" customFormat="1" ht="30" customHeight="1">
      <c r="A29" s="64" t="s">
        <v>43</v>
      </c>
      <c r="B29" s="65">
        <v>0.1</v>
      </c>
      <c r="C29" s="92">
        <f t="shared" si="4"/>
        <v>0.1</v>
      </c>
      <c r="D29" s="106">
        <v>1</v>
      </c>
      <c r="E29" s="45">
        <v>1</v>
      </c>
      <c r="F29" s="92">
        <v>-1</v>
      </c>
      <c r="G29" s="44">
        <f t="shared" si="5"/>
        <v>0.1</v>
      </c>
      <c r="H29" s="44">
        <f t="shared" si="6"/>
        <v>0</v>
      </c>
      <c r="I29" s="44">
        <f t="shared" si="7"/>
        <v>1</v>
      </c>
      <c r="J29" s="44">
        <f t="shared" si="8"/>
        <v>0</v>
      </c>
      <c r="K29" s="105">
        <f t="shared" si="9"/>
        <v>0.1</v>
      </c>
      <c r="L29" s="45">
        <f t="shared" si="10"/>
        <v>0</v>
      </c>
    </row>
    <row r="30" spans="1:13" s="44" customFormat="1" ht="30" customHeight="1">
      <c r="A30" s="64" t="s">
        <v>44</v>
      </c>
      <c r="B30" s="65">
        <f>B27</f>
        <v>1000</v>
      </c>
      <c r="C30" s="92">
        <f>C27</f>
        <v>1000</v>
      </c>
      <c r="D30" s="106">
        <v>1</v>
      </c>
      <c r="E30" s="45">
        <v>1</v>
      </c>
      <c r="F30" s="45">
        <v>-1</v>
      </c>
      <c r="G30" s="44">
        <f t="shared" si="5"/>
        <v>1000</v>
      </c>
      <c r="H30" s="44">
        <f t="shared" si="6"/>
        <v>0</v>
      </c>
      <c r="I30" s="44">
        <f t="shared" si="7"/>
        <v>1</v>
      </c>
      <c r="J30" s="44">
        <f t="shared" si="8"/>
        <v>0</v>
      </c>
      <c r="K30" s="105">
        <f t="shared" si="9"/>
        <v>1000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161</v>
      </c>
      <c r="L35" s="54" t="s">
        <v>162</v>
      </c>
      <c r="O35" s="54" t="s">
        <v>161</v>
      </c>
      <c r="P35" s="54" t="s">
        <v>162</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126</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L8" sqref="L8"/>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230</v>
      </c>
    </row>
    <row r="2" spans="1:18" ht="45">
      <c r="B2" s="110" t="s">
        <v>161</v>
      </c>
      <c r="C2" s="110" t="s">
        <v>162</v>
      </c>
      <c r="D2" s="5" t="s">
        <v>27</v>
      </c>
      <c r="E2" s="5"/>
      <c r="F2" s="5"/>
      <c r="G2" s="110" t="s">
        <v>161</v>
      </c>
      <c r="H2" s="110" t="s">
        <v>162</v>
      </c>
      <c r="I2" s="5" t="s">
        <v>27</v>
      </c>
      <c r="L2" s="3" t="s">
        <v>165</v>
      </c>
      <c r="M2" s="3" t="s">
        <v>163</v>
      </c>
      <c r="O2" t="s">
        <v>166</v>
      </c>
      <c r="Q2" s="3"/>
      <c r="R2" s="3"/>
    </row>
    <row r="3" spans="1:18">
      <c r="A3" s="5" t="s">
        <v>14</v>
      </c>
      <c r="B3" s="8">
        <f>VLOOKUP($A3,Globals!$J$36:$L$40,2,FALSE)</f>
        <v>3162277660168.3794</v>
      </c>
      <c r="C3" s="8">
        <f>VLOOKUP($A3,Globals!$J$36:$L$40,3,FALSE)</f>
        <v>1.1704562191085683</v>
      </c>
      <c r="D3" s="5"/>
      <c r="E3" s="5"/>
      <c r="F3" s="5" t="s">
        <v>14</v>
      </c>
      <c r="G3" s="5">
        <f>VLOOKUP($F3,Globals!$N$36:$P$42,2,FALSE)</f>
        <v>1000000000000</v>
      </c>
      <c r="H3" s="5">
        <f>VLOOKUP($F3,Globals!$N$36:$P$42,3,FALSE)</f>
        <v>1.5606082921447579</v>
      </c>
      <c r="I3" s="5"/>
      <c r="K3" s="15" t="s">
        <v>188</v>
      </c>
      <c r="L3" s="14">
        <f>G10*O3</f>
        <v>1.2649110640673517E+34</v>
      </c>
      <c r="M3" s="14">
        <f>H10</f>
        <v>2.7310645112533267</v>
      </c>
      <c r="N3" t="s">
        <v>72</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182</v>
      </c>
      <c r="L4" s="14">
        <f>B11*O4</f>
        <v>6.3245553203367595E+46</v>
      </c>
      <c r="M4" s="14">
        <f>C11</f>
        <v>3.5113686573257055</v>
      </c>
      <c r="N4" t="s">
        <v>76</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199</v>
      </c>
      <c r="L5" s="14">
        <f>B16*O5</f>
        <v>3.7947331922020553E+44</v>
      </c>
      <c r="M5" s="14">
        <f>C16</f>
        <v>3.5113686573257055</v>
      </c>
      <c r="N5" t="s">
        <v>200</v>
      </c>
      <c r="O5">
        <f>p_computronium*p_ems</f>
        <v>0.12</v>
      </c>
      <c r="Q5" s="3"/>
      <c r="R5" s="3"/>
    </row>
    <row r="6" spans="1:18">
      <c r="A6" s="5" t="s">
        <v>41</v>
      </c>
      <c r="B6" s="8">
        <f>VLOOKUP($A6,Globals!$J$36:$L$40,2,FALSE)</f>
        <v>0.1</v>
      </c>
      <c r="C6" s="8">
        <f>VLOOKUP($A6,Globals!$J$36:$L$40,3,FALSE)</f>
        <v>0</v>
      </c>
      <c r="D6" s="5"/>
      <c r="E6" s="5"/>
      <c r="F6" s="5"/>
      <c r="G6" s="5"/>
      <c r="H6" s="5"/>
      <c r="I6" s="5"/>
      <c r="K6" s="30" t="s">
        <v>157</v>
      </c>
      <c r="L6" s="31" t="str">
        <f>WriteArray(SumLognormDists(L3:M5))</f>
        <v>0,0,0,0,0,0,0,0,0,0,0,0,0,0,0,0,0,0,0,0,0,0,0,0,0,0,0,0,0,0,0,0,0,0,0,0,0,0,0,0,0,0,0,0,0,0,0,0,0,0,0,0,0,0,0,0,0,0,0,0,0,0,0,0,0,0,0,0,0,0,0,0,0,0,0,0,0,0,0,0,0,0,0,0,0,0,0,0,0,0,0,0,0,0,0,0,0,0,0,0,0,0,0,0,0,0,0,0,0,0,0,0,0,0,0,0,0,0,0,0,0,0,0,0,0,0,0,0,0,0,0,0,0,0,0,0,0,0,0,0,0,0,0,0,0,0,0,0,0,0,0,0,0,0,0,0,0,0,0,0,0,0,0,0,0,0,0,0,0,0,0,0,0,0,0,0,0,0,0,0,0,0,0,0,0,0,0,0,0,0,0,0,0,0,0,0,0,0,0,0,0,0,0,0,0,0,0,0,0,0,0,0,0,0,0,0,0,0,0,0,0,0,0,0,0,0,1.13635098543487E-322,2.86064008942082E-321,7.82352950189614E-320,2.11846949820747E-318,5.68639568578572E-317,1.51301249366545E-315,3.99059549783592E-314,1.0433324472202E-312,2.70394320981619E-311,6.94644010594307E-310,1.76895560463227E-308,4.46541176037963E-307,1.11736756867045E-305,2.77153658531431E-304,6.81451898459864E-303,1.6608861527923E-301,4.01268089437394E-300,9.60991438100703E-299,2.28136397995568E-297,5.36858512152124E-296,1.25232007297173E-294,2.89575029608221E-293,6.63738761782539E-292,1.5080772577042E-290,3.39656847252815E-289,7.58311367516393E-288,1.67820574353692E-286,3.6815721859586E-285,8.00593305265291E-284,1.72576295090038E-282,3.68757547915183E-281,7.81072456039602E-280,1.63995674136441E-278,3.41321907911449E-277,7.04184850557139E-276,1.44012427243931E-274,2.91947043203558E-273,5.86676982584578E-272,1.16865121604437E-270,2.30760631137015E-269,4.5167858295317E-268,8.76371602759129E-267,1.6855364708136E-265,3.21350597675842E-264,6.07311090765411E-263,1.1377176542422E-261,2.11275437254966E-260,3.8891508739597E-259,7.09662549104884E-258,1.28363142232467E-256,2.30154883377474E-255,4.09064220204129E-254,7.20699608473339E-253,1.25866053246326E-251,2.17898642733486E-250,3.73931511233738E-249,6.36093972133308E-248,1.07261093049367E-246,1.79289529412761E-245,2.97070450717936E-244,4.87928122966043E-243,7.9440901241208E-242,1.28210750027486E-240,2.05114676075606E-239,3.25282798181098E-238,5.11349195645254E-237,7.96831009631858E-236,1.23085557902705E-234,1.88469138253562E-233,2.86065654617939E-232,4.30411210943053E-231,6.41939155779687E-230,9.49066511989435E-229,1.39088741818603E-227,2.02059795906074E-226,2.90978231753178E-225,4.15368737946381E-224,5.87759811456185E-223,8.24439517560952E-222,1.14633249868025E-220,1.57999371864224E-219,2.15870415430957E-218,2.92364048114799E-217,3.92507482051674E-216,5.22354221862718E-215,6.89089349844723E-214,9.01113070565203E-213,1.16809032721234E-211,1.50095274089361E-210,1.91183816403757E-209,2.41395305282527E-208,3.02134392063936E-207,3.74856657095168E-206,4.61024579149739E-205,5.62052378421719E-204,6.79240272944722E-203,8.1369952929132E-202,9.66270615266211E-201,1.13743771428874E-199,1.32724376195127E-198,1.53521092760941E-197,1.76027199653617E-196,2.00071832453399E-195,2.25416986472696E-194,2.51757215763064E-193,2.78722411564927E-192,3.05883894658309E-191,3.32763871482049E-190,3.58848094230027E-189,3.83601344815717E-188,4.06485148528055E-187,4.26976933358801E-186,4.44589702724598E-185,4.58891197621194E-184,4.69521500093815E-183,4.76208078900544E-182,4.78777399809105E-181,4.77162410117319E-180,4.71405446765164E-179,4.61656391969309E-178,4.48166188538636E-177,4.31276106514849E-176,4.11403401943114E-175,3.89024208698113E-174,3.64654641224492E-173,3.38831151437109E-172,3.12091174873639E-171,2.84955023797298E-170,2.57909848185594E-169,2.3139630363124E-168,2.05798355098381E-167,1.81436425195147E-166,1.58563882406278E-165,1.37366673628575E-164,1.17965748074925E-163,1.00421803822554E-162,8.47418173780762E-162,7.08867899636641E-161,5.8780157675713E-160,4.83163594757403E-159,3.93691287294463E-158,3.17991616254469E-157,2.54609104156465E-156,2.02083431144533E-155,1.58995976354081E-154,1.240053265188E-153,9.58723689340079E-153,7.34760199763759E-152,5.58209176324444E-151,4.20385415723267E-150,3.13832395395287E-149,2.32245606200353E-148,1.70371516590022E-147,1.23892885203306E-146,8.93091153352558E-146,6.38183250482099E-145,4.52059252402307E-144,3.1742843277846E-143,2.20951495945469E-142,1.52457532439347E-141,1.04280188391803E-140,7.07059355480371E-140,4.75238100193125E-139,3.16641701589543E-138,2.09134953402173E-137,1.36926329163255E-136,8.88687992773954E-136,5.71760099875965E-135,3.64653801937232E-134,2.30542076743331E-133,1.44484879041487E-132,8.97630354890321E-132,5.5280987344713E-131,3.3748725613747E-130,2.04240794945026E-129,1.22526869432837E-128,7.28658643797108E-128,4.29557250619199E-127,2.51028106457731E-126,1.4542136845994E-125,8.3510081262885E-125,4.75395002961505E-124,2.6827214030903E-123,1.50072813289325E-122,8.32212430289838E-122,4.57480237181846E-121,2.49296789924204E-120,1.34668955979793E-119,7.21149009638124E-119,3.82815486279076E-118,2.01447190889922E-117,1.05084927824309E-116,5.43409733668738E-116,2.78562364988167E-115,1.41555189077787E-114,7.13079184698364E-114,3.56089056946709E-113,1.76274176937749E-112,8.65024216128166E-112,4.20801854780194E-111,2.02925744713793E-110,9.70078979741799E-110,4.59714082601379E-109,2.15963134033363E-108,1.00573339822909E-107,4.64299168152043E-107,2.12483431883129E-106,9.6397268992278E-106,4.33528092385294E-105,1.93278251591637E-104,8.54205455143742E-104,3.74244726280357E-103,1.62541187850679E-102,6.99819378670148E-102,2.98692079278007E-101,1.26379628631318E-100,5.30086201661697E-100,2.20410570271397e-99,9.08521644341907e-99,3.7124066039263e-98,1.50381239397126e-97,6.03879274943298e-97,2.40394993725868e-96,9.48680645691029e-96,3.71137209495135e-95,1.43935961171842e-94,5.53381983074269e-94,2.10912418443124e-93,7.9689532268062e-93,2.98485310972573e-92,1.10832669006579e-91,4.07977637839255e-91,1.48877571584062e-90,5.38576213105297e-90,1.93148204750819e-89,6.86689575746542e-89,2.42023299069653e-88,8.45632236002437e-88,2.92910014952962e-87,1.0058100537293e-86,3.4239508817523e-86,1.15549918122569e-85,3.86583310698292e-85,1.28217912854176e-84,4.21587057273355e-84,1.37423069055931e-83,4.44085599021601e-83,1.42268678643702e-82,4.51843854685521e-82,1.42267229422456e-81,4.44078495713063e-81,1.37421276400079e-80,4.21588345510781e-80,1.28222619747782e-79,3.86619008192174e-79,1.1557006941147e-78,3.42493474219751e-78,1.00624829229285e-77,2.93092798911369e-77,8.46356864222436e-77,2.42298963072703e-76,6.87702452122621e-76,1.93509340884731e-75,5.39830030875487e-75,1.49302589735601e-74,4.0938726238868e-74,1.11290869497491e-73,2.99947024537064e-73,8.01476944269855e-73,2.12324766720113e-72,5.57667291259529e-72,1.4521664260505e-71,3.74909270817335e-71,9.59635857267591e-71,2.4353380228352e-70,6.1275461452771e-70,1.52858863332865e-69,3.78071173330946e-69,9.2712372721562e-69,2.25416336013681e-68,5.43399318971091e-68,1.2987972114847e-67,3.07790203798312e-67,7.23206226898289e-67,1.6848695017325e-66,3.89197521488814e-66,8.91408135023121e-66,2.02436589323112e-65,4.55838079729042e-65,1.01775857932252e-64,2.25317569880461e-64,4.94612556785346e-64,1.0766110388884e-63,2.32370022906536e-63,4.9731674408475e-63,1.05541208517932e-62,2.22101508512735e-62,4.63474732344048e-62,9.59070555415992e-62,1.96802234538477e-61,4.00469735774887e-61,8.08118481141418e-61,1.61715525841842e-60,3.20926553290401e-60,6.31601286069491e-60,1.2327363440303e-59,2.38612904758409e-59,4.58058728027313e-59,8.72085721194632e-59,1.64670401907986e-58,3.08388498844025e-58,5.72816204824828e-58,1.0552989392235e-57,1.92835836087207e-57,3.49511412844985e-57,6.28356458521066e-57,1.12055210440027e-56,1.98221086888595e-56,3.4783277129574e-56,6.05487902697124e-56,1.04560279991342e-55,1.79129353157351e-55,3.04451770734025e-55,5.13375904218952e-55,8.58878510244555e-55,1.42567942750306e-54,2.34812443474285e-54,3.83747174715036e-54,6.22315353743213e-54,1.00146109511097e-53,1.59931318059553e-53,2.53470300219932e-53,3.98688467415919e-53,6.22404676126822e-53,9.64416861925456e-53,1.48330465079027e-52,2.26459747328146e-52,3.43217077111396e-52,5.16400556812546e-52,7.71378970763851e-52,1.14402650440839e-51,1.68467468319205e-51,2.46338721925991e-51,3.57693852959507e-51,5.15796466366462e-51,7.38685672017871e-51,1.0507081393274e-50,1.48447400724423e-50,2.0833314821391e-50,2.90446930748966e-50,4.02277078183754e-50,5.53555691565589e-50,7.56836870721485e-50,1.02819481871333e-49,1.3880583373671e-49,1.86219818755305e-49,2.48288296090488e-49,3.29021727873667e-49,4.33367306738116e-49,5.67382012097138e-49,7.38425592574169e-49,9.55372658331611e-49,1.22884204803897e-48,1.57144040264366e-48,1.99801543359715e-48,2.52591273109858e-48,3.17522814813604e-48,3.96904586660832e-48,4.93365027066616e-48,6.09869780892244e-48,7.4973332318182e-48,9.16623307324851e-48,1.11455581527835e-47,1.34787963634616e-47,1.62124772404274e-47,1.93957409315968e-47,2.30797463494221e-47,2.73169065789309e-47,3.2159944114399e-47,3.76607642019809e-47,4.38691514172561e-47,5.08313024669992e-47,5.8588216853222e-47,6.71739761711827e-47,7.6613952049698e-47,8.69229916322825e-47,9.81036375415763e-47,1.10144445940316e-46,1.23018471074204e-46,1.3668198706364e-46,1.51073517278795e-46,1.66113238064876e-46,1.81702816694902e-46,1.97725733190048e-46,2.14048122216658e-46,2.30520154987351e-46,2.4697796249117e-46,2.63246081156417e-46,2.79140381056965e-46,2.94471415962488e-46,3.09048114917286e-46,3.22681717626721e-46,3.35189841693454e-46,3.46400559521235e-46,3.5615635716513e-46,3.64317847009665e-46,3.70767111103919e-46,3.75410562205877e-46,3.78181224741074e-46,3.79040357352331e-46,3.7797836166435e-46,3.75014947275369e-46,3.70198549652914e-46,3.63605024319746e-46,3.55335666240757e-46,3.45514626505181e-46,3.34285818220705e-46,3.21809419167446e-46,3.08258089603336e-46,2.93813029331109e-46,2.78659998662697e-46,2.62985423444886e-46,2.46972695276445e-46,2.30798765093524e-46,2.14631112227562e-46,1.9862515275604e-46,1.82922131428582e-46,1.67647521612271e-46,1.5290993845678e-46,1.38800552628762e-46,1.25392976167043e-46,1.127435787689e-46,1.00892182464942e-46,8.98630753360114e-47,7.96662806669459e-47,7.02990165698513e-47,6.17472823731745e-47,5.39875115977127e-47,4.6988236699228e-47,4.07117174886522e-47,3.51154927794185e-47,3.01538229115532e-47,2.57789989585089e-47,2.19425022854621e-47,1.8596005412477e-47,1.56922116281701e-47,1.31855363551051e-47,1.10326378092499e-47,9.1928080039978e-48,7.62823765648457e-48,6.30417013227011e-48,5.18896031540952e-48,4.25405433503477e-48,3.47390554684465e-48,2.82584118965706e-48,2.28989283922713e-48,1.84860227908291e-48,1.48681280224363e-48,1.1914543332372e-48,9.51329184746031e-49,7.56903788757621e-49,6.00110404026256e-49,4.74161621884234e-49,3.73379481111031e-49,2.93040160230379e-49,2.29234535420601e-49,1.78744362027221e-49,1.38933441812095e-49,1.07652859011533e-49,8.31591878457738e-50,6.40444745486053e-50,4.91767616062353e-50,3.76499356423776e-50,2.87417300690788e-50,2.18787880306791e-50,1.66077810569341e-50,1.25716768194495e-50,9.49034974230901e-51,7.14482671465011e-51,5.36455380189723e-51,4.01715669548026e-51,3.00024654318905e-51,2.23489326469265e-51,1.66045045295554e-51,1.23046980147957e-51,9.09489211623141e-52,6.70517989612545e-52,4.93075570543631e-52,3.61667752784038e-52,2.64607216010584e-52,1.93103810492801e-52,1.40565366351326e-52,1.02062135841968e-52,7.3917938097041e-53,5.33990471689049e-53,3.8478211841441e-53,2.76562243479488e-53,1.98274195097712e-53,1.41785966396764e-53,1.01132867890507e-53,7.19517839827817e-54,5.10597901460176e-54,3.61412094857935e-54,2.55158758418677e-54,1.7968025186614e-54,1.26203156917051e-54,8.84133914384424e-55,6.1779136612523e-55,4.30565882690708e-55,2.99301909269841e-55,2.07515058467585e-55,1.43502093193778e-55,9.89768548481437e-56,6.80885737955796e-56,4.67173776356726e-56,3.19701622013955e-56,2.18208665761572e-56,1.48545192354463e-56,1.0085638852471e-56,6.82975702487494e-57,4.61278286723027e-57,3.10724603015574e-57,2.08757533870554e-57,1.39881935402978e-57,9.34831191035877e-58,6.23097521048733e-58,4.14218364312726e-58,2.74632827520194e-58,1.8160367802717e-58,1.1976923783763e-58,7.87796025883587e-59,5.16808413870215e-59,3.38136556858719e-59,2.20648479796608e-59,1.43600366671258e-59,9.32084990395643e-60,6.03393217036084e-60,3.89573932178794e-60,2.50855452610024e-60,1.61102043861993e-60,1.0318630986501e-60,6.59153156846898e-61,4.19946078274399e-61,2.66835368763067e-61,1.69096912481668e-61,1.06873527435603e-61,6.73669009671549e-62,4.23511048658659e-62,2.65536650896473e-62,1.66044910981915e-62,1.03554233738083e-62,6.44096854926495e-63,3.99553898826191e-63,2.47195350152447e-63,1.52526679294999e-63,9.38624310619646e-64,5.76073802771838e-64,3.52618167607065e-64,2.15263980433103e-64,1.31062386627472e-64,7.9583806292419e-65,4.81960205297179e-65,2.91096786386247e-65,1.75349010169937e-65,1.05343763453081e-65,6.3118093776269e-66,3.77171081511345e-66,2.24782401280148e-66,1.33605880679228e-66,7.92005387435591e-67,4.6824154073478e-67,2.76090166647383e-67,1.62357025687972e-67,9.52204743596949e-68,5.56965969706194e-68,3.24912192953825e-68,1.89035056201552e-68,1.09687629660382e-68,6.34763403740638e-69,3.66357433048459e-69,2.10880782834755e-69,1.21062000801363e-69,6.93134489319546e-70,3.95791048680014e-70,2.25399631348948e-70,1.28020402819634e-70,7.25176818240496e-71,4.09682443141471e-71,2.30828533802935e-71,1.29709061557228e-71,7.26925343591449e-72,4.06301062778693e-72,2.26487765800589e-72,1.25915781680829e-72,6.98158775461123e-73,3.86070699557792e-73,2.12920795168561e-73,1.17113753951113e-73,6.42445514358598e-74,3.51482145008445e-74,1.91782420137417e-74,1.04364518409492e-74,5.66415979236332e-75,3.06589063017962e-75,1.65506994072364e-75,8.91075636824956e-76,4.78466249038064e-76,2.5622798493787e-76,1.36848588976681e-76,7.2894135779053e-77,3.87242806935604e-77,2.05169416737189e-77,1.08412754924138e-77,5.71329469927442e-78,3.00283422345871e-78,1.5740356692565e-78,8.22879534757439e-79,4.29038661686055e-79,2.23097688404828e-79,1.1569968656167e-79,5.98422291515546e-80,3.08689465957507e-80,1.58808710748401e-80,8.14826777551461e-81,4.16960318326005e-81,2.12795586827397e-81,1.0831010202129e-81,5.49811435095688e-82,2.78353717052822e-82,1.40546079135731e-82,7.07748397699645e-83,3.55449170472514e-83,1.78038761260185e-83,8.89385552710521e-84,4.43102319604151e-84,2.20169127952906e-84,1.09105656223265e-84,5.39233112732986e-85,2.65793455651084e-85,1.30662347457495e-85,6.40612001775708e-86,3.13240657075926e-86,1.52756472911341e-86,7.42949949853118e-87,3.60377719379435e-87,1.74339078495822e-87,8.41143315323492e-88,4.04747045662637e-88,1.94238723056639e-88,9.29664779884358e-89,4.43767383184398e-89,2.11262694737036e-89,1.00306410085555e-89,4.74977454281649e-90,2.24313668857696e-90,1.05651803972808e-90,4.96291148834333e-91,2.32506220811092e-91,1.08635322682118e-91,5.06227780267136e-92,2.35266083945856e-92,1.09046343253532e-92,5.04082154653525e-93,2.32396708428252e-93,1.06855542933911e-93,4.9000732355524e-94,2.24102406095284e-94,1.0221835804257e-94,4.64996532269044e-95,2.10964295750994e-95,9.54567488114452e-96,4.3076732076934e-96,1.93872982614303e-96,8.70222416569284e-97,3.89566562242997e-97,1.73928804283039e-97,7.74461408080351e-98,3.43927167753575e-98,1.52325150801759e-98,6.72845235950686e-99,2.96412953151794e-99,1.30231968821093e-99,5.7065872995107E-100,2.49386968553117E-100,1.08694977774065E-100,4.72480219350596E-101,2.04831250133127E-101,8.85619623680035E-102,3.81888585590215E-102,1.64234561588149E-102,7.0441868013847E-103,3.01325304497574E-103,1.28551981398115E-103,5.46966057570161E-104,2.32102815885366E-104,9.82288077861341E-105,4.14606176412797E-105,1.74530403567168E-105,7.3273147800859E-106,3.0680118748107E-106,1.28117263580151E-106,5.33576510887441E-107,2.21627772879917E-107,9.18100222265404E-108,3.79310123222419E-108,1.56292164314097E-108,6.42271140008061E-109,2.63231610534275E-109,1.07595994691401E-109,4.38624210400981E-110,1.78331279138316E-110,7.23104194351842E-111,2.92423766931364E-111,1.17940478266733E-111,4.74407484995703E-112,1.90317450442848E-112,7.61454785363018E-113,3.03842177789231E-113,1.20917853947002E-113,4.79922633239557E-114,1.899723799553E-114,7.49977312710077E-115,2.95286926076424E-115,1.15952133080655E-115,4.54100203560607E-116,1.7736302258928E-116,6.90896347410151E-117,2.68411514541931E-117,1.03998678104271E-117,4.01876791471053E-118,1.54880400837618E-118,5.95303494891055E-119,2.28201676695276E-119,8.72444201295931E-120,3.32655662485191E-120,1.26500024895317E-120,4.79760769158467E-121,1.81466842981475E-121,6.84554872511953E-122,2.57547701781913E-122,9.66374634865204E-123,3.6163611588844E-123,1.34969767753894E-123,5.02388437599878E-124,1.86501015635404E-124,6.90496048117482E-125,2.54964446233896E-125,9.38937060452993E-126,3.44851221842059E-126,1.26318071717969E-126,4.61463798181195E-127,1.68131162479412E-127,6.10938122235361E-128,2.2140359392631E-128,8.00222092786184E-129,2.88452853120459E-129,1.03699716988932E-129,3.71808003275748E-130,1.32953056864662E-130,4.74150650706761E-131,1.68644741972104E-131,5.98229313900719E-132,2.11641585105372E-132,7.46745736179583E-133,2.62774324307614E-133,9.22213626641919E-134,3.22788885718219E-134,1.12679274169317E-134,3.92290634044882E-135,1.36210400114057E-135,4.71683873601944E-136,1.62903426262141E-136,5.61109781427185E-137,1.92754218211453E-137,6.60386783126724E-138,</v>
      </c>
      <c r="M6" s="31" t="s">
        <v>153</v>
      </c>
      <c r="Q6" s="3"/>
      <c r="R6" s="3"/>
    </row>
    <row r="7" spans="1:18">
      <c r="B7" s="5"/>
      <c r="C7" s="5"/>
      <c r="D7" s="5"/>
      <c r="E7" s="5"/>
      <c r="F7" s="10" t="s">
        <v>50</v>
      </c>
      <c r="G7" s="5"/>
      <c r="H7" s="5"/>
      <c r="I7" s="5"/>
      <c r="K7" s="3" t="s">
        <v>160</v>
      </c>
      <c r="L7" s="3">
        <f>STupidExcelMean(L6)</f>
        <v>7.0620256985400632E+50</v>
      </c>
      <c r="M7" s="3">
        <f>STupidExcelVariance(L6,L7)</f>
        <v>5.959747492242024E+109</v>
      </c>
      <c r="N7" t="s">
        <v>155</v>
      </c>
      <c r="Q7" s="3"/>
      <c r="R7" s="3"/>
    </row>
    <row r="8" spans="1:18">
      <c r="B8" s="5"/>
      <c r="C8" s="5"/>
      <c r="D8" s="5"/>
      <c r="E8" s="5"/>
      <c r="F8" s="5" t="s">
        <v>17</v>
      </c>
      <c r="G8" s="5">
        <f>VLOOKUP($F8,Globals!$N$36:$P$42,2,FALSE)</f>
        <v>100000000000</v>
      </c>
      <c r="H8" s="5">
        <f>VLOOKUP($F8,Globals!$N$36:$P$42,3,FALSE)</f>
        <v>0.78030414607237897</v>
      </c>
      <c r="I8" s="5"/>
      <c r="Q8" s="3"/>
      <c r="R8" s="3"/>
    </row>
    <row r="9" spans="1:18" ht="30">
      <c r="A9" s="10" t="s">
        <v>47</v>
      </c>
      <c r="B9" s="5"/>
      <c r="C9" s="5"/>
      <c r="D9" s="5"/>
      <c r="E9" s="5"/>
      <c r="F9" s="5" t="s">
        <v>227</v>
      </c>
      <c r="G9" s="5">
        <f>VLOOKUP(F9,Globals!$A$21:$L$30,11,FALSE)</f>
        <v>1</v>
      </c>
      <c r="H9" s="5">
        <f>VLOOKUP(F9,Globals!$A$21:$L$30,12,FALSE)</f>
        <v>0</v>
      </c>
      <c r="I9" s="12" t="s">
        <v>229</v>
      </c>
      <c r="K9" s="15" t="s">
        <v>187</v>
      </c>
      <c r="L9" s="14">
        <f>G16*O9</f>
        <v>5.4644157967709579E+33</v>
      </c>
      <c r="M9" s="14">
        <f>H16</f>
        <v>2.7310645112533267</v>
      </c>
      <c r="N9" t="s">
        <v>62</v>
      </c>
      <c r="O9">
        <f>p_biological*p_not_care_about_animals*p_factory_farming</f>
        <v>9.6000000000000016E-2</v>
      </c>
      <c r="Q9" s="3"/>
      <c r="R9" s="3"/>
    </row>
    <row r="10" spans="1:18">
      <c r="A10" s="5" t="s">
        <v>42</v>
      </c>
      <c r="B10" s="5">
        <f>VLOOKUP(A10,Globals!$A$21:$L$30,11,FALSE)</f>
        <v>1000</v>
      </c>
      <c r="C10" s="5">
        <f>VLOOKUP(A10,Globals!$A$21:$L$30,12,FALSE)</f>
        <v>0</v>
      </c>
      <c r="D10" s="5"/>
      <c r="E10" s="5"/>
      <c r="F10" s="17" t="s">
        <v>52</v>
      </c>
      <c r="G10" s="111">
        <f>PRODUCT(G$3:G$4)*PRODUCT(G8:G9)</f>
        <v>3.1622776601683788E+34</v>
      </c>
      <c r="H10" s="111">
        <f>SUM(H$3:H$4)+SUM(H8:H9)</f>
        <v>2.7310645112533267</v>
      </c>
      <c r="I10" s="5"/>
      <c r="K10" s="15" t="s">
        <v>184</v>
      </c>
      <c r="L10" s="14">
        <f>G22*O10</f>
        <v>5.1200000000000003E+36</v>
      </c>
      <c r="M10" s="14">
        <f>H22</f>
        <v>3.1212165842895159</v>
      </c>
      <c r="N10" t="s">
        <v>73</v>
      </c>
      <c r="O10">
        <f>p_biological*p_not_care_about_animals*p_spread_was</f>
        <v>0.12800000000000003</v>
      </c>
      <c r="Q10" s="3"/>
      <c r="R10" s="3"/>
    </row>
    <row r="11" spans="1:18">
      <c r="A11" s="16" t="s">
        <v>52</v>
      </c>
      <c r="B11" s="111">
        <f>PRODUCT($B$3:$B$6)*B10</f>
        <v>3.1622776601683793E+48</v>
      </c>
      <c r="C11" s="111">
        <f>SUM(C$3:C$6)+C10</f>
        <v>3.5113686573257055</v>
      </c>
      <c r="D11" s="5"/>
      <c r="E11" s="5"/>
      <c r="F11" s="5"/>
      <c r="G11" s="5"/>
      <c r="H11" s="5"/>
      <c r="I11" s="5"/>
      <c r="K11" s="15" t="s">
        <v>185</v>
      </c>
      <c r="L11" s="14">
        <f>G28*O11</f>
        <v>1.6190861620062103E+40</v>
      </c>
      <c r="M11" s="14">
        <f>H28</f>
        <v>3.5113686573257055</v>
      </c>
      <c r="N11" t="s">
        <v>74</v>
      </c>
      <c r="O11">
        <f>p_biological*p_not_care_about_animals*p_spread_was</f>
        <v>0.12800000000000003</v>
      </c>
      <c r="Q11" s="3"/>
      <c r="R11" s="3"/>
    </row>
    <row r="12" spans="1:18">
      <c r="B12" s="8"/>
      <c r="C12" s="5"/>
      <c r="D12" s="5"/>
      <c r="E12" s="5"/>
      <c r="F12" s="5"/>
      <c r="G12" s="5"/>
      <c r="H12" s="5"/>
      <c r="I12" s="5"/>
      <c r="K12" s="15" t="s">
        <v>186</v>
      </c>
      <c r="L12" s="14">
        <f>G35*O12</f>
        <v>3.8399999999999992E+38</v>
      </c>
      <c r="M12" s="14">
        <f>H35</f>
        <v>4.6818248764342734</v>
      </c>
      <c r="N12" t="s">
        <v>75</v>
      </c>
      <c r="O12">
        <f>p_biological*p_not_care_about_animals*p_suffering_simulations</f>
        <v>9.6000000000000016E-2</v>
      </c>
      <c r="Q12" s="3"/>
      <c r="R12" s="3"/>
    </row>
    <row r="13" spans="1:18" ht="30">
      <c r="B13" s="5"/>
      <c r="C13" s="5"/>
      <c r="D13" s="5"/>
      <c r="E13" s="5"/>
      <c r="F13" s="10" t="s">
        <v>53</v>
      </c>
      <c r="G13" s="5"/>
      <c r="H13" s="5"/>
      <c r="I13" s="5"/>
      <c r="K13" s="15" t="s">
        <v>189</v>
      </c>
      <c r="L13" s="14">
        <f>B21*O13</f>
        <v>8.0954308100310524E+43</v>
      </c>
      <c r="M13" s="14">
        <f>C21</f>
        <v>3.5113686573257055</v>
      </c>
      <c r="N13" t="s">
        <v>77</v>
      </c>
      <c r="O13">
        <f>p_computronium*p_paperclip</f>
        <v>0.25600000000000001</v>
      </c>
      <c r="Q13" s="3"/>
      <c r="R13" s="3"/>
    </row>
    <row r="14" spans="1:18" ht="30">
      <c r="A14" s="10" t="s">
        <v>197</v>
      </c>
      <c r="B14" s="5"/>
      <c r="C14" s="5"/>
      <c r="D14" s="5"/>
      <c r="E14" s="5"/>
      <c r="F14" s="5" t="s">
        <v>18</v>
      </c>
      <c r="G14" s="5">
        <f>VLOOKUP($F14,Globals!$N$36:$P$42,2,FALSE)</f>
        <v>100000000000</v>
      </c>
      <c r="H14" s="5">
        <f>VLOOKUP($F14,Globals!$N$36:$P$42,3,FALSE)</f>
        <v>0.78030414607237897</v>
      </c>
      <c r="I14" s="5"/>
      <c r="K14" s="15" t="s">
        <v>183</v>
      </c>
      <c r="L14" s="14">
        <f>B26*O14</f>
        <v>1.2649110640673518E+46</v>
      </c>
      <c r="M14" s="14">
        <f>C26</f>
        <v>3.5113686573257055</v>
      </c>
      <c r="N14" t="s">
        <v>78</v>
      </c>
      <c r="O14">
        <f>p_computronium*p_dolorium</f>
        <v>4.0000000000000001E-3</v>
      </c>
    </row>
    <row r="15" spans="1:18" ht="30">
      <c r="A15" s="5" t="s">
        <v>198</v>
      </c>
      <c r="B15" s="5">
        <f>VLOOKUP(A15,Globals!$A$21:$L$30,11,FALSE)</f>
        <v>1</v>
      </c>
      <c r="C15" s="5">
        <f>VLOOKUP(A15,Globals!$A$21:$L$30,12,FALSE)</f>
        <v>0</v>
      </c>
      <c r="D15" s="5"/>
      <c r="E15" s="5"/>
      <c r="F15" s="5" t="s">
        <v>38</v>
      </c>
      <c r="G15" s="5">
        <f>VLOOKUP(F15,Globals!$A$21:$L$30,11,FALSE)</f>
        <v>1.7999999999999998</v>
      </c>
      <c r="H15" s="5">
        <f>VLOOKUP(F15,Globals!$A$21:$L$30,12,FALSE)</f>
        <v>0</v>
      </c>
      <c r="I15" s="5"/>
      <c r="K15" s="30" t="s">
        <v>158</v>
      </c>
      <c r="L15" s="31" t="str">
        <f>WriteArray(SumLognormDists(L9:M14))</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9.88131291682493E-324,1.65511991356818E-321,1.50823419705957E-319,1.35353186796812E-317,1.19492797164064E-315,1.037740102434E-313,8.86562697587412E-312,7.45082692682814E-310,6.15990267145451E-308,5.00976976516223E-306,4.00808033345294E-304,3.15449608618438E-302,2.44229819295948E-300,1.86012744042723E-298,1.39367729648458E-296,1.02720580706597E-294,7.4478105982605E-293,5.31221817479397E-291,3.7273443024277E-289,2.57276225907731E-287,1.74693420845892E-285,1.16689130409608E-283,7.66763505243298E-282,4.95644006577536E-280,3.15178001986759E-278,1.97160437737588E-276,1.21328187737312E-274,7.3448331760612E-273,4.37401914498721E-271,2.5624663643545E-269,1.47677609015906E-267,8.37240741039476E-266,4.66944771488883E-264,2.56188944965233E-262,1.38272305385877E-260,7.34159158398051E-259,3.83464961613669E-257,1.97034309785416E-255,9.95953326454189E-254,4.95241848280898E-252,2.42257464454181E-250,1.16578576330976E-248,5.51877063112748E-247,2.57008940260374E-245,1.17743429669497E-243,5.30649765090505E-242,2.35267748332504E-240,1.02612490032202E-238,4.402726996298E-237,1.85834900243192E-235,7.7164418772857E-234,3.15203831235778E-232,1.26663293769558E-230,5.00720377102881E-229,1.94726592283171E-227,7.44973950131394E-226,2.80377432180676E-224,1.03808158852786E-222,3.7810003510846E-221,1.35478092554428E-219,4.77550046523447E-218,1.65598543636278E-216,5.64913928014286E-215,1.89581759470971E-213,6.25892386460975E-212,2.03278758208499E-210,6.49492147263336E-209,2.04148293686405E-207,6.31259493467192E-206,1.92026332903353E-204,5.74651753840132E-203,1.69176547221798E-201,4.8996769376538E-200,1.39600509486552E-198,3.91290439871028E-197,1.07895805157138E-195,2.92686971717218E-194,7.81081146984214E-193,2.05061100519366E-191,5.29621021284006E-190,1.3456818396191E-188,3.36368459362755E-187,8.27150041611796E-186,2.00101316522132E-184,4.76225545851518E-183,1.11499521112169E-181,2.56821497719651E-180,5.81953520107089E-179,1.29731153571805E-177,2.84511500321573E-176,6.13840382697608E-175,1.30290183935935E-173,2.72062750959737E-172,5.58892348629727E-171,1.12950845816371E-169,2.24570971512961E-168,4.3925946392946E-167,8.45264437527745E-166,1.60017919720911E-164,2.98023010277142E-163,5.4605544322807E-162,9.84305866576785E-161,1.74554250974853E-159,3.04535870492488E-158,5.22702772894423E-157,8.82632971740026E-156,1.46627410161497E-154,2.39640682322359E-153,3.85315964884546E-152,6.09516197175173E-151,9.48562653485482E-150,1.45231245504074E-148,2.18760109213211E-147,3.24183573554685E-146,4.72638910757842E-145,6.77929197603103E-144,9.56657375790044E-143,1.32814828491641E-141,1.81407658178692E-140,2.43772352486653E-139,3.22280440336333E-138,4.19184314161784E-137,5.36412138946361E-136,6.75329335404305E-135,8.36482848861303E-134,1.01935124436574E-132,1.2221290584028E-131,1.44157653946909E-130,1.67296483491657E-129,1.91014115139938E-128,2.14572838513798E-127,2.37145991095451E-126,2.57863413681019E-125,2.75865719825042E-124,2.90362822998763E-123,3.00691236562936E-122,3.06364380645108E-121,3.0711058795133E-120,3.02894674184177E-119,2.93920687608649E-118,2.80615538618953E-117,2.6359533808336E-116,2.43618139916839E-115,2.21528131257443E-114,1.98196973821585E-113,1.74467917410341E-112,1.51107543199948E-111,1.28768711199504E-110,1.07966707770943E-109,8.90689606549043E-109,7.22972340093838E-108,5.77401027367619E-107,4.53728274281573E-106,3.50815240818241E-105,2.66886943427088E-104,1.99776531889844E-103,1.4714039997016E-102,1.06633048905054E-101,7.60372362183646E-101,5.3350396273841E-100,3.68322372528973e-99,2.5020733059201e-98,1.67246048046668e-97,1.10001371061638e-96,7.11916892312491e-96,4.53369296868987e-95,2.84098696211688e-94,1.75179589617764e-93,1.06291315587697e-92,6.34621887799314e-92,3.72853617027447e-91,2.1556134351234e-90,1.22635403965311e-89,6.86557113056291e-89,3.78230686014733e-88,2.05049969140282e-87,1.09392917024057e-86,5.74313537356125e-86,2.96717520357736e-85,1.50860546930118e-84,7.54832707843055e-84,3.71682937933672e-83,1.80113350603389e-82,8.58964441416351e-82,4.03148696621056e-81,1.86217755448897e-80,8.46540616226473e-80,3.78748314214068e-79,1.66776675340499e-78,7.22781960891906e-78,3.08299333418392e-77,1.29430689755074e-76,5.34820047102015e-76,2.17515589097791e-75,8.70747431962979e-75,3.43099575653056e-74,1.3307045651014e-73,5.08023963081128e-73,1.90913095912232e-72,7.06227132955703e-72,2.57169068802344e-71,9.21865464872698e-71,3.25311941351838e-70,1.13012279286103e-69,3.86504296375778e-69,1.30135673161219e-68,4.31382409539761e-68,1.40787352400949e-67,4.52388484835887e-67,1.43125870173635e-66,4.45857342813485e-66,1.36759617326848e-65,4.13064150805428e-65,1.22853872925871e-64,3.5982101580739e-64,1.03782879490963e-63,2.94796432562122e-63,8.24693321197427e-63,2.2722366553097e-62,6.1662799559665e-62,1.64823818972783e-61,4.33973245186951e-61,1.12556901747132e-60,2.87586313046717e-60,7.23890238233208e-60,1.79517994984605e-59,4.38628858412282e-59,1.05600118475275e-58,2.5051546141272e-58,5.85643638220294e-58,1.34923579127944e-57,3.06355376413362e-57,6.85606684677764e-57,1.51239795267574e-56,3.28873747457364e-56,7.05011151849026e-56,1.49004355210164e-55,3.10507184474886e-55,6.38040943087489e-55,1.29290048075139e-54,2.5837928638239e-54,5.09288257259189e-54,9.90196134967001e-54,1.89919468647121e-53,3.59375431321573e-53,6.70963139741089e-53,1.23612340824631e-52,2.24739862636148e-52,4.03270442438352e-52,7.14256453295333e-52,1.24881328775169e-51,2.1556138264044e-51,3.67383387072333e-51,6.18284759377503e-51,1.02759913905644e-50,1.68682889823192e-50,2.73512131312173e-50,4.3811357782151e-50,6.93342441171432e-50,1.08419214746048e-49,1.67536171341728e-49,2.55859297789649e-49,3.86216199448427e-49,5.76292187041693e-49,8.50127656274902e-49,1.23994043502817e-48,1.78829331376661e-48,2.55060855743029e-48,3.59800510995367e-48,5.02040003317343e-48,6.92977379112567e-48,9.46345057940091e-48,1.27871924271677e-47,1.70978529165571e-47,2.26252879123119e-47,2.96331825078647e-47,3.84184319167631e-47,4.93087157654945e-47,6.26579360111279e-47,7.88392528902199e-47,9.82355530096574e-47,1.21227318035919e-46,1.48178027050657e-46,1.79417412439985e-46,2.1522308657236e-46,2.55801249975878e-46,3.0126736482771e-46,3.51627813356836e-46,4.06763643337035e-46,4.66417519043196e-46,5.3018493698556e-46,5.97510628107097e-46,6.67690854974914e-46,7.39882033449752e-46,8.13115779176802e-46,8.86320120920745e-46,9.58346259696295e-46,1.02799991076074e-45,1.0940759700715e-45,1.15539502009831e-45,1.21084004937269e-45,1.25939171690366e-45,1.30016055027377e-45,1.33241462089734e-45,1.3556014803858e-45,1.36936345085569e-45,1.37354571734725e-45,1.36819704762249e-45,1.35356333818942e-45,1.33007453158722e-45,1.2983257481195e-45,1.25905370933379e-45,1.21310969017339e-45,1.16143031738202e-45,1.10500753473865e-45,1.04485898754583e-45,9.8199995020246e-46,9.17417745348572e-46,8.52049396301154e-46,7.86763031954924e-46,7.22343339794679e-46,6.59481151139028e-46,5.98767053697527e-46,5.40688767578459e-46,4.85631896646001e-46,4.33883579354306e-46,3.85638511125577e-46,3.41006791183479e-46,3.00023056185447e-46,2.62656395744339e-46,2.28820595282195e-46,1.98384313923644e-46,1.71180873999706e-46,1.47017409521155e-46,1.25683189825571e-46,1.06956998512591e-46,9.06135046425247e-47,7.64286116844453e-47,6.41838092763753e-47,5.36695835083773e-47,4.46879636234368e-47,3.70542975427621e-47,3.05983564612214e-47,2.51648710294806e-47,2.06135994666341e-47,1.68190224110226e-47,1.36697514073344e-47,1.10677285151023e-47,8.92728434244688e-48,7.17411145559834e-48,5.74420005122815e-48,4.58277334307499e-48,3.64325153547408e-48,2.88626566984883e-48,2.2787360954428e-48,1.79302483216832e-48,1.40616661631845e-48,1.09917987262285e-48,8.56456142480168e-49,6.65224511537132e-49,5.15086210564976e-49,3.97613705020561e-49,3.06008140776757e-49,2.34808885710729e-49,1.79649019531083e-49,1.37050909302275e-49,1.04256408878406e-49,7.90866909520521e-50,5.98272245354776e-50,4.51339209638391e-50,3.39569679139695e-50,2.54793396355429e-50,1.90674037869002e-50,1.42314361065452e-50,1.05942018007638e-50,7.86606736665036e-51,5.82537051861183e-51,4.30300186715018e-51,3.17034351102711e-51,2.32987050360864e-51,1.7078550186482e-51,1.24872360572322e-51,9.10708579119571e-52,6.62508405054541e-52,4.80731682069634e-52,3.4794734765112e-52,2.5120216035903e-52,1.80897063652924e-52,1.29938219589017e-52,9.30975451332952e-53,6.65325133272435e-53,4.74266335768158e-53,3.37210810039349e-53,2.39149540619577e-53,1.69170436788863e-53,1.19361478877042e-53,8.40014221815481e-54,5.89643811245252e-54,4.12830199408646e-54,2.88290126855457e-54,2.00799537130841e-54,1.39498122579745e-54,9.66595764084036e-55,6.68021595848024e-55,4.604722899252e-55,3.16579106218247e-55,2.17082687476097e-55,1.48467310510464e-55,1.01273961230279e-55,6.89008729046033e-56,4.67530943348211e-56,3.16412412664788e-56,2.13576298805269e-56,1.43783128815562e-56,9.65421871963898e-57,6.46516667466727e-57,4.31812111629817e-57,2.87648147240584e-57,1.91108157821098e-57,1.26633035414806e-57,8.36882064428041e-58,5.51607679791252e-58,3.62613972824275e-58,2.37742254654325e-58,1.55458791902506e-58,1.01384312293129e-58,6.59435482539672e-59,4.27779032849409e-59,2.76765456111727e-59,1.78586687299427e-59,1.14929287076103e-59,7.37660324041671e-60,4.72199895448178e-60,3.01466310068647e-60,1.91952966072805e-60,1.21897201773223e-60,7.72031911461321e-61,4.87662240587363e-61,3.07216925719092e-61,1.93024778449037e-61,1.20954685543272e-61,7.55916541366259e-62,4.71157748999171e-62,2.92886931687301e-62,1.81582778358825e-62,1.12276838386784e-62,6.92383015730314e-63,4.25836826552534e-63,2.61204395481222e-63,1.59793121234812e-63,9.74935539611566e-64,5.9324466656801e-64,3.60024289461133e-64,2.17906250237914e-64,1.31536842036685e-64,7.91890057659521e-65,4.75468825790409e-65,2.84720547165048e-65,1.70041570507875e-65,1.01281675283542e-65,6.01652956471496e-66,3.56451614718679e-66,2.10617481853552e-66,1.24115920653049e-66,7.29457123311242e-67,4.27573913194648e-67,2.49954950859834e-67,1.45730802968624e-67,8.47383506558494e-68,4.91414146195679e-68,2.84219759234696e-68,1.63945618388358e-68,9.4315759343041e-69,5.41137453592469e-69,3.09649064401741e-69,1.76713926319603e-69,1.00579757257276e-69,5.70938290886179e-70,3.23226171562441e-70,1.82499889858748e-70,1.02767884761754e-70,5.77152968963238e-71,3.23268315173272e-71,1.80581817395239e-71,1.0060592513199e-71,5.5899991884647e-72,3.09769435472821e-72,1.71200096624073e-72,9.43643726718178e-73,5.18741159724367e-73,2.84401544198527e-73,1.55507654929922e-73,8.48027949533331e-74,4.61218929490431e-74,2.50174267268187e-74,1.35337047524771e-74,7.30178936273237e-75,3.92898560985896e-75,2.10848300382825e-75,1.12849150447834e-75,6.02372311406594e-76,3.20678778237335e-76,1.70260516811228e-76,9.01563202242219e-77,4.76120527867679e-77,2.5077031773754e-77,1.31726710010115e-77,6.90096853788617e-78,3.60565968386849e-78,1.87887505891265e-78,9.76448959483043e-79,5.06103881103171e-79,2.61618385461762e-79,1.34876200948342e-79,6.9349104282508e-80,3.55618915397108e-80,1.81872616013915e-80,9.27658729666981e-81,4.71897436177023e-81,2.39411748196607e-81,1.21138378033639e-81,6.11302970157527e-82,3.07659061490788e-82,1.54426336273928e-82,7.73056927067995e-83,3.85957988024093e-83,1.92179491564826e-83,9.54360583120069e-84,4.7266820998711e-84,2.33474116166709e-84,1.1501633656475e-84,5.65091487275559e-85,2.76895847263659e-85,1.35317062769515e-85,6.59518714756921e-86,3.20582732434891e-86,1.55414511990386e-86,7.5141775333282e-87,3.62334571611346e-87,1.74251503569724e-87,8.35760291330396e-88,3.99783963926801e-88,1.90724921075062e-88,9.07460969673846e-89,4.30612767704121e-89,2.03790664978045e-89,9.61878253668628e-90,4.52787429876643e-90,2.12572486356784e-90,9.9530956569926e-91,4.64780328373911e-91,2.16459042684782e-91,1.00540759729153e-91,4.65743739550788e-92,2.15174262448922e-92,9.91452823204439e-93,4.55608919816929e-93,2.08809770259286e-93,9.54438272958492e-94,4.35094215894439e-94,1.9781408263607e-94,8.96952687617403e-95,4.05620874728492e-95,1.82940344039414e-95,8.22881157815098e-96,3.69150258460062e-96,1.65161062376602e-96,7.36971326022811e-97,3.27968358093441e-97,1.45563246273934e-97,6.44332371491434e-98,2.84450434376879e-98,1.25239603283605e-98,5.4993985747847e-99,2.40839181087256e-99,1.05190741944866e-99,4.58211860342757E-100,1.99064384562706E-100,8.62500262921091E-101,3.72703385709637E-101,1.60622311335671E-101,6.90377828120965E-102,2.95941745304987E-102,1.26521419908874E-102,5.39461325063261E-103,2.29400839780961E-103,9.72899820011537E-104,4.1150931806502E-104,1.73591979386455E-104,7.30328195734058E-105,3.06439617205338E-105,1.2823606573802E-105,5.35197271446333E-106,2.22769652121572E-106,9.24776091968882E-107,3.82873749314897E-107,1.58093137904782E-107,6.51041808402317E-108,2.6738877331265E-108,1.09525662697993E-108,4.47431999810345E-109,1.82295783407571E-109,7.40738019867283E-110,3.00186446547294E-110,1.21326579589549E-110,4.89056752047E-111,1.96607913817178E-111,7.8828118602519E-112,3.15209834081745E-112,1.2570622543008E-112,4.99979553532339E-113,1.98328959471816E-113,7.8461833581714E-114,3.09577367735465E-114,1.21819940789166E-114,4.78085966210037E-115,1.87125096641196E-115,7.30460120079035E-116,2.84380238196254E-116,1.10418221460384E-116,4.27583080737686E-117,1.65134838916452E-117,6.36055969375618E-118,2.44337648031421E-118,9.36103514889777E-119,3.57680936017663E-119,1.36303228077409E-119,5.18030010443528E-120,1.96355074356969E-120,7.42280016701417E-121,2.79854206469979E-121,1.05228732678257E-121,3.94616528252262E-122,1.47589218604684E-122,5.50519144071101E-123,2.04799385445349E-123,7.59842012954433E-124,2.81161846599653E-124,1.03759507522691E-124,3.81889613824005E-125,1.40180054019284E-125,5.13183907745407E-126,1.87369227584726E-126,6.82278889628745E-127,2.47778735403617E-127,8.97438218887091E-128,3.24177986085477E-128,1.1678872297442E-128,4.19620531927502E-129,1.50366461842086E-129,5.37382676647001E-130,1.91537923174422E-130,6.80870184270753E-131,2.41386117538586E-131,8.53490503319149E-132,3.0097022104543E-132,1.05849007912868E-132,3.71268827987152E-133,1.29875912764948E-133,4.53113674626573E-134,1.57660956080002E-134,5.47116198578802E-135,1.89353536665099E-135,6.53590452551851E-136,2.24996834744931E-136,7.72476983202389E-137,2.64504532278059E-137,9.03273186867817E-138,3.07640529216774E-138,1.04497622939744E-138,3.54003620453196E-139,1.19604474260668E-139,4.0301905437806E-140,1.35438508808398E-140,</v>
      </c>
      <c r="M15" s="31" t="s">
        <v>153</v>
      </c>
    </row>
    <row r="16" spans="1:18">
      <c r="A16" s="16" t="s">
        <v>52</v>
      </c>
      <c r="B16" s="111">
        <f>PRODUCT($B$3:$B$6)*B15</f>
        <v>3.1622776601683795E+45</v>
      </c>
      <c r="C16" s="111">
        <f>SUM(C$3:C$6)+C15</f>
        <v>3.5113686573257055</v>
      </c>
      <c r="D16" s="5"/>
      <c r="E16" s="5"/>
      <c r="F16" s="17" t="s">
        <v>52</v>
      </c>
      <c r="G16" s="111">
        <f>PRODUCT(G$3:G$4)*PRODUCT(G14:G15)</f>
        <v>5.6920997883030807E+34</v>
      </c>
      <c r="H16" s="111">
        <f>SUM(H$3:H$4)+SUM(H14:H15)</f>
        <v>2.7310645112533267</v>
      </c>
      <c r="I16" s="5"/>
      <c r="K16" s="3" t="s">
        <v>159</v>
      </c>
      <c r="L16" s="3">
        <f>STupidExcelMean(L15)</f>
        <v>1.4217858907253908E+50</v>
      </c>
      <c r="M16" s="3">
        <f>STupidExcelVariance(L15,L16)</f>
        <v>2.3987886749258687E+108</v>
      </c>
      <c r="N16" s="7" t="s">
        <v>155</v>
      </c>
    </row>
    <row r="17" spans="1:23">
      <c r="B17" s="5"/>
      <c r="C17" s="5"/>
      <c r="D17" s="5"/>
      <c r="E17" s="5"/>
      <c r="F17" s="5"/>
      <c r="G17" s="5"/>
      <c r="H17" s="5"/>
      <c r="I17" s="5"/>
    </row>
    <row r="18" spans="1:23">
      <c r="B18" s="5"/>
      <c r="C18" s="5"/>
      <c r="D18" s="5"/>
      <c r="E18" s="5"/>
      <c r="F18" s="5"/>
      <c r="G18" s="5"/>
      <c r="H18" s="5"/>
      <c r="I18" s="5"/>
      <c r="K18" s="3" t="s">
        <v>156</v>
      </c>
      <c r="L18" s="3">
        <f>L7-L16</f>
        <v>5.6402398078146723E+50</v>
      </c>
      <c r="M18">
        <f>DifferenceVariance(L7:M7,L16:M16)</f>
        <v>6.1996263597346108E+109</v>
      </c>
    </row>
    <row r="19" spans="1:23" ht="30">
      <c r="A19" s="10" t="s">
        <v>48</v>
      </c>
      <c r="B19" s="5"/>
      <c r="C19" s="5"/>
      <c r="D19" s="5"/>
      <c r="E19" s="5"/>
      <c r="F19" s="10" t="s">
        <v>55</v>
      </c>
      <c r="G19" s="5"/>
      <c r="H19" s="5"/>
      <c r="I19" s="5"/>
      <c r="K19" s="27" t="s">
        <v>109</v>
      </c>
      <c r="L19" s="19">
        <f>EXP(MuFromParams(L18,M18))</f>
        <v>4.0402885211266472E+46</v>
      </c>
      <c r="M19" s="19">
        <f>(SigmaFromParams(L18,M18) / LN(10))^2</f>
        <v>3.600201532086265</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1">
        <f>PRODUCT($B$3:$B$6)*B20</f>
        <v>3.1622776601683798E+44</v>
      </c>
      <c r="C21" s="111">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1">
        <f>PRODUCT(G$3:G$4)*PRODUCT(G20:G21)</f>
        <v>3.9999999999999993E+37</v>
      </c>
      <c r="H22" s="111">
        <f>SUM(H$3:H$4)+SUM(H20:H21)</f>
        <v>3.1212165842895159</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v>
      </c>
      <c r="C25" s="5">
        <f>VLOOKUP(A25,Globals!$A$21:$L$30,12,FALSE)</f>
        <v>0</v>
      </c>
      <c r="D25" s="5"/>
      <c r="E25" s="5"/>
      <c r="F25" s="10" t="s">
        <v>56</v>
      </c>
      <c r="G25" s="5"/>
      <c r="H25" s="5"/>
      <c r="I25" s="5"/>
      <c r="M25" s="28"/>
      <c r="S25" s="8"/>
      <c r="T25" s="3"/>
      <c r="U25" s="3"/>
      <c r="V25" s="3"/>
      <c r="W25" s="3"/>
    </row>
    <row r="26" spans="1:23">
      <c r="A26" s="16" t="s">
        <v>52</v>
      </c>
      <c r="B26" s="111">
        <f>PRODUCT($B$3:$B$6)*B25</f>
        <v>3.1622776601683793E+48</v>
      </c>
      <c r="C26" s="111">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8"/>
      <c r="C27" s="8"/>
      <c r="D27" s="5"/>
      <c r="E27" s="5"/>
      <c r="F27" s="5" t="s">
        <v>40</v>
      </c>
      <c r="G27" s="5">
        <f>VLOOKUP(F27,Globals!$A$21:$L$30,11,FALSE)</f>
        <v>0.04</v>
      </c>
      <c r="H27" s="5">
        <f>VLOOKUP(F27,Globals!$A$21:$L$30,12,FALSE)</f>
        <v>0</v>
      </c>
      <c r="I27" s="5"/>
      <c r="M27" s="28"/>
      <c r="S27" s="3"/>
      <c r="T27" s="3"/>
      <c r="U27" s="3"/>
      <c r="V27" s="3"/>
      <c r="W27" s="3"/>
    </row>
    <row r="28" spans="1:23">
      <c r="B28" s="5"/>
      <c r="C28" s="5"/>
      <c r="D28" s="5"/>
      <c r="E28" s="5"/>
      <c r="F28" s="17" t="s">
        <v>52</v>
      </c>
      <c r="G28" s="111">
        <f>PRODUCT(G$3:G$4)*PRODUCT(G26:G27)</f>
        <v>1.2649110640673514E+41</v>
      </c>
      <c r="H28" s="111">
        <f>SUM(H$3:H$4)+SUM(H26:H27)</f>
        <v>3.5113686573257055</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1">
        <f>PRODUCT(G$3:G$4)*PRODUCT(G32:G34)</f>
        <v>3.9999999999999985E+39</v>
      </c>
      <c r="H35" s="111">
        <f>SUM(H$3:H$4)+SUM(H32:H34)</f>
        <v>4.6818248764342734</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G6" sqref="G6"/>
    </sheetView>
  </sheetViews>
  <sheetFormatPr baseColWidth="10" defaultRowHeight="15" x14ac:dyDescent="0"/>
  <cols>
    <col min="1" max="1" width="21.6640625" customWidth="1"/>
    <col min="2" max="2" width="12.83203125" bestFit="1" customWidth="1"/>
    <col min="3" max="3" width="12.1640625" bestFit="1" customWidth="1"/>
    <col min="4" max="4" width="10.83203125" style="103"/>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3" t="s">
        <v>124</v>
      </c>
      <c r="B1" s="82"/>
      <c r="C1" s="82"/>
      <c r="D1" s="119"/>
      <c r="F1" s="1" t="s">
        <v>63</v>
      </c>
    </row>
    <row r="2" spans="1:16">
      <c r="A2" s="74"/>
      <c r="B2" s="74" t="s">
        <v>0</v>
      </c>
      <c r="C2" s="74" t="s">
        <v>1</v>
      </c>
      <c r="D2" s="119" t="s">
        <v>27</v>
      </c>
      <c r="G2" s="7" t="s">
        <v>161</v>
      </c>
      <c r="H2" s="7" t="s">
        <v>162</v>
      </c>
      <c r="I2" t="s">
        <v>164</v>
      </c>
    </row>
    <row r="3" spans="1:16" ht="30">
      <c r="A3" s="42" t="s">
        <v>99</v>
      </c>
      <c r="B3" s="50">
        <v>50000000000</v>
      </c>
      <c r="C3" s="50">
        <v>2000000000000</v>
      </c>
      <c r="D3" s="119" t="s">
        <v>238</v>
      </c>
      <c r="F3" s="15" t="s">
        <v>52</v>
      </c>
      <c r="G3" s="14">
        <v>1</v>
      </c>
      <c r="H3" s="14">
        <f>I3^2</f>
        <v>4.0000000000000008E-2</v>
      </c>
      <c r="I3">
        <v>0.2</v>
      </c>
    </row>
    <row r="4" spans="1:16">
      <c r="A4" s="46" t="s">
        <v>93</v>
      </c>
      <c r="B4" s="47">
        <v>0.1</v>
      </c>
      <c r="C4" s="47">
        <v>0.5</v>
      </c>
      <c r="D4" s="119" t="s">
        <v>193</v>
      </c>
      <c r="F4" s="18" t="s">
        <v>80</v>
      </c>
      <c r="G4" s="19">
        <f>ParetoPosterior(median,alpha,G3:H3)</f>
        <v>0.85832741114212496</v>
      </c>
      <c r="H4" s="3"/>
    </row>
    <row r="5" spans="1:16" ht="45">
      <c r="A5" s="46" t="s">
        <v>320</v>
      </c>
      <c r="B5" s="47">
        <v>5.0000000000000001E-3</v>
      </c>
      <c r="C5" s="47">
        <v>0.2</v>
      </c>
      <c r="D5" s="119"/>
      <c r="F5" s="18" t="s">
        <v>87</v>
      </c>
      <c r="G5" s="19">
        <f>LognormPosterior(mu_global_poverty,sigma_global_poverty,G3:H3)</f>
        <v>0.94755469095363942</v>
      </c>
      <c r="H5" s="3"/>
    </row>
    <row r="6" spans="1:16" ht="45">
      <c r="A6" s="46" t="s">
        <v>321</v>
      </c>
      <c r="B6" s="47">
        <f>B5*1.01</f>
        <v>5.0499999999999998E-3</v>
      </c>
      <c r="C6" s="47">
        <f>C5*1.01</f>
        <v>0.20200000000000001</v>
      </c>
      <c r="D6" s="119"/>
    </row>
    <row r="7" spans="1:16" ht="30">
      <c r="A7" s="116" t="s">
        <v>89</v>
      </c>
      <c r="B7" s="107">
        <f>1000/C3*interest_rate</f>
        <v>2.5000000000000004E-11</v>
      </c>
      <c r="C7" s="107">
        <f>1000/B3*interest_rate</f>
        <v>1.0000000000000001E-9</v>
      </c>
      <c r="D7" s="119"/>
    </row>
    <row r="8" spans="1:16" ht="45">
      <c r="A8" s="91" t="s">
        <v>322</v>
      </c>
      <c r="B8" s="65">
        <v>1.21</v>
      </c>
      <c r="C8" s="65">
        <v>192</v>
      </c>
      <c r="D8" s="120" t="s">
        <v>234</v>
      </c>
      <c r="F8" s="1" t="s">
        <v>88</v>
      </c>
      <c r="K8" s="1" t="s">
        <v>96</v>
      </c>
    </row>
    <row r="9" spans="1:16" ht="30">
      <c r="A9" s="118" t="s">
        <v>235</v>
      </c>
      <c r="B9" s="44">
        <f>B8/365</f>
        <v>3.3150684931506848E-3</v>
      </c>
      <c r="C9" s="44">
        <f>C8/365</f>
        <v>0.52602739726027392</v>
      </c>
      <c r="G9" t="s">
        <v>161</v>
      </c>
      <c r="H9" t="s">
        <v>163</v>
      </c>
      <c r="J9" s="13"/>
      <c r="L9" s="7" t="s">
        <v>161</v>
      </c>
      <c r="M9" s="7" t="s">
        <v>163</v>
      </c>
      <c r="N9" s="13"/>
      <c r="O9" s="3"/>
      <c r="P9" s="3"/>
    </row>
    <row r="10" spans="1:16">
      <c r="A10" s="118"/>
      <c r="F10" t="s">
        <v>93</v>
      </c>
      <c r="G10">
        <f>GEOMEAN($B$4,$C$4)</f>
        <v>0.22360679774997896</v>
      </c>
      <c r="H10">
        <f>LogVariance($B$4,$C$4)</f>
        <v>0.27270459618181209</v>
      </c>
      <c r="J10" s="3"/>
      <c r="K10" t="s">
        <v>93</v>
      </c>
      <c r="L10">
        <f>GEOMEAN($B$4,$C$4)</f>
        <v>0.22360679774997896</v>
      </c>
      <c r="M10">
        <f>LogVariance($B$4,$C$4)</f>
        <v>0.27270459618181209</v>
      </c>
      <c r="N10" s="3"/>
      <c r="O10" s="3"/>
      <c r="P10" s="3"/>
    </row>
    <row r="11" spans="1:16">
      <c r="A11" s="118"/>
      <c r="F11" s="3" t="s">
        <v>94</v>
      </c>
      <c r="G11">
        <f>GEOMEAN($B$5,$C$5)</f>
        <v>3.1622776601683791E-2</v>
      </c>
      <c r="H11">
        <f>LogVariance($B$5,$C$5)</f>
        <v>0.62504702674494428</v>
      </c>
      <c r="J11" s="3"/>
      <c r="K11" s="3" t="s">
        <v>95</v>
      </c>
      <c r="L11">
        <f>GEOMEAN($B$6,$C$6)</f>
        <v>3.1939004367700634E-2</v>
      </c>
      <c r="M11">
        <f>LogVariance($B$6,$C$6)</f>
        <v>0.62504702674494439</v>
      </c>
      <c r="N11" s="3"/>
      <c r="O11" s="3"/>
      <c r="P11" s="3"/>
    </row>
    <row r="12" spans="1:16">
      <c r="A12" s="118"/>
      <c r="F12" t="s">
        <v>89</v>
      </c>
      <c r="G12">
        <f>GEOMEAN($B$7,$C$7)</f>
        <v>1.5811388300841898E-10</v>
      </c>
      <c r="H12">
        <f>LogVariance($B$7,$C$7)</f>
        <v>0.62504702674494428</v>
      </c>
      <c r="J12" s="3"/>
      <c r="K12" t="s">
        <v>89</v>
      </c>
      <c r="L12">
        <f>GEOMEAN($B$7,$C$7)</f>
        <v>1.5811388300841898E-10</v>
      </c>
      <c r="M12">
        <f>LogVariance($B$7,$C$7)</f>
        <v>0.62504702674494428</v>
      </c>
      <c r="N12" s="3"/>
      <c r="O12" s="3"/>
      <c r="P12" s="3"/>
    </row>
    <row r="13" spans="1:16">
      <c r="A13" s="103"/>
      <c r="F13" t="s">
        <v>109</v>
      </c>
      <c r="G13">
        <f>VLOOKUP(F13,'EV of Far Future'!$K$18:$M$19,2,FALSE)</f>
        <v>4.0402885211266472E+46</v>
      </c>
      <c r="H13">
        <f>VLOOKUP(F13,'EV of Far Future'!$K$18:$M$19,3,FALSE)</f>
        <v>3.600201532086265</v>
      </c>
      <c r="J13" s="3"/>
      <c r="K13" t="s">
        <v>109</v>
      </c>
      <c r="L13">
        <f>VLOOKUP(K13,'EV of Far Future'!$K$18:$M$19,2,FALSE)</f>
        <v>4.0402885211266472E+46</v>
      </c>
      <c r="M13">
        <f>VLOOKUP(K13,'EV of Far Future'!$K$18:$M$19,3,FALSE)</f>
        <v>3.600201532086265</v>
      </c>
      <c r="N13" s="3"/>
      <c r="O13" s="3"/>
      <c r="P13" s="3"/>
    </row>
    <row r="14" spans="1:16">
      <c r="A14" s="103"/>
      <c r="F14" s="15" t="s">
        <v>52</v>
      </c>
      <c r="G14" s="14">
        <f>PRODUCT(G10:G13)</f>
        <v>4.5171798909756391E+34</v>
      </c>
      <c r="H14" s="14">
        <f>SUM(H10:H13)</f>
        <v>5.1230001817579662</v>
      </c>
      <c r="J14" s="3"/>
      <c r="K14" s="15" t="s">
        <v>52</v>
      </c>
      <c r="L14" s="14">
        <f>PRODUCT(L10:L13)</f>
        <v>4.5623516898853962E+34</v>
      </c>
      <c r="M14" s="14">
        <f>SUM(M10:M13)</f>
        <v>5.1230001817579662</v>
      </c>
      <c r="N14" s="3"/>
      <c r="O14" s="3"/>
      <c r="P14" s="3"/>
    </row>
    <row r="15" spans="1:16">
      <c r="F15" s="3" t="s">
        <v>160</v>
      </c>
      <c r="G15">
        <f>meanFromParams(G14:H14)</f>
        <v>3.5722291584501896E+40</v>
      </c>
      <c r="H15">
        <f>VarianceFromParams(G14:H14)</f>
        <v>7.9803597973189371E+92</v>
      </c>
      <c r="J15" s="3"/>
      <c r="K15" s="3"/>
      <c r="L15" s="3"/>
      <c r="M15" s="3"/>
      <c r="N15" s="3"/>
      <c r="O15" s="3"/>
      <c r="P15" s="3"/>
    </row>
    <row r="16" spans="1:16">
      <c r="J16" s="3"/>
      <c r="K16" s="117"/>
      <c r="L16" s="117"/>
      <c r="M16" s="117"/>
      <c r="N16" s="3"/>
      <c r="O16" s="3"/>
      <c r="P16" s="3"/>
    </row>
    <row r="17" spans="1:16">
      <c r="J17" s="3"/>
      <c r="K17" s="121" t="s">
        <v>233</v>
      </c>
      <c r="L17" s="117"/>
      <c r="M17" s="117"/>
      <c r="N17" s="3"/>
      <c r="O17" s="3"/>
      <c r="P17" s="3"/>
    </row>
    <row r="18" spans="1:16">
      <c r="J18" s="3"/>
      <c r="K18" s="12"/>
      <c r="L18" s="117" t="s">
        <v>161</v>
      </c>
      <c r="M18" s="117" t="s">
        <v>163</v>
      </c>
      <c r="O18" s="3"/>
      <c r="P18" s="3"/>
    </row>
    <row r="19" spans="1:16">
      <c r="J19" s="3"/>
      <c r="K19" s="103" t="s">
        <v>235</v>
      </c>
      <c r="L19" s="117">
        <f>GEOMEAN(B9,C9)</f>
        <v>4.1759033168783891E-2</v>
      </c>
      <c r="M19" s="117">
        <f>LogVariance(B9,C9)</f>
        <v>0.85853582389873684</v>
      </c>
      <c r="N19" s="3"/>
      <c r="O19" s="3"/>
      <c r="P19" s="3"/>
    </row>
    <row r="20" spans="1:16">
      <c r="J20" s="13"/>
      <c r="K20" s="117" t="s">
        <v>38</v>
      </c>
      <c r="L20">
        <f>VLOOKUP(K20,Globals!$A$22:$L$30,11,FALSE)</f>
        <v>1.7999999999999998</v>
      </c>
      <c r="M20">
        <f>VLOOKUP(K20,Globals!$A$22:$L$30,12,FALSE)</f>
        <v>0</v>
      </c>
      <c r="N20" s="13"/>
      <c r="O20" s="3"/>
      <c r="P20" s="3"/>
    </row>
    <row r="21" spans="1:16">
      <c r="J21" s="3"/>
      <c r="K21" s="123" t="s">
        <v>52</v>
      </c>
      <c r="L21" s="122">
        <f>PRODUCT(L19:L20)</f>
        <v>7.5166259703810995E-2</v>
      </c>
      <c r="M21" s="122">
        <f>SUM(M19:M20)</f>
        <v>0.85853582389873684</v>
      </c>
      <c r="N21" s="3"/>
      <c r="O21" s="3"/>
      <c r="P21" s="3"/>
    </row>
    <row r="22" spans="1:16" ht="20">
      <c r="A22" s="32" t="s">
        <v>59</v>
      </c>
      <c r="J22" s="3"/>
      <c r="K22" s="117"/>
      <c r="L22" s="117"/>
      <c r="M22" s="117"/>
      <c r="N22" s="3"/>
      <c r="O22" s="3"/>
      <c r="P22" s="3"/>
    </row>
    <row r="23" spans="1:16">
      <c r="A23" s="22" t="s">
        <v>169</v>
      </c>
      <c r="B23" s="3"/>
      <c r="C23" s="3"/>
      <c r="J23" s="3"/>
      <c r="N23" s="3"/>
      <c r="O23" s="3"/>
      <c r="P23" s="3"/>
    </row>
    <row r="24" spans="1:16" ht="30">
      <c r="A24" s="5" t="s">
        <v>167</v>
      </c>
      <c r="B24">
        <f>G15-L28</f>
        <v>-5.0718069182569168E+38</v>
      </c>
      <c r="C24">
        <f>DifferenceVariance(G15:H15,L28:M28)</f>
        <v>1.6154960398784601E+93</v>
      </c>
      <c r="J24" s="3"/>
      <c r="K24" t="s">
        <v>236</v>
      </c>
      <c r="N24" s="3"/>
      <c r="O24" s="3"/>
      <c r="P24" s="3"/>
    </row>
    <row r="25" spans="1:16">
      <c r="A25" s="16" t="s">
        <v>168</v>
      </c>
      <c r="B25" s="14">
        <f>EXP(MuFromParams(ABS(B24),C24))</f>
        <v>6.3998894867052933E+30</v>
      </c>
      <c r="C25" s="14">
        <f>(SigmaFromParams(B24,C24) / LN(10))^2</f>
        <v>6.8609757451714941</v>
      </c>
      <c r="K25" s="12" t="s">
        <v>237</v>
      </c>
      <c r="L25" s="12">
        <f>L14</f>
        <v>4.5623516898853962E+34</v>
      </c>
      <c r="M25" s="12">
        <f>M14</f>
        <v>5.1230001817579662</v>
      </c>
    </row>
    <row r="26" spans="1:16">
      <c r="A26" s="36" t="s">
        <v>80</v>
      </c>
      <c r="B26" s="19">
        <f>ParetoPosterior(median,alpha,B25:C25)*SIGN(B24)</f>
        <v>-1021738259900383.5</v>
      </c>
      <c r="K26" s="12" t="s">
        <v>148</v>
      </c>
      <c r="L26" s="12">
        <f>L21</f>
        <v>7.5166259703810995E-2</v>
      </c>
      <c r="M26" s="12">
        <f>M21</f>
        <v>0.85853582389873684</v>
      </c>
    </row>
    <row r="27" spans="1:16">
      <c r="A27" s="36" t="s">
        <v>87</v>
      </c>
      <c r="B27" s="19">
        <f>LognormPosterior(mu_far_future,sigma_far_future,B25:C25)*SIGN(B24)</f>
        <v>-7195.1231721748518</v>
      </c>
      <c r="K27" s="125" t="s">
        <v>172</v>
      </c>
      <c r="L27" s="124" t="str">
        <f>WriteArray(SumLognormDists(L25:M26))</f>
        <v>0,0,0,0,2.24047959884641E-190,1.75254683946835E-188,3.59256373004528E-187,9.08686052711893E-186,1.63737952599719E-184,2.71803356490436E-183,4.35553100921974E-182,7.04358387057452E-181,1.09804914209245E-179,1.6787259580775E-178,2.52799637561952E-177,3.75562974501298E-176,5.50728119917447E-175,7.97306244858581E-174,1.13966500619329E-172,1.60843901101327E-171,2.24135961064879E-170,3.08389629082378E-169,4.18957616797942E-168,5.61982799438384E-167,7.44318743544649E-166,9.7337064020406E-165,1.25684357517803E-163,1.60239013257905E-162,2.01715694202516E-161,2.50723975567794E-160,3.07706840458356E-159,3.72875553874515E-158,4.46145502699106E-157,5.27078563577463E-156,6.1483813897143E-155,7.08163026691757E-154,8.05365645254237E-153,9.0435878033037E-152,1.0027129883572E-150,1.09774423101528E-149,1.18662844958882E-148,1.26653692322733E-147,1.33478372851152E-146,1.38897476022073E-145,1.42714685955137E-144,1.44788580111397E-143,1.45041325691292E-142,1.43463528156646E-141,1.40114810753012E-140,1.35120075195594E-139,1.28661770455977E-138,1.20968836763003E-137,1.12303258411242E-136,1.02945324564087E-135,9.31787480176384E-135,8.32767284948466E-134,7.34898838037232E-133,6.40367343726919E-132,5.50971462911635E-131,4.68088490622263E-130,3.92668782508921E-129,3.25255751786868E-128,2.66026220964495E-127,2.14845085124228E-126,1.71328100936917E-125,1.34907059276292E-124,1.04892481094508E-123,8.05301254941055E-123,6.1048847763256E-122,4.56985483173671E-121,3.37780014822865E-120,2.46531775491874E-119,1.7767244338149E-118,1.26437614865572E-117,8.88469271353618E-117,6.1648043091684E-116,4.22384364869989E-115,2.85764935230988E-114,1.90907740864296E-113,1.25936781499772E-112,8.20346009556169E-112,5.27664623906263E-111,3.35147776720089E-110,2.10200242573701E-109,1.30181618595772E-108,7.96135170897239E-108,4.8077931676407E-107,2.86700022525737E-106,1.68823872043714E-105,9.81669707741335E-105,5.63668263965455E-104,3.19602177400991E-103,1.78947301600704E-102,9.89398437266256E-102,5.40193468554453E-101,2.91246637904124E-100,1.55062748200202e-99,8.15249462389621e-99,4.2326428251617e-98,2.17006325341264e-97,1.09868829250737e-96,5.49312706647261e-96,2.71212437684397e-95,1.32234928839591e-94,6.36694752592578e-94,3.02737896939228e-93,1.4215257713603e-92,6.59169604238904e-92,3.01853503365535e-91,1.36506733959082e-90,6.09639370463725e-90,2.68878052696144e-89,1.17112578539231e-88,5.03755822077991e-88,2.13996934358336e-87,8.97777352600699e-87,3.71968477122746e-86,1.52202890578569e-85,6.15066276670984e-85,2.45474435286858e-84,9.6756279739927e-84,3.76655149415257e-83,1.44811800793187e-82,5.49873596927127e-82,2.06216946887734e-81,7.63822168234398e-81,2.79428422740534e-80,1.00963282993739e-79,3.60309093730449e-79,1.27001934763849e-78,4.42153901845703e-78,1.52044053246117e-77,5.16420295286801e-77,1.73252809816158e-76,5.74124183011435e-76,1.87925463224115e-75,6.07610891901481e-75,1.94058084245372e-74,6.12224329879659e-74,1.90795766156817e-73,5.87371820329723e-73,1.78628565745904e-72,5.36648163628141e-72,1.59271154094762e-71,4.66983442324221e-71,1.35266789128925e-70,3.87092753327779e-70,1.09441551862637e-69,3.0570486134204e-69,8.43694661099815e-69,2.30060189423583e-68,6.19842927596879e-68,1.65012583954267e-67,4.34069640019087e-67,1.1282903218505e-66,2.89810485287113e-66,7.35617918087997e-66,1.84522450974144e-65,4.57424204986904e-65,1.12066800238011e-64,2.71355239107281e-64,6.49410054084266e-64,1.53615905440913e-63,3.59175966237126e-63,8.30138442283694e-63,1.89664041284528e-62,4.28381349555117e-62,9.56550529724807e-62,2.11173163727345e-61,4.60941269345664e-61,9.94837518059852e-61,2.12316206011914e-60,4.48089186748863e-60,9.35240407904874e-60,1.93058102058566e-59,3.94174659978299e-59,7.96080061602294e-59,1.59046937680978e-58,3.14361489968227e-58,6.14760158213047e-58,1.18957936811683e-57,2.27789511971509e-57,4.31688349947657e-57,8.09747472535229e-57,1.50356002769138e-56,2.76398802051101e-56,5.03096615502934e-56,9.06829615621209e-56,1.61890765335391e-55,2.86290955835699e-55,5.01595646351067e-55,8.70836109400497e-55,1.49842973890108e-54,2.55587344180654e-54,4.3225116825118e-54,7.24974935570951e-54,1.20614971381389e-53,1.99102889421922e-53,3.26184940860206e-53,5.30489861743238e-53,8.56719333606767e-53,1.37427601169051e-52,2.19034470233419e-52,3.46965329587099e-52,5.46422746811274e-52,8.55806255376829e-52,1.33340141666294e-51,2.06737175456801e-51,3.19065124556464e-51,4.90309459483954e-51,7.50435698677793e-51,1.1442607006426e-50,1.73865615433578e-50,2.63318101226076e-50,3.97574591412624e-50,5.98564802785319e-50,8.98738061527081e-50,1.34601633448628e-49,2.01103647334477e-49,2.99771936254383e-49,4.45866445290856e-49,6.61752918474448e-49,9.80149911870239e-49,1.44883065509794e-48,2.13741829082549e-48,3.14718726791827e-48,4.62517305649417e-48,6.78444409825896e-48,9.93317007949045e-48,1.45162215066258e-47,2.11745857987011e-47,3.08300635584483e-47,4.48057635537516e-47,6.499718990742e-47,9.41146848719457e-47,1.36026309921581e-46,1.9624181710397e-46,2.82594417433659e-46,4.06199285950694e-46,5.82798466446594e-46,8.34644205730271e-46,1.19313104688904e-45,1.70246706525284e-45,2.42478432441396e-45,3.44723861705281e-45,4.89185320092563e-45,6.92913986691407e-45,9.79690921707442e-45,1.38261952131171e-44,1.94769132755202e-44,2.73868083142095e-44,3.84385112988572e-44,5.38512194556424e-44,7.530579036233e-44,1.05115084881899e-43,1.46455459392289e-43,2.03680724555594e-43,2.82747089237391e-43,3.9178716103887e-43,5.41883719158244e-43,7.48110674380611e-43,1.03093063635025e-42,1.41806744155049e-42,1.94700995286418e-42,2.66835312639666e-42,3.6502472307034e-42,4.98431065971772e-42,6.79347171500869e-42,9.24234733807925e-42,1.25509513371667e-41,1.70127629748432e-41,2.30184938144628e-41,3.10872853631204e-41,4.19075761202347e-41,5.6390524099972e-41,7.57396973097386e-41,1.01541797024212e-40,1.35884515609789e-40,1.81509325050611e-40,2.42009134679904e-40,3.22083458876807e-40,4.27867135779008e-40,5.6735290634708e-40,7.50933507933045e-40,9.92095612987302e-40,1.30830626292554e-39,1.722142788044e-39,2.26273002582304e-39,2.96756450708563e-39,3.88482484137484e-39,5.07629160359028e-39,6.62102956645751e-39,8.62002128771939e-39,1.12019852155621e-38,1.45306652439845e-38,1.88139439504869e-38,2.43152108420331e-38,3.13675124751372e-38,4.0391126405411e-38,5.19153391768381e-38,6.66053741784655e-38,8.52956130282368e-38,1.0903048977727e-37,1.39114717068289e-37,1.77174834741088e-37,2.25234462564008e-37,2.85806099179199e-37,3.6200284955277e-37,4.57674095052741e-37,5.77569856908681e-37,7.27539459812472e-37,9.1477109382242e-37,1.14808001703368e-36,1.43825445764155e-36,1.79846978244452e-36,2.24478322123714e-36,2.79672339584352e-36,3.47799112263374e-36,4.31729046281789e-36,5.34931181050759e-36,6.61589195916182e-36,8.16737959650629e-36,1.0064238568735e-35,1.23789255467827e-35,1.51980834373337e-35,1.86250970210301e-35,2.27830628762069e-35,2.78182316570629e-35,3.39039872300544e-35,4.12454340100248e-35,5.00846710437547e-35,6.07068389136863e-35,7.34470333116166e-35,8.8698187074569e-35,1.06920030474087e-34,1.28649247472845e-34,1.54510953348884e-34,1.85231626349772e-34,2.21653632657117e-34,2.64751489665817e-34,3.15650017127723e-34,3.75644528759164e-34,4.46223218115491e-34,5.29091891511628e-34,6.26201197103653e-34,7.3977649250474e-34,8.72350483029876e-34,1.0267987483719e-33,1.20637825672353e-33,1.41476894159259e-33,1.65611838734129e-33,1.93508963436492e-33,2.25691207340569e-33,2.62743535041384e-33,3.05318614833904e-33,3.54142765006306e-33,4.10022141728134e-33,4.73849134354835e-33,5.46608925610923e-33,6.29386165090163e-33,7.23371694877891e-33,8.29869255932469e-33,9.50302093257744e-33,1.08621936697648e-32,1.23930226532232e-32,1.41136970447426e-32,1.60438348925894e-32,1.8204527982623e-32,2.06183784706552e-32,2.33095257441705e-32,2.63036618845401e-32,2.96280340389288e-32,3.33114319672821e-32,3.7384159007273e-32,4.18779847019775e-32,4.68260773644778e-32,5.22629149134262e-32,5.8224172406586e-32,6.4746584827874e-32,7.18677838494552e-32,7.96261074954742e-32,8.8060381879003e-32,9.72096744689311e-32,1.07113018668414e-31,1.17809109849752e-31,1.29335973390024e-31,1.41730605684339e-31,1.55028589575121e-31,1.69263686121354e-31,1.84467405135116e-31,2.00668557427243e-31,2.17892792221564e-31,2.3616212370939e-31,2.55494451213425e-31,2.75903077903254e-31,2.97396233442644e-31,3.19976606341836e-31,3.43640892125112e-31,3.68379363695032e-31,3.94175470470139e-31,4.21005472983132e-31,4.48838119643623e-31,4.77634372286393e-31,5.07347186936653e-31,5.37921355924635e-31,5.69293417069847e-31,6.01391635131007e-31,6.34136060082161e-31,6.67438666033159e-31,7.01203573769552e-31,7.35327358951791e-31,7.69699446996767e-31,8.04202594579241e-31,8.38713456551447e-31,8.73103235902323e-31,9.07238413181795e-31,9.40981550619298e-31,9.74192164989674e-31,1.00672766214379e-30,1.03844432504716e-30,1.06919834617689e-30,1.09884689423602e-30,1.12724920437207e-30,1.15426768045149e-30,1.17976899745661e-30,1.20362519175142e-30,1.22571472681462e-30,1.24592352207046e-30,1.26414593266443e-30,1.28028566843059e-30,1.29425664087799e-30,1.30598372777893e-30,1.31540344586131e-30,1.32246452317867e-30,1.32712836393805e-30,1.32936939988973e-30,1.32917532380287e-30,1.32654720204405e-30,1.32149946481777e-30,1.31405977419409e-30,1.30426877161198e-30,1.29217970808308e-30,1.27785796180375e-30,1.26138044928901e-30,1.24283493744897e-30,1.22231926521409e-30,1.19994048436426e-30,1.1758139301104e-30,1.15006223270549e-30,1.12281428191424e-30,1.09420415654118e-30,1.06437003140387e-30,1.03345307414124e-30,1.00159634407115e-30,9.68943704963852e-31,9.35638763088327e-31,9.01823841230361e-31,8.67638998588951e-31,8.3322110554868e-31,7.98702981318828e-31,7.64212601344365e-31,7.29872380250661e-31,6.95798534902938e-31,6.6210053096401e-31,6.28880615139673e-31,5.96233434128988e-31,5.64245740165045e-31,5.32996181956177e-31,5.02555178833108e-31,4.72984874986188e-31,4.44339169849419e-31,4.16663819962169e-31,3.89996607021685e-31,3.64367566332706e-31,3.39799269466865e-31,3.16307154662809e-31,2.93899898325957e-31,2.7257982091995e-31,2.52343320574259e-31,2.33181327856893e-31,2.15079775369099e-31,1.98020076101328e-31,1.81979604836436e-31,1.6693217728688e-31,1.52848522097037e-31,1.39696741319357e-31,1.27442755473488e-31,1.16050729811267e-31,1.05483478928129e-31,9.57028473746763e-32,8.66700644232233e-32,7.83460716261499e-32,7.06918222601565e-32,6.36685521780292e-32,5.72380219833991e-32,5.13627308012468e-32,4.60061022355177e-32,4.11326433839912e-32,3.67080780191366e-32,3.2699455242426e-32,2.9075235079521e-32,2.58053526064435e-32,2.28612622843825e-32,2.02159642355918e-32,1.784401421767e-32,1.57215190513152e-32,1.38261192305326e-32,1.21369603973618e-32,1.06346552986579e-32,9.30123776335917e-33,8.12011014798605e-33,7.07598559863245e-33,6.15482637205334e-33,5.3437793490158e-33,4.63110976202218e-33,4.00613404875286e-33,3.45915263377208e-33,2.98138333560962e-33,2.5648959954433e-33,2.20254882819906e-33,1.88792690767577e-33,1.615283114804e-33,1.37948180269175e-33,1.17594536386024e-33,1.0006038240468e-33,8.49847533045038e-34,7.20482976051582e-34,6.09691688598081e-34,5.14992224000619e-34,4.34205093940319e-34,3.65420579846971e-34,3.0696929471812e-34,2.573953613857e-34,2.15432063558294e-34,1.79979819745914e-34,1.50086326959439e-34,1.24928720434334e-34,1.03797597150855e-34,8.60827542335014e-35,7.12604980659613e-35,5.88823858421996e-35,4.85652680111379e-35,3.99825074157121e-35,3.28562586630378e-35,2.6950699207191e-35,2.20661116243956e-35,1.80337244831478e-35,1.47112269539819e-35,1.1978879781858e-35,9.73615239453542e-36,7.8988226957975e-36,6.39648246081299e-36,5.17039719270291e-36,4.17167480565933e-36,3.35970257070428e-36,2.70081640254509e-36,2.16717079283644e-36,1.73578152373683e-36,1.38771674641288e-36,1.10741510479331e-36,8.82112349486863e-37,7.01360345115275e-37,5.5662455123107e-37,4.40947976979548e-37,3.48671296477317e-37,2.75200288254636e-37,2.16813049568245e-37,1.70500555104996e-37,1.33835098299695e-37,1.0486198944614e-37,8.20106037797844e-38,6.40214891005477e-38,4.98867692389529e-38,3.88015283749557e-38,3.01242422755441e-38,2.33446451407238e-38,1.80576930813984e-38,1.3942514458302e-38,1.07454296578046e-38,8.26628383236491e-39,6.34747043330855e-39,4.86513511107707e-39,3.72214228290352e-39,2.84246339760561e-39,2.16670924896541e-39,1.64858080575177e-39,1.25205580669143e-39,9.49163392690033e-40,7.18227647748908e-40,5.4248421246074e-40,4.08993055676747e-40,3.07785821909824e-40,2.3119856388639e-40,1.7335066005021e-40,1.29738751058988e-40,9.69209744181019e-41,7.22719339649193e-41,5.37929580676533e-41,3.99654790243545e-41,2.96379707104202e-41,2.19389456345578e-41,1.62101444571069e-41,1.19553381372563e-41,8.80117564894207e-42,6.46730523602773e-42,4.74361981677674e-42,3.47296363863904e-42,2.53801651474281e-42,1.85136690814079e-42,1.34801397786547e-42,9.79715863071926e-43,7.10738317971002e-43,5.14663259314027e-43,3.71997865207848e-43,2.68387061185491e-43,1.93279835736036e-43,1.38936184027904e-43,9.9689181654995e-44,7.13977524953284e-44,5.10416725178662e-44,3.64224451760277e-44,2.59428177940213e-44,1.84445913801321e-44,1.30895518252226e-44,9.27223353062427e-45,6.55613354352674e-45,4.62716585948136e-45,3.25976421874574e-45,2.29224564058842e-45,1.60894044240727e-45,1.12725618479072e-45,7.88331954942525e-46,5.50299959580731e-46,3.83436698440338e-46,2.66680780709075e-46,1.85137163198183e-46,1.28291929697465e-46,8.87378528410074e-47,6.12663969150469e-47,4.22220786109669e-47,2.90442873990424e-47,1.99427794692696e-47,1.36682997271942e-47,9.35076508090038e-48,6.38533437806039e-48,4.35235176676266e-48,2.96120298508056e-48,2.01101918592984e-48,1.36322673631304e-48,9.22409616425473e-49,6.22993326513905e-49,4.19997603954675e-49,2.82627278614669e-49,1.89838890245216e-49,1.27279992720641e-49,8.5180256374314e-50,5.69012215185842e-50,3.7940939619299e-50,2.52521534825735e-50,1.67761617264781e-50,1.11247595714275e-50,7.36363933656361e-51,4.86517235196668e-51,3.20854250337921e-51,2.11213274270831e-51,1.38783701772775e-51,9.1024765973805e-52,5.95915278790663e-52,3.89415573416008e-52,2.54007158757673e-52,1.65379792712747e-52,1.07478791750548e-52,6.9721537173041e-53,4.51455530111305e-53,2.9178760996004e-53,1.88244615163309e-53,1.21222189146302e-53,7.79193873465956e-54,4.99934124004004e-54,3.20172391054521e-54,2.04672183595388e-54,1.30598326625976e-54,8.31802549847414e-55,5.28818607310714e-55,3.35580760963503e-55,2.12564740383257e-55,1.34396897870325e-55,8.48186016135002e-56,5.3431432439905e-56,3.35974543303968e-56,2.10872415550771e-56,1.32110403581806e-56,8.26148486064417e-57,5.1568327834097e-57,3.21300818998384e-57,1.99822533849686e-57,1.24045477899551e-57,7.68636948413449e-58,4.75406837302479e-58,2.93503601985308e-58,1.8086948130379e-58,1.11255373614067e-58,6.83094117793639e-59,4.18643102637473e-59,2.56100944922985e-59,1.56380381058651e-59,9.53141104327506e-60,5.79877124357731e-60,3.52142627068797e-60,2.13454379051082e-60,1.29150289364241e-60,7.7999091449783e-61,4.7020533251534e-61,2.82936776879572e-61,1.69939798668704e-61,1.01883684571943e-61,6.09702578260519e-62,3.64196079305278e-62,2.17148256375677e-62,1.29235334874689e-62,7.67732709459125e-63,4.55242355371434e-63,2.69450581262317e-63,1.59191338235352e-63,9.38779480052452e-64,5.5260090065304e-64,3.24685903922765e-64,1.90422878579318e-64,1.11475303481024e-64,6.51391438860182e-65,3.79934975594962e-65,2.21197568959336e-65,1.28545024021861e-65,7.45648306135958e-66,4.31734393207387e-66,2.49518703092627e-66,1.43943947124605e-66,8.28872166118188e-67,4.7641513559117e-67,2.73330056123591e-67,1.56528374882176e-67,8.94751855711556e-68,5.10523790352049e-68,2.90759027665742e-68,1.6529292937296e-68,9.37948926605964e-69,5.31261018719495e-69,3.00358935453853e-69,1.69502851183854e-69,9.54810760815232e-70,5.36860495277042e-70,3.01307149051132e-70,1.68795657812021e-70,9.43880361776001e-71,5.26837252169567e-71,2.93521452075496e-71,1.63232662412447e-71,9.06104165602638e-72,5.02057010091562e-72,2.77671808907849e-72,1.53290199468459e-72,8.44696772654336e-73,4.64612752644757e-73,2.55085200812176e-73,1.39792298481705e-73,7.64689406850798e-74,4.17532944344159e-74,2.27562275476057e-74,1.23798001329653e-74,6.72250051819185e-75,3.64377793155152e-75,1.97140931267058e-75,1.06464679741944e-75,5.73902538826765e-76,3.08798075918698e-76,1.65849769015413e-76,8.89117180131481e-77,4.75780872966425e-77,2.54131676380449e-77,1.35492254581978e-77,7.21064282116278e-78,3.83034015080113e-78,2.03097486269391e-78,1.07491865283222e-78,5.67872052759577e-79,2.99453392966896e-79,1.57620182611444e-79,8.28129508699963e-80,4.34298710227833e-80,2.27343564406402e-80,1.18790206063174e-80,6.19558689249824e-81,3.22543366553704e-81,1.67609111005592e-81,8.69382664902265e-82,4.50119860614958e-82,2.32621162011025e-82,1.19998028705991e-82,6.17878165089161e-83,3.17567046811407e-83,1.62919045983415e-83,8.34280575238439e-84,4.2643834701168e-84,2.17572607346146e-84,1.10804150118859e-84,5.63263595938037e-85,2.8580589717826e-85,1.44755319887464e-85,7.31815707685153e-86,3.69294437541331e-86,1.86014864898886e-86,9.35247124890204e-87,4.69363115698751e-87,2.35123143898072e-87,1.17567057293572e-87,5.86786024092564e-88,2.92332917277335e-88,1.4537158493016e-88,7.21581144096199e-89,3.57515332854409e-89,1.76810484496811e-89,8.72821030313455e-90,4.30077017450941e-90,2.11529583525215e-90,1.03848407027687e-90,5.08899951619836e-91,2.4892517766493e-91,1.21537161071951e-91,5.92315633143683e-92,2.88138405491586e-92,1.39911350135468e-92,6.7812318356413e-93,3.28071181458732e-93,1.5842780995e-93,7.63657463303134e-94,3.67425782724171e-94,1.76459279337992e-94,8.45908171228858e-95,4.04767640108981e-95,1.93326859039652e-95,9.21684854577574e-96,4.38608004103759e-96,2.08340882877946e-96,9.87816539164232e-97,4.67500341197992e-97,2.208469555302e-97,1.04136924385412e-97,4.90142004853828e-98,2.30272960500797e-98,1.07986088874818e-98,5.05471326682496e-99,2.36172367738652e-99,1.10145177736769e-99,5.1275008167109E-100,2.38259284947363E-100,1.10509032223286E-100,5.11622414422989E-101,2.3643142285113E-101,1.09059794367854E-101,5.02143677498228E-102,2.30778405780932E-102,1.05868359800018E-102,4.84775927727443E-103,2.2157448743188E-103,1.0108862892336E-103,4.60350590722421E-104,2.09256496130499E-104,9.49452055469367E-105,4.30002494236443E-105,1.94389479147351E-105,8.77159120021344E-106,3.95082557088135E-106,1.77623807182577E-106,7.97110148937211E-107,3.57058477298088E-107,1.59648265377805E-107,7.12513185222331E-108,3.17413542808756E-108,1.4114381282669E-108,6.26472603705129E-109,2.77553154556733E-109,1.22742254920837E-109,5.41808573598795E-110,2.38726974613E-110,1.04993148932483E-110,4.60918642161983E-111,2.01972123750888E-111,8.83410254471868E-112,3.85689029397596E-112,1.68079977527412E-112,7.31136596048648E-113,3.17457001095064E-113,1.37586284216055E-113,5.95208630852727E-114,2.5702013303097E-114,1.10781926607336E-114,4.76622487631322E-115,2.04684044579163E-115,8.7739932679637E-116,3.75417444686153E-116,1.60337625421243E-116,6.83534266669549E-117,2.90863336017846E-117,1.23543959526731E-117,5.23790837435139E-118,2.21665509691331E-118,9.36358583943672E-119,3.94811790927663E-119,1.66165890005857E-119,6.98067610159291E-120,2.92723064229271E-120,1.22523739589802E-120,5.1190266459557E-121,2.13480584136177E-121,8.88655064834257E-122,3.6924268824965E-122,1.53142041954298E-122,6.33987665620335E-123,2.61981744346791E-123,1.08060033035231E-123,4.44900617144538E-124,1.82837286002817E-124,7.50015726210764E-125,3.07100001822705E-125,1.2551427274474E-125,5.12047505494802E-126,2.08512089890318E-126,8.47531938727112E-127,3.43862448384813E-127,1.39257076856555E-127,5.62929027779512E-128,2.2714012415451E-128,9.14824779104165E-129,3.67778066951393E-129,1.47583422608258E-129,5.91143849809933E-130,2.36348374108551E-130,9.43226314105153E-131,3.75736203647069E-131,1.49401178611087E-131,5.92964713471271E-132,2.34913254590616E-132,9.2894508122245E-133,3.66670864795403E-133,1.44466320595184E-133,5.68146933111061E-134,2.2302757749554E-134,8.73897130508118E-135,3.41795157328323E-135,1.33436715303437E-135,5.19982378286655E-136,2.02258021688622E-136,7.85283965354418E-137,3.04334753970068E-137,1.17728121998542E-137,4.54582515968575E-138,1.75206044703953E-138,6.74045616463945E-139,2.58841160079211E-139,9.92158899273874E-140,3.79605916335594E-140,1.44973478160782E-140,5.5264722062213E-141,2.10286439441141E-141,7.98690264549827E-142,3.02795460222179E-142,1.1458405148895E-142,4.32815528848548E-143,1.63186917976827E-143,6.14146090862622E-144,2.30707593532562E-144,8.65079323997632E-145,3.23782834672784E-145,1.20963837299172E-145,4.51087856152425E-146,1.67907680145493E-146,6.23855248112268E-147,2.31366752146249E-147,8.56489243452754E-148,3.16480329248321E-148,1.16728089135499E-148,4.29742074663271E-149,1.57922576870412E-149,5.79274503111771E-150,2.12094033079362E-150,7.75133190502334E-151,2.82766568787076E-151,1.02963580433066E-151,3.74233840244934E-152,1.35770782765268E-152,4.91669686732225E-153,1.77723308845624E-153,6.41237914669175E-154,2.30939298136976E-154,8.30195425024102E-155,2.97897374539193E-155,1.0669814308043E-155,3.8146165841016E-156,1.3612840925336E-156,4.8489811098468E-157,1.72407462779352E-157,</v>
      </c>
      <c r="M27" s="124" t="s">
        <v>153</v>
      </c>
    </row>
    <row r="28" spans="1:16">
      <c r="A28" s="5"/>
      <c r="K28" s="7" t="s">
        <v>159</v>
      </c>
      <c r="L28" s="7">
        <f>STupidExcelMean(L27)</f>
        <v>3.6229472276327588E+40</v>
      </c>
      <c r="M28" s="7">
        <f>STupidExcelVariance(L27,L28)</f>
        <v>8.1746006014656638E+92</v>
      </c>
    </row>
    <row r="29" spans="1:16">
      <c r="A29" s="5"/>
    </row>
    <row r="30" spans="1:16">
      <c r="A30" s="33" t="s">
        <v>85</v>
      </c>
      <c r="B30" s="4">
        <f>B26+G4</f>
        <v>-1021738259900382.6</v>
      </c>
    </row>
    <row r="31" spans="1:16">
      <c r="A31" s="33" t="s">
        <v>86</v>
      </c>
      <c r="B31" s="4">
        <f>B27+G5</f>
        <v>-7194.1756174838983</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I8" sqref="I8"/>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124</v>
      </c>
      <c r="H1" s="1" t="s">
        <v>63</v>
      </c>
      <c r="M1" s="1" t="s">
        <v>79</v>
      </c>
    </row>
    <row r="2" spans="1:15">
      <c r="A2" s="57"/>
      <c r="B2" s="44" t="s">
        <v>0</v>
      </c>
      <c r="C2" s="44" t="s">
        <v>1</v>
      </c>
      <c r="D2" s="54" t="s">
        <v>161</v>
      </c>
      <c r="E2" s="54" t="s">
        <v>163</v>
      </c>
      <c r="F2" t="s">
        <v>27</v>
      </c>
      <c r="I2" s="7" t="s">
        <v>161</v>
      </c>
      <c r="J2" s="7" t="s">
        <v>162</v>
      </c>
      <c r="N2" s="7" t="s">
        <v>161</v>
      </c>
      <c r="O2" s="7" t="s">
        <v>163</v>
      </c>
    </row>
    <row r="3" spans="1:15" ht="30">
      <c r="A3" s="42" t="s">
        <v>120</v>
      </c>
      <c r="B3" s="43">
        <v>0.7</v>
      </c>
      <c r="C3" s="83">
        <v>13</v>
      </c>
      <c r="D3" s="74"/>
      <c r="E3" s="74"/>
      <c r="F3" s="150" t="s">
        <v>123</v>
      </c>
      <c r="G3" s="7"/>
      <c r="H3" t="s">
        <v>68</v>
      </c>
      <c r="I3">
        <f>D5</f>
        <v>3016.620625799671</v>
      </c>
      <c r="J3">
        <f>E5</f>
        <v>0.49504262895320128</v>
      </c>
      <c r="M3" s="3" t="s">
        <v>248</v>
      </c>
      <c r="N3" s="25">
        <f>VLOOKUP(M3,$A$14:$E$17,4,FALSE)</f>
        <v>4.4721359549995794E-2</v>
      </c>
      <c r="O3" s="25">
        <f>VLOOKUP(M3,$A$14:$E$17,5,FALSE)</f>
        <v>0.50759954989056688</v>
      </c>
    </row>
    <row r="4" spans="1:15" ht="30">
      <c r="A4" s="46" t="s">
        <v>152</v>
      </c>
      <c r="B4" s="47">
        <v>3</v>
      </c>
      <c r="C4" s="84">
        <v>4</v>
      </c>
      <c r="D4" s="74">
        <f>GEOMEAN(B4,C4)</f>
        <v>3.4641016151377548</v>
      </c>
      <c r="E4" s="74">
        <f>LogVariance(B4,C4)</f>
        <v>4.8745107090250664E-2</v>
      </c>
      <c r="F4" s="103" t="s">
        <v>203</v>
      </c>
      <c r="H4" t="s">
        <v>38</v>
      </c>
      <c r="I4">
        <f>VLOOKUP($H4,Globals!$A$22:$L$30,11,FALSE)</f>
        <v>1.7999999999999998</v>
      </c>
      <c r="J4">
        <f>VLOOKUP($H4,Globals!$A$22:$L$30,12,FALSE)</f>
        <v>0</v>
      </c>
      <c r="M4" s="3" t="s">
        <v>186</v>
      </c>
      <c r="N4">
        <f>VLOOKUP($M4,'EV of Far Future'!$K$3:$N$14,2,FALSE)</f>
        <v>3.8399999999999992E+38</v>
      </c>
      <c r="O4">
        <f>VLOOKUP($M4,'EV of Far Future'!$K$3:$N$14,3,FALSE)</f>
        <v>4.6818248764342734</v>
      </c>
    </row>
    <row r="5" spans="1:15" ht="30">
      <c r="A5" s="85" t="s">
        <v>68</v>
      </c>
      <c r="B5" s="86">
        <f>B3*1000</f>
        <v>700</v>
      </c>
      <c r="C5" s="86">
        <f>C3*1000</f>
        <v>13000</v>
      </c>
      <c r="D5" s="74">
        <f>GEOMEAN(B5,C5)</f>
        <v>3016.620625799671</v>
      </c>
      <c r="E5" s="74">
        <f>LogVariance(B5,C5)</f>
        <v>0.49504262895320128</v>
      </c>
      <c r="F5" s="103"/>
      <c r="H5" s="15" t="s">
        <v>52</v>
      </c>
      <c r="I5" s="14">
        <f>PRODUCT(I3:I4)</f>
        <v>5429.9171264394072</v>
      </c>
      <c r="J5" s="14">
        <f>SUM(J3:J4)</f>
        <v>0.49504262895320128</v>
      </c>
      <c r="M5" s="3" t="s">
        <v>66</v>
      </c>
      <c r="N5">
        <f>1/factory_farmed_animals</f>
        <v>5.0000000000000002E-11</v>
      </c>
      <c r="O5">
        <v>0</v>
      </c>
    </row>
    <row r="6" spans="1:15" ht="30">
      <c r="A6" s="85" t="s">
        <v>67</v>
      </c>
      <c r="B6" s="86"/>
      <c r="C6" s="86"/>
      <c r="D6" s="74">
        <f>PRODUCT(D4:D5)</f>
        <v>10449.880382090505</v>
      </c>
      <c r="E6" s="74">
        <f>SUM(E4:E5)</f>
        <v>0.54378773604345199</v>
      </c>
      <c r="F6" s="103"/>
      <c r="H6" s="18" t="s">
        <v>80</v>
      </c>
      <c r="I6" s="19">
        <f>ParetoPosterior(median,alpha,I5:J5)</f>
        <v>396.49368154968971</v>
      </c>
      <c r="M6" s="3" t="s">
        <v>98</v>
      </c>
      <c r="N6">
        <f>$D$12</f>
        <v>778.36106764849467</v>
      </c>
      <c r="O6">
        <f>$E$12</f>
        <v>0.55699674606152716</v>
      </c>
    </row>
    <row r="7" spans="1:15" ht="45">
      <c r="A7" s="46" t="s">
        <v>106</v>
      </c>
      <c r="B7" s="47">
        <v>5.0000000000000001E-3</v>
      </c>
      <c r="C7" s="47">
        <v>0.03</v>
      </c>
      <c r="D7" s="74">
        <f>GEOMEAN(B7,C7)</f>
        <v>1.2247448713915889E-2</v>
      </c>
      <c r="E7" s="74">
        <f>LogVariance(B7,C7)</f>
        <v>0.30359732347288149</v>
      </c>
      <c r="F7" s="103"/>
      <c r="H7" s="18" t="s">
        <v>69</v>
      </c>
      <c r="I7" s="20">
        <f>LognormPosterior(mu_factory_farming,sigma_factory_farming,I5:J5)</f>
        <v>194.83133807235006</v>
      </c>
      <c r="M7" s="15" t="s">
        <v>52</v>
      </c>
      <c r="N7" s="14">
        <f>PRODUCT(N3:N6)</f>
        <v>6.6833981118771693E+29</v>
      </c>
      <c r="O7" s="14">
        <f>SUM(O3:O6)</f>
        <v>5.7464211723863672</v>
      </c>
    </row>
    <row r="8" spans="1:15" ht="30">
      <c r="A8" s="85" t="s">
        <v>231</v>
      </c>
      <c r="B8" s="112"/>
      <c r="C8" s="112"/>
      <c r="D8">
        <f>D6*interest_rate</f>
        <v>522.49401910452525</v>
      </c>
      <c r="E8">
        <f>E6</f>
        <v>0.54378773604345199</v>
      </c>
      <c r="F8" s="103"/>
      <c r="I8" s="21"/>
    </row>
    <row r="9" spans="1:15" ht="30">
      <c r="A9" s="113" t="s">
        <v>232</v>
      </c>
      <c r="B9" s="112"/>
      <c r="C9" s="112"/>
      <c r="D9">
        <f>D6*D7</f>
        <v>127.98437404620924</v>
      </c>
      <c r="E9">
        <f>E6+E7</f>
        <v>0.84738505951633347</v>
      </c>
      <c r="F9" s="103"/>
      <c r="I9" s="2">
        <f>LognormPosterior(mu_factory_farming,sigma_factory_farming,I5:J5)</f>
        <v>194.83133807235006</v>
      </c>
    </row>
    <row r="10" spans="1:15">
      <c r="A10" s="115" t="s">
        <v>172</v>
      </c>
      <c r="D10" s="114" t="str">
        <f>WriteArray(SumLognormDists(D8:E9))</f>
        <v>0,0,0,0,5.29662331042868E-293,1.34510720368964E-289,6.29778739139962E-287,3.38710416551508E-284,1.43040617324106E-281,5.77984181470295E-279,2.26711531471151E-276,8.64780643741464E-274,3.20498267651421E-271,1.15457947123543E-268,4.0431232163893E-266,1.376279675357E-263,4.55400200915725E-261,1.46479432522791E-258,4.57991150359909E-256,1.39198523255035E-253,4.11253277460306E-251,1.18108571963555E-248,3.29724234278414E-246,8.9478320497236E-244,2.36038251300883E-241,6.0526375421905E-239,1.50870651740656E-236,3.65563472093407E-234,8.61031138548315E-232,1.97139236006789E-229,4.38758496756202E-227,9.49240770331796E-225,1.99629957192008E-222,4.08106627671065E-220,8.10998971403935E-218,1.5666276952141E-215,2.94178045428905E-213,5.36974671293768E-211,9.52788600036335E-209,1.64338242555985E-206,2.75537165613756E-204,4.490775313336E-202,7.11479169339027E-200,1.09572837392219E-197,1.64037679439724E-195,2.38717607470344E-193,3.37695718999215E-191,4.6437310968982E-189,6.20739125529626E-187,8.065882108439E-185,1.01881530309288E-182,1.25095024788071E-180,1.49308920086569E-178,1.73233852242564E-176,1.95380500867427E-174,2.14205825907425E-172,2.28288009936884E-170,2.36503107696795E-168,2.38173090257683E-166,2.33158250702956E-164,2.21876502415568E-162,2.0524587239648E-160,1.84561165896347E-158,1.61327783570835E-156,1.37082222885101E-154,1.13228673717511E-152,9.0914927904543E-151,7.09606624560822E-149,5.38398695310181E-147,3.97094987675118E-145,2.84701055527894E-143,1.98421265376674E-141,1.34428706894299E-139,8.85320869733705E-138,5.66779935184908E-136,3.52722796872937E-134,2.13382159080553E-132,1.25484017281463E-130,7.17339389618395E-129,3.98627381798813E-127,2.15335676597491E-125,1.13076276614014E-123,5.7721006623842E-122,2.86420053705033E-120,1.38159363020603E-118,6.47835657043792E-117,2.9529578888951E-115,1.30845200853167E-113,5.6359449816265E-112,2.35984979823038E-110,9.60529971114249E-109,3.80055217661541E-107,1.4618135372916E-105,5.46571582592657E-104,1.98660807827497E-102,7.01920172457505E-101,2.41087076358951e-99,8.0495411465858e-98,2.61264029164218e-96,8.24327400215484e-95,2.5283185813477e-93,7.53834714070325e-92,2.18490763282898e-90,6.15606202140123e-89,1.68611113577146e-87,4.48934589280584e-86,1.16196745261979e-84,2.92360874662408e-83,7.15087706760211e-82,1.70025682164363e-80,3.92993426067605e-79,8.83022947682146e-78,1.92874603343304e-76,4.09538625316045e-75,8.4534089596198e-74,1.69623692229484e-72,3.30871382390164e-71,6.27408516714132e-70,1.15653979772359e-68,2.07247924586783e-67,3.61027024356733e-66,6.1137775698994e-65,1.00646912076031e-63,1.6106926686333e-62,2.50580247623553e-61,3.78968786819751e-60,5.57163997346636e-59,7.96317389561639e-58,1.10640331794886e-56,1.49439509331227e-55,1.96219733287229e-54,2.50464291889469e-53,3.10796030039794e-52,3.74914508138237e-51,4.39659860133366e-50,5.01221667462586e-49,5.5548454891175e-48,5.98472157307487e-47,6.26825202335559e-46,6.38234400122593e-45,6.31751051672381e-44,6.07917309691848e-43,5.68691321189589e-42,5.1718158227645e-41,4.5724049296758e-40,3.92990768028348e-39,3.28365038522666e-38,2.66728402861323e-37,2.10630047069383e-36,1.61700377294822e-35,1.20681960632939e-34,8.7561923139507e-34,6.17633521953902e-33,4.2353578799362e-32,2.82354125474028e-31,1.82997032983409e-30,1.15303103190166e-29,7.06295054559967e-29,4.20611148659691e-28,2.43515214686312e-27,1.3706400913099e-26,7.50022194219047e-26,3.99006107736017e-25,2.06367429416548e-24,1.03767280483871e-23,5.0726970357897e-23,2.41089457757455e-22,1.11398661854785e-21,5.00432955675794e-21,2.18563574759202e-20,9.28063031239499e-20,3.83130643412664e-19,1.53775813468625e-18,6.00071483202527e-18,2.27663771301379e-17,8.39775322021963e-17,3.01170824720369e-16,1.05013652514344e-15,3.56011712716589e-15,1.17346777053869e-14,3.76070469873874e-14,1.1718214762407e-13,3.55018464910951e-13,1.04578153874177e-12,2.99526314301035e-12,8.34135492175335e-12,2.25865368081444e-11,5.9467290188986e-11,1.52239156720351e-10,3.78964747662529e-10,9.17276459729904e-10,2.15891594787886e-09,4.94095206156926e-09,1.09958972306026e-08,2.37958872925915e-08,5.00761353620985e-08,1.02476499376452e-07,2.03934034172618e-07,3.94670789473442e-07,7.42794293976843e-07,1.35956352703184e-06,2.42012372576917e-06,4.18979945980481e-06,7.05468788140085e-06,1.15532311582323e-05,1.84027779490343e-05,2.85122723156429e-05,4.29698906940218e-05,6.29937433683262e-05,8.98358272955756e-05,0.000124635158837091,0.000168225594909027,0.000220916283428741,0.000282275646346993,0.000350959871520447,0.00042463029812792,0.000499997832058134,0.000573015637882092,0.000639215709744085,0.000694155362829557,0.000733913078835934,0.000755556601468123,0.000757504939373053,0.000739721550790537,0.000703705587937486,0.000652284991078287,0.000589250793303489,0.000518898074528371,0.000445550197299228,0.000373137968321996,0.000304887003350422,0.00024314054572163,0.000189318035690181,0.000143987691557253,0.000107017853095873,7.77677590757644e-05,5.52823565706683e-05,3.84648223156141e-05,2.62115074785349e-05,1.75042949372191e-05,1.14631707257419e-05,7.36651911597236e-06,4.64847268278649e-06,2.88230997102436e-06,1.75727806733285e-06,1.05411424382196e-06,6.22512254703137e-07,3.62136216478192e-07,2.07632066549313e-07,1.17390660463625e-07,6.54775398519245e-08,3.60463180410579e-08,1.95938300352402e-08,1.0520617830124e-08,5.58209361473229e-09,2.92790620451634e-09,1.51877438819097e-09,7.79434653757731e-10,3.95906364854688e-10,1.99116455080617e-10,9.91962904695698e-11,4.89689432463157e-11,2.39625528251052e-11,1.1626900625564e-11,5.59527636396822e-12,2.6710801156629e-12,1.2650614826614e-12,5.94452143958841e-13,2.77136929363911e-13,1.28176593081512e-13,5.88032048239023e-14,2.67542891320006e-14,1.20696369047321e-14,5.39762333866625e-15,2.39228745573018e-15,1.0505605437518e-15,4.57007429531974e-16,1.96889674189869e-16,8.39905622376033e-17,3.54702836243042e-17,1.48269938997374e-17,6.13383955910149e-18,2.51100610393687e-18,1.0170737308759e-18,4.07574527198784e-19,1.61576702138877e-19,6.33636958608128e-20,2.45793408884323e-20,9.43083359225831e-21,3.57903334347113e-21,1.34340160619424e-21,4.98725410306522e-22,1.83115734097784e-22,6.64956070231179e-23,2.38813690752892e-23,8.48244969863898e-24,2.97972906790273e-24,1.0351990791293e-24,3.55681479595895e-25,1.20861481199507e-25,4.06165593593798e-26,1.34991486443344e-26,4.43708015011759e-27,1.44236620751463e-27,4.63704146106938e-28,1.47432576493497e-28,4.63588730309943e-29,1.44164773800374e-29,4.43376083800119e-30,1.34856586310481e-30,4.05656864390389e-31,1.20679152113124e-31,3.55052368630332e-32,1.03309275249325e-32,2.97284966201558e-33,8.46044699291467e-34,2.38122480186661e-34,6.6281787429541e-35,1.82462974631267e-35,4.96754733678881e-36,1.33750680981242e-36,3.56153087249135e-37,9.37916440196845e-38,2.44274597953534e-38,6.29186201195422e-39,1.60275372638313e-39,4.03776579437741e-40,1.00600972136863e-40,2.47884832313677e-41,6.0406608559508e-42,1.45581328053636e-42,3.46987335216193e-43,8.17915227833764e-44,1.90673214222842e-44,4.39600122571727e-45,1.00233442304316e-45,2.26023819530494e-46,5.04060304388203e-47,1.11172534935977e-47,2.42493020470583e-48,5.23103590743811e-49,1.11599662891389e-49,2.35464146577273e-50,4.91330151450602e-51,1.01393185655925e-51,2.0693351927804e-52,4.17676117007528e-53,8.33748691183221e-54,1.64595292898607e-54,3.21355975950205e-55,6.20500410795725e-56,1.18490761270439e-56,2.23776063366419e-57,4.17954968993756e-58,7.7202627207166e-59,1.41033209702701e-59,2.54798826599502e-60,4.55260719981921e-61,8.04469645082912e-62,1.40587227308944e-62,2.42979029694678e-63,4.153157915223e-64,7.02060952896658e-65,1.17370219638201e-65,1.94056296549704e-66,3.17310383475307e-67,5.13130172692228e-68,8.20649188681062e-69,1.29799870738122e-69,2.03038173977057e-70,3.14099945753617e-71,4.80556822481498e-72,7.2712379440643e-73,1.08807464351373e-73,1.61025904008476e-74,2.35678261463481e-75,3.41137945158165e-76,4.88345574012544e-77,6.91371075485349e-78,9.68014538566243e-79,1.34041499399998e-79,1.8356226081173e-80,2.48607509072632e-81,3.32990474156073e-82,4.41099028226205e-83,5.77865964169213e-84,7.48694863723481e-85,9.59332848373354e-86,1.21568343892557e-86,1.52355595484636e-87,1.88835238443866e-88,2.31469832032428e-89,2.80603107002703e-90,3.36416492054801e-91,3.98886009252728e-92,4.67742737771062e-93,5.42440398341663e-94,6.22133693660797e-95,7.05670792454164e-96,7.91602734578799e-97,8.78211566357417e-98,9.63557736864548e-99,1.04554578773702e-99,1.12200577937101E-100,1.19078636919147E-101,1.24985415667712E-102,1.2973929886185E-103,1.33189650026054E-104,1.3522473293702E-105,1.35777719646451E-106,1.34830334554651E-107,1.32413857361168E-108,1.28607408117356E-109,1.23533645532508E-110,1.17352204763895E-111,1.10251364306665E-112,1.02438548197579E-113,9.41303299053875E-115,8.55426047413722E-116,7.68815416159488E-117,6.83358214812793E-118,6.00705321703874E-119,5.22229333957996E-120,4.49001476977803E-121,3.81786880010167E-122,3.21056120602976E-123,2.67010064066542E-124,2.19614510517932E-125,1.78641006078918E-126,1.43710335627397E-127,1.14335626243411E-128,8.9962573290246E-130,7.00049722275132E-131,5.38744226784739E-132,4.10037044363559E-133,3.08638630291755E-134,2.29754589257082E-135,1.69147206819105E-136,1.23155039983173E-137,8.86801199860889E-139,6.31519954885041E-140,4.4476910014348E-141,3.09791045551936E-142,2.13397750380421E-143,1.45377613985705E-144,9.79471852663097E-146,6.52639126823361E-147,4.30071810541312E-148,2.80282234424813E-149,1.80649551773799E-150,1.15150261642968E-151,7.25904842092722E-153,4.52565226293306E-154,2.79041881932931E-155,1.7015484782144E-156,1.02613850650606E-157,6.12004149470616E-159,3.60985262485664E-160,2.10577177584751E-161,1.21484215218313E-162,6.93130689001815E-164,3.91108385153814E-165,2.18255828137374E-166,1.20454019164095E-167,6.5745111319394E-169,3.54888852638561E-170,1.89455830152917E-171,1.00025404039438E-172,5.22275168325582E-174,2.69696409435163E-175,1.3773289465767E-176,6.95643783894999E-178,3.4747444188565E-179,1.71650687339519E-180,8.38600179569278E-182,4.05182872312651E-183,1.93612739504934E-184,9.14962942330405E-186,4.2762176613104E-187,1.9765273331492E-188,9.03509180282118E-190,4.0845953468163E-191,1.82621636545343E-192,8.07499283989481E-194,3.53117129109481E-195,1.52715158582422E-196,6.53179030018227E-198,2.76292466202962E-199,1.15582630964135E-200,4.78192579313003E-202,1.95658992222612E-203,7.91741693463418E-205,3.16850168599829E-206,1.25403914396765E-207,4.90856975126894E-209,1.90013984089457E-210,7.27449558854611E-212,2.75427264707642E-213,1.03133010897728E-214,3.81922450403932E-216,1.39874775599368E-217,5.06629344515233E-219,1.81479679097097E-220,6.42913266919047E-222,2.25249324068397E-223,7.80479191085644E-225,2.67452021067159E-226,9.06394294614361E-228,3.03791183427107E-229,1.00697778975038E-230,3.30104421339844E-232,1.07021125551802E-233,3.4314242066838E-235,1.08809303555765E-236,3.41227774740444E-238,1.05830157112216E-239,3.24609504130873E-241,9.84690493397364E-243,2.9540985700132E-244,8.76469773271799E-246,2.57179073547816E-247,7.46313049177786E-249,2.14187028876982E-250,6.07927824478323E-252,1.70646584166785E-253,4.73728923213475E-255,1.30061550265224E-256,3.53146311790176E-258,9.48303049227655E-260,2.51840946331543E-261,6.61442751706213E-263,1.7180860208978E-264,4.41351157855788E-266,1.12127040581583E-267,2.81723563275466E-269,7.00039763214598E-271,1.72031893371165E-272,4.18101718496657E-274,1.00494353239918E-275,2.38884565120801E-277,5.61592428292654E-279,1.30569313616752E-280,3.00225600334629E-282,6.82717517314619E-284,1.53539843638266E-285,3.41497764646993E-287,7.51175405302108E-289,1.63411109312743E-290,3.51567337432252E-292,7.4803545887205E-294,1.57406467892672E-295,3.27574197575392E-297,6.74191886061164E-299,1.37228425526546E-300,2.7624305171567E-302,5.49952738741815E-304,1.08279464349542E-305,2.1084026416846E-307,4.06020281683847E-309,7.73265489303903E-311,1.45645225259136E-312,2.71300502651156E-314,4.9979472237598E-316,9.10581759779959E-318,1.64059438358044E-319,2.91498731046335E-321,1.97626258336499E-323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E10" s="114" t="s">
        <v>153</v>
      </c>
      <c r="F10" s="103"/>
      <c r="H10" s="13" t="s">
        <v>64</v>
      </c>
      <c r="M10" s="1" t="s">
        <v>177</v>
      </c>
    </row>
    <row r="11" spans="1:15">
      <c r="A11" s="3" t="s">
        <v>156</v>
      </c>
      <c r="D11" s="3">
        <f>STupidExcelMean(D10)</f>
        <v>3407.5897817391692</v>
      </c>
      <c r="E11" s="3">
        <f>STupidExcelVariance(D10,D11)</f>
        <v>210938034.78704423</v>
      </c>
      <c r="F11" s="103"/>
      <c r="I11" s="7" t="s">
        <v>161</v>
      </c>
      <c r="J11" s="7" t="s">
        <v>162</v>
      </c>
      <c r="M11" s="3" t="s">
        <v>179</v>
      </c>
      <c r="N11" s="25">
        <f>VLOOKUP(M11,$A$14:$E$17,4,FALSE)</f>
        <v>2.2360679774997897E-2</v>
      </c>
      <c r="O11" s="25">
        <f>VLOOKUP(M11,$A$14:$E$17,5,FALSE)</f>
        <v>0.27270459618181209</v>
      </c>
    </row>
    <row r="12" spans="1:15" ht="30">
      <c r="A12" s="113" t="s">
        <v>98</v>
      </c>
      <c r="B12" s="112"/>
      <c r="C12" s="112"/>
      <c r="D12" s="3">
        <f>EXP(MuFromParams(ABS(D11),E11))</f>
        <v>778.36106764849467</v>
      </c>
      <c r="E12" s="3">
        <f>(SigmaFromParams(D11,E11) / LN(10))^2</f>
        <v>0.55699674606152716</v>
      </c>
      <c r="F12" s="103"/>
      <c r="H12" s="3" t="s">
        <v>70</v>
      </c>
      <c r="I12">
        <v>1</v>
      </c>
      <c r="J12">
        <v>0</v>
      </c>
      <c r="M12" s="3" t="s">
        <v>182</v>
      </c>
      <c r="N12">
        <f>VLOOKUP($M12,'EV of Far Future'!$K$3:$N$14,2,FALSE)</f>
        <v>6.3245553203367595E+46</v>
      </c>
      <c r="O12">
        <f>VLOOKUP($M12,'EV of Far Future'!$K$3:$N$14,3,FALSE)</f>
        <v>3.5113686573257055</v>
      </c>
    </row>
    <row r="13" spans="1:15">
      <c r="A13" s="113"/>
      <c r="B13" s="112"/>
      <c r="C13" s="112"/>
      <c r="F13" s="103"/>
      <c r="H13" s="3" t="s">
        <v>187</v>
      </c>
      <c r="I13">
        <f>VLOOKUP($H13,'EV of Far Future'!$K$3:$N$14,2,FALSE)</f>
        <v>5.4644157967709579E+33</v>
      </c>
      <c r="J13">
        <f>VLOOKUP($H13,'EV of Far Future'!$K$3:$N$14,3,FALSE)</f>
        <v>2.7310645112533267</v>
      </c>
      <c r="M13" s="3" t="s">
        <v>66</v>
      </c>
      <c r="N13">
        <f>1/factory_farmed_animals</f>
        <v>5.0000000000000002E-11</v>
      </c>
      <c r="O13">
        <v>0</v>
      </c>
    </row>
    <row r="14" spans="1:15" ht="45">
      <c r="A14" s="46" t="s">
        <v>178</v>
      </c>
      <c r="B14" s="47">
        <v>0.01</v>
      </c>
      <c r="C14" s="47">
        <v>0.2</v>
      </c>
      <c r="D14" s="74">
        <f>GEOMEAN(B14,C14)</f>
        <v>4.4721359549995794E-2</v>
      </c>
      <c r="E14" s="74">
        <f>LogVariance(B14,C14)</f>
        <v>0.50759954989056688</v>
      </c>
      <c r="F14" s="103" t="s">
        <v>180</v>
      </c>
      <c r="H14" s="3" t="s">
        <v>66</v>
      </c>
      <c r="I14">
        <f>1/factory_farmed_animals</f>
        <v>5.0000000000000002E-11</v>
      </c>
      <c r="J14">
        <v>0</v>
      </c>
      <c r="M14" s="3" t="s">
        <v>98</v>
      </c>
      <c r="N14">
        <f>$D$12</f>
        <v>778.36106764849467</v>
      </c>
      <c r="O14">
        <f>$E$12</f>
        <v>0.55699674606152716</v>
      </c>
    </row>
    <row r="15" spans="1:15" ht="30">
      <c r="A15" s="46" t="s">
        <v>136</v>
      </c>
      <c r="B15" s="47">
        <v>5.0000000000000001E-3</v>
      </c>
      <c r="C15" s="47">
        <v>0.1</v>
      </c>
      <c r="D15" s="74">
        <f>GEOMEAN(B15,C15)</f>
        <v>2.2360679774997897E-2</v>
      </c>
      <c r="E15" s="74">
        <f>LogVariance(B15,C15)</f>
        <v>0.50759954989056688</v>
      </c>
      <c r="F15" s="103"/>
      <c r="H15" s="3" t="s">
        <v>98</v>
      </c>
      <c r="I15">
        <f>$D$12</f>
        <v>778.36106764849467</v>
      </c>
      <c r="J15">
        <f>$E$12</f>
        <v>0.55699674606152716</v>
      </c>
      <c r="M15" s="15" t="s">
        <v>52</v>
      </c>
      <c r="N15" s="14">
        <f>PRODUCT(N11:N14)</f>
        <v>5.5038438914585175E+37</v>
      </c>
      <c r="O15" s="14">
        <f>SUM(O11:O14)</f>
        <v>4.3410699995690445</v>
      </c>
    </row>
    <row r="16" spans="1:15" ht="30">
      <c r="A16" s="46" t="s">
        <v>248</v>
      </c>
      <c r="B16" s="47">
        <v>0.01</v>
      </c>
      <c r="C16" s="47">
        <v>0.2</v>
      </c>
      <c r="D16" s="74">
        <f>GEOMEAN(B16,C16)</f>
        <v>4.4721359549995794E-2</v>
      </c>
      <c r="E16" s="74">
        <f>LogVariance(B16,C16)</f>
        <v>0.50759954989056688</v>
      </c>
      <c r="F16" s="103"/>
      <c r="H16" s="15" t="s">
        <v>52</v>
      </c>
      <c r="I16" s="14">
        <f>PRODUCT(I12:I15)</f>
        <v>2.1266442568249712E+26</v>
      </c>
      <c r="J16" s="14">
        <f>SUM(J12:J15)</f>
        <v>3.2880612573148538</v>
      </c>
    </row>
    <row r="17" spans="1:15">
      <c r="A17" s="52" t="s">
        <v>179</v>
      </c>
      <c r="B17" s="51">
        <v>0.01</v>
      </c>
      <c r="C17" s="51">
        <v>0.05</v>
      </c>
      <c r="D17" s="74">
        <f>GEOMEAN(B17,C17)</f>
        <v>2.2360679774997897E-2</v>
      </c>
      <c r="E17" s="74">
        <f>LogVariance(B17,C17)</f>
        <v>0.27270459618181209</v>
      </c>
      <c r="F17" s="103"/>
    </row>
    <row r="18" spans="1:15">
      <c r="A18" s="35"/>
      <c r="B18" s="34"/>
      <c r="C18" s="34"/>
      <c r="D18" s="34"/>
      <c r="E18" s="34"/>
      <c r="M18" t="s">
        <v>170</v>
      </c>
    </row>
    <row r="19" spans="1:15">
      <c r="M19" t="s">
        <v>171</v>
      </c>
      <c r="N19">
        <f>I16</f>
        <v>2.1266442568249712E+26</v>
      </c>
      <c r="O19">
        <f>J16</f>
        <v>3.2880612573148538</v>
      </c>
    </row>
    <row r="20" spans="1:15">
      <c r="H20" s="1" t="s">
        <v>71</v>
      </c>
      <c r="N20">
        <f>I26</f>
        <v>8.9111974825028946E+27</v>
      </c>
      <c r="O20">
        <f>J26</f>
        <v>4.1858128802416097</v>
      </c>
    </row>
    <row r="21" spans="1:15">
      <c r="I21" s="7" t="s">
        <v>161</v>
      </c>
      <c r="J21" s="7" t="s">
        <v>163</v>
      </c>
      <c r="N21">
        <f>I35</f>
        <v>1.4089840362133801E+31</v>
      </c>
      <c r="O21">
        <f>J35</f>
        <v>4.5759649532777997</v>
      </c>
    </row>
    <row r="22" spans="1:15" ht="20">
      <c r="A22" s="32" t="s">
        <v>59</v>
      </c>
      <c r="H22" s="3" t="s">
        <v>178</v>
      </c>
      <c r="I22" s="25">
        <f>VLOOKUP(H22,$A$14:$E$17,4,FALSE)</f>
        <v>4.4721359549995794E-2</v>
      </c>
      <c r="J22" s="25">
        <f>VLOOKUP(H22,$A$14:$E$17,5,FALSE)</f>
        <v>0.50759954989056688</v>
      </c>
      <c r="M22" s="3"/>
      <c r="N22" s="3">
        <f>N7</f>
        <v>6.6833981118771693E+29</v>
      </c>
      <c r="O22" s="3">
        <f>O7</f>
        <v>5.7464211723863672</v>
      </c>
    </row>
    <row r="23" spans="1:15">
      <c r="A23" s="10" t="s">
        <v>173</v>
      </c>
      <c r="B23" t="s">
        <v>161</v>
      </c>
      <c r="C23" t="s">
        <v>163</v>
      </c>
      <c r="H23" s="3" t="s">
        <v>184</v>
      </c>
      <c r="I23">
        <f>VLOOKUP($H23,'EV of Far Future'!$K$3:$N$14,2,FALSE)</f>
        <v>5.1200000000000003E+36</v>
      </c>
      <c r="J23">
        <f>VLOOKUP($H23,'EV of Far Future'!$K$3:$N$14,3,FALSE)</f>
        <v>3.1212165842895159</v>
      </c>
      <c r="N23">
        <f>N15</f>
        <v>5.5038438914585175E+37</v>
      </c>
      <c r="O23">
        <f>O15</f>
        <v>4.3410699995690445</v>
      </c>
    </row>
    <row r="24" spans="1:15">
      <c r="A24" s="8" t="s">
        <v>156</v>
      </c>
      <c r="B24">
        <f>N25</f>
        <v>5.5336458492179961E+42</v>
      </c>
      <c r="C24">
        <f>O25</f>
        <v>3.0005554714623591E+95</v>
      </c>
      <c r="H24" s="3" t="s">
        <v>66</v>
      </c>
      <c r="I24">
        <f>1/factory_farmed_animals</f>
        <v>5.0000000000000002E-11</v>
      </c>
      <c r="J24">
        <v>0</v>
      </c>
      <c r="M24" s="30" t="s">
        <v>172</v>
      </c>
      <c r="N24" s="31" t="str">
        <f>WriteArray(SumLognormDists(N19:O23))</f>
        <v>0,0,0,0,0,0,0,0,0,0,0,0,0,0,0,0,0,0,0,0,0,0,0,0,0,0,0,0,0,0,0,0,0,0,0,0,0,0,0,0,0,0,0,0,0,0,0,0,0,0,0,0,0,0,0,0,0,0,0,0,0,0,0,0,0,0,0,0,0,0,0,0,0,0,0,0,0,0,0,0,0,0,0,0,0,0,0,0,0,0,0,0,0,0,0,0,0,0,0,0,0,0,0,0,0,0,0,0,0,0,0,0,0,0,0,0,0,0,0,0,0,0,0,0,0,0,0,0,0,0,0,0,0,0,0,0,0,0,0,0,0,0,0,0,0,0,0,0,0,0,0,0,0,0,0,0,0,6.67887327295468E-318,3.05253434635396E-316,1.27780853559627E-314,5.29129147719482E-313,2.16731479465034E-311,8.78091352901705E-310,3.5189664607717E-308,1.39491690784701E-306,5.46939631623494E-305,2.12123290381753E-303,8.13758024541939E-302,3.08787878241831E-300,1.15899962466482E-298,4.30293220239373E-297,1.58017043220999E-295,5.7398645354657E-294,2.06232783456987E-292,7.32946335255706E-291,2.57658890093527E-289,8.95935265472278E-288,3.08153243880943E-286,1.04837229643905E-284,3.52795531657803E-283,1.17432804244836E-281,3.8664702461544E-280,1.25921203977692E-278,4.05641226108862E-277,1.2925412168912E-275,4.07385794345732E-274,1.27006690276195E-272,3.91657661388816E-271,1.19466471533025E-269,3.60449895316537E-268,1.07573005086407E-266,3.17556716886023E-265,9.27254577623993E-264,2.67815941931357E-262,7.65127298601819E-261,2.16217518911376E-259,6.04377168872327E-258,1.67103400228017E-256,4.57006808254827E-255,1.23628977922793E-253,3.30809668457511E-252,8.75581338932563E-251,2.29232013771703E-249,5.93628297125113E-248,1.52059849310282E-246,3.85278910272773E-245,9.65598812556335E-244,2.39375170070833E-242,5.86978851145864E-241,1.42372749538903E-239,3.41580007065364E-238,8.10623622208796E-237,1.90286245941495E-235,4.41831792190461E-234,1.01477098093232E-232,2.30537044356937E-231,5.18054082073656E-230,1.15151943131455E-228,2.53179960526676E-227,5.50616683960459E-226,1.18449023221264E-224,2.52043659453399E-223,5.30496280831378E-222,1.10446328605389E-220,2.27448301412736E-219,4.63315347585819E-218,9.33540905798388E-217,1.86059906632816E-215,3.66804900537864E-214,7.15287193424679E-213,1.37971334715863E-211,2.63245214556755E-210,4.96815819527427E-209,9.2745696782654E-208,1.71259886674212E-206,3.12810397189164E-205,5.65158759745474E-204,1.01000521769533E-202,1.78542148581618E-201,3.12192163941471E-200,5.39967298213554E-199,9.23798510023407E-198,1.563333068628E-196,2.61691942548626E-195,4.33305188711791E-194,7.09679490178741E-193,1.14972922296877E-191,1.842442587556E-190,2.92050236961252E-189,4.57916715713956E-188,7.10200374913306E-187,1.08953427023018E-185,1.65335694678081E-184,2.48175108483708E-183,3.68481611109089E-182,5.41177285408753E-181,7.86193739493977E-180,1.12975955922034E-178,1.60586500210968E-177,2.25786905475156E-176,3.14018565381774E-175,4.31995181228312E-174,5.87854209878258E-173,7.91275405795878E-172,1.05354516724096E-170,1.38754240138388E-169,1.80761999441257E-168,2.32935637178071E-167,2.96915469599197E-166,3.74367348931536E-165,4.66908217204182E-164,5.76014812112665E-163,7.02917789781052E-162,8.48485329987136E-161,1.01310214132029E-159,1.19655150011478E-158,1.39790932405785E-157,1.61546008000589E-156,1.84664435854441E-155,2.08804706958144E-154,2.33543335793237E-153,2.58383654151133E-152,2.82769878712268E-151,3.06106112125739E-150,3.27779508105103E-149,3.47186426029232E-148,3.63760063035553E-147,3.76997821436254E-146,3.86486577614566E-145,3.91924083374736E-144,3.93134953884014E-143,3.90080062490256E-142,3.82858640360319E-141,3.71702923759805E-140,3.56965751744946E-139,3.39102038161744E-138,3.18645474804228E-137,2.96182128276654E-136,2.72322746970691E-135,2.47675588910885E-134,2.22821425336473E-133,1.98292093074017E-132,1.74553596581017E-131,1.51994339985258E-130,1.30918643642557E-129,1.11545308052796E-128,9.40106620301881E-128,7.8375293084032E-127,6.4633515884649E-126,5.27245883490052E-125,4.25447238760312E-124,3.3959055430478E-123,2.68128615278783E-122,2.09415437918534E-121,1.61790302867614E-120,1.236445135107E-119,9.34708278764467E-119,6.98966753314365E-118,5.17030849890707E-117,3.7831732266206E-116,2.73826930855282E-115,1.96054395957812E-114,1.38853823905708E-113,9.72792655024786E-113,6.74161970963736E-112,4.6215760493916E-111,3.13399431850753E-110,2.10227207575726E-109,1.39496280815973E-108,9.15629353587316E-108,5.94511888199991E-107,3.81843614146177E-106,2.42602388988809E-105,1.52471816606314E-104,9.47915120858229E-104,5.82955124398888E-103,3.54639432783529E-102,2.13415317181666E-101,1.27043150995613E-100,7.48108325931507E-100,4.35778441397037e-99,2.51105072263803e-98,1.43131162540332e-97,8.07053579078896e-97,4.50153352208477e-96,2.48375678247251e-95,1.35565323495598e-94,7.31947040155314e-94,3.90933360561161e-93,2.06546757196404e-92,1.07951121385587e-91,5.58122627523146e-91,2.85447585444446e-90,1.44416886239336e-89,7.22778190661999e-89,3.57839413273727e-88,1.7525402515863e-87,8.49073254685732e-87,4.06930555551738e-86,1.92927476977098e-85,9.04830409235593e-85,4.1979793741306e-84,1.9267001330822e-83,8.7476095083035e-83,3.92886238118631e-82,1.74560976980755e-81,7.67239927438411e-81,3.33595124282442e-80,1.43487298927216e-79,6.10538858098958e-79,2.56992280883552e-78,1.07012527152778e-77,4.40816464125696e-77,1.79634822947555e-76,7.24158617579619e-76,2.88794061446142e-75,1.13934473652545e-74,4.44667465562611e-74,1.71684019183869e-73,6.55752148887144e-73,2.47779831669938e-72,9.26210363828987e-72,3.42508904771022e-71,1.25300778426093e-70,4.5347828169734e-70,1.62360812195943e-69,5.75081165932344e-69,2.01512280275106e-68,6.98553385012475e-68,2.39565732205548e-67,8.12789591776383e-67,2.72810624679396e-66,9.05890147926137e-66,2.97592745561956e-65,9.67170776486918e-65,3.1097073918828e-64,9.89174641322474e-64,3.11289953366713e-63,9.69164624319065e-63,2.98519016611706e-62,9.09683206384542e-62,2.74254556764988e-61,8.18021746657196e-61,2.41393205445367e-60,7.04752061204808e-60,2.03563902336791e-59,5.81728466575163e-59,1.64473939195707e-58,4.600798942519e-58,1.27330080829624e-57,3.48652396656819e-57,9.44540366926109e-57,2.53172795417815e-56,6.71405177204012e-56,1.76167598479937e-55,4.57344777078877e-55,1.17473653925414e-54,2.98551392333436e-54,7.50727780843903e-54,1.86781397118474e-53,4.5980699545032e-53,1.11998324397927e-52,2.69926017619128e-52,6.43692754006544e-52,1.51885611216655e-51,3.54619316417107e-51,8.1925595320473e-51,1.87280314058927e-50,4.23627288527225e-50,9.48198155566235e-50,2.10010933225731e-49,4.60274281557554e-49,9.98224104146005e-49,2.14230166970106e-48,4.54966355498286e-48,9.56156629582247e-48,1.98854351252819e-47,4.09263331419768e-47,8.33561831797589e-47,1.68014135893762e-46,3.35145056021887e-46,6.61614468932886e-46,1.2926137426939e-45,2.49937136368944e-45,4.78297321326372e-45,9.05894018119711e-45,1.69815187806579e-44,3.15067094579621e-44,5.78582001836575e-44,1.05164803989757e-43,1.89203045342122e-43,3.36935634499309e-43,5.93931185572139e-43,1.03634719067538e-42,1.79004662892294e-42,3.06072058149396e-42,5.18076671285563e-42,8.68133585550725e-42,1.44016692834853e-41,2.3652927219137e-41,3.84605278189571e-41,6.19179895446818e-41,9.8696827958786e-41,1.55771601808158e-40,2.43437040074213e-40,3.76715433958088e-40,5.77276965956891e-40,8.76022749416373e-40,1.31650884230676e-39,1.95941739290821e-39,2.88830548309878e-39,4.21687926806432e-39,6.0980457674171e-39,8.73498133344724e-39,1.23944179576458e-38,1.74222795392854e-38,2.42616938631787e-38,3.34732574775908e-38,4.57572374278289e-38,6.19771568242685e-38,8.31839359496414e-38,1.10639457882648e-37,1.45838114225051e-37,1.90524585240159e-37,2.46705847659211e-37,3.16655214639539e-37,4.02906129634692e-37,5.08233491803232e-37,6.3562051285238e-37,7.882095132113e-37,9.69235666370681e-37,1.18194348616529e-36,1.42948679760029e-36,1.71481399468004e-36,2.04054150916904e-36,2.40881951932858e-36,2.82119493569833e-36,3.27847752768083e-36,3.78061562046071e-36,4.32658802918412e-36,4.91431875793535e-36,5.54062045120673e-36,6.2011716500711e-36,6.89053160872899e-36,7.60219483255972e-36,8.32868569379403e-36,9.06169157124261e-36,9.79223106226772e-36,1.05108520459073e-35,1.12078528456994e-35,1.18735185433982e-35,1.24983637018394e-35,1.30733724106566e-35,1.35902266864447e-35,1.4041514823517e-35,1.44209122593001e-35,1.47233288231042e-35,1.49450177944846e-35,1.50836439128451e-35,1.51383092545867e-35,1.51095376320239e-35,1.49992197821528e-35,1.48105230292588e-35,1.45477702662277e-35,1.4216293966988e-35,1.38222714977802e-35,1.33725482375128e-35,1.28744549635563e-35,1.23356256391974e-35,1.17638211935733e-35,1.11667641624032e-35,1.05519882100637e-35,9.92670563272494e-36,9.29769499802984e-36,8.67121015390706e-36,8.0529109756102e-36,7.44781544620697e-36,6.860272003384e-36,6.29395054815022e-36,5.7518501045579e-36,5.23632084269677e-36,4.74909802289888e-36,4.29134537569106e-36,3.86370548465946e-36,3.4663548711726e-36,3.09906167314949e-36,2.76124404725026e-36,2.4520276885049e-36,2.17030113860741e-36,1.9147678310555e-36,1.68399408746379e-36,1.47645252652725e-36,1.29056056936348e-36,1.12471391854744e-36,9.77315051194153e-37,8.46796898668983e-37,7.3164198794112e-37,6.30397394264489e-37,5.41685904496075e-37,4.64213818109433e-37,3.96775822206778e-37,3.38257370975265e-37,2.87634982343564e-37,2.43974838107796e-37,2.06430041232597e-37,1.74236847757346e-37,1.4671015273796e-37,1.23238471546752e-37,1.03278620898333e-37,8.63502691062041e-38,7.20304929532389e-38,5.99484495848937e-38,4.9780246207423e-38,4.12440681320296e-38,3.40956067609762e-38,2.81238132823069e-38,2.31469908820676e-38,1.90092279145064e-38,1.55771663910201e-38,1.27370940542871e-38,1.0392343900857e-38,8.46098202673222e-39,6.87376284243214e-39,5.57232980912476e-39,4.50763968551437e-39,3.63858867354926e-39,2.93081966311612e-39,2.35569087957473e-39,1.88938753324763e-39,1.51215947646209e-39,1.2076693282324e-39,9.62436980626406e-40,7.65367818095698e-40,6.07353335610777e-40,4.80934115716543e-40,3.80016307664193e-40,2.99633837879002e-40,2.35749568506187e-40,1.85089510966816e-40,1.45004997855926e-40,1.13358424131931e-40,8.8428793352122e-41,6.8833853221965e-41,5.3466083688773e-41,4.14402169492601e-41,3.2050328589968e-41,2.47348488601611e-41,1.90481086150503e-41,1.4637261148114e-41,1.12236138757663e-41,8.58756709891947e-42,6.55649483960248e-42,4.99501859419133e-42,3.79722190346742e-42,2.88043467721235e-42,2.1802836410886e-42,1.64676119269564e-42,1.24111117351838e-42,9.33368141640756e-43,7.00417999551872e-43,5.24473427659217e-43,3.91878460354954e-43,2.92173531062161e-43,2.17366089755584e-43,1.61363034106519e-43,1.19530171842098e-43,8.83511446118446e-44,6.5164021751401e-44,4.795838735416e-44,3.52194191956153e-44,2.58083760984887e-44,1.88712204613613e-44,1.3768926223304e-44,1.00244578287016e-44,7.28253220710926e-45,5.27915732010396e-45,3.81862873810781e-45,2.75620100580989e-45,1.98506592118513e-45,1.4265912571353e-45,1.02302145933078e-45,7.32032690659952e-46,5.22681034331238e-46,3.72394733268625e-46,2.6474686797528e-46,1.87809966642136e-46,1.32943447323857e-46,9.39021910882613e-47,6.61827790390087e-47,4.65451839316771e-47,3.26636697418586e-47,2.28726071281606e-47,1.59818419284249e-47,1.11429056753572e-47,7.75229940945531e-48,5.38174453961002e-48,3.72800147539366e-48,2.57685229749545e-48,1.77731099830285e-48,1.22320087027342e-48,8.40025720298947e-49,5.7563585085999e-49,3.93607651068569e-49,2.68558978104063e-49,1.82842127139879e-49,1.24214787105069e-49,8.42036229311781e-50,5.69572089871863e-50,3.84438669180745e-50,2.58920163883722e-50,1.740063605926e-50,1.16687629210308e-50,7.80809251502986e-51,5.2134537633508e-51,3.47349392235757e-51,2.30923430965298e-51,1.5318981809077e-51,1.01403335390979e-51,6.69784388214454e-52,4.41446666065851e-52,2.90323307117688e-52,1.90522382450395e-52,1.24758615083024e-52,8.15183774078164e-53,5.31497159822006e-53,3.45785525237236e-53,2.24477651864682e-53,1.45411867441885e-53,9.39911650205496e-54,6.06226132180425e-54,3.9015997388501e-54,2.50559695969408e-54,1.60561032742697e-54,1.0266668326769e-54,6.55057390287284e-55,4.17051424448411e-55,2.64947793238592e-55,1.6795442245098e-55,1.06238766735225e-55,6.70555975204844e-56,4.22325682384576e-56,2.65411897922646e-56,1.66438472795879e-56,1.04147175472275e-56,6.50281965246297e-57,4.05150484316934e-57,2.51878706666905e-57,1.56252504180342e-57,9.6721485345313e-58,5.97419463867027e-58,3.6821054135425e-58,2.26450616202883e-58,1.38966857046845e-58,8.50960503763949e-59,5.19957695988112e-59,3.17020288863107e-59,1.92870827332074e-59,1.17086404228878e-59,7.09262230723108e-60,4.28713972163004e-60,2.58576397937027e-60,1.55621846534092e-60,9.34571830073226e-61,5.60035101039955e-61,3.34871547297373e-61,1.99802854767713e-61,1.18955785391789e-61,7.06691532503022e-62,4.18923425428264e-62,2.47799167870374e-62,1.46259970215722e-62,8.61413268506956e-63,5.06241882784971e-63,2.96869121785187e-63,1.7371304061463e-63,1.01428559077298e-63,5.90946995413318e-64,3.43555765566381e-64,1.99299584383529e-64,1.15365508353362e-64,6.66355542759423e-65,3.84057706696917e-65,2.20875422582026e-65,1.26753144417065e-65,7.25822671706627e-66,4.14727426460575e-66,2.3645876840434e-66,1.34526712435633e-66,7.6369874017287e-67,4.32609506418233e-67,2.44529062303477e-67,1.37919395706529e-67,7.76212528327674e-68,4.35909556232691e-68,2.44271371661881e-68,1.36586945070125e-68,7.62089979875441e-69,4.24290932564887e-69,2.3571199800605e-69,1.30665238956625e-69,7.22767946668043e-70,3.98931326191976e-70,2.19714053581163e-70,1.2074745109044e-70,6.62153297788848e-71,3.62326050658817e-71,1.97834037067696e-71,1.07786136673302e-71,5.85983298235425e-72,3.17883516844261e-72,1.72072401405037e-72,9.29426111684606e-73,5.00932211181932e-73,2.69403657399111e-73,1.44573420182907e-73,7.74165587442196e-74,4.13656362925107e-74,2.20549458089928e-74,1.17336389403282e-74,6.22902228849685e-75,3.2996470587875e-75,1.74411666603948e-75,9.19907192799092e-76,4.84142196916865e-76,2.54250782285451e-76,1.33233089415503e-76,6.96662346752356e-77,3.6349046051789e-77,1.89244879019297e-77,9.83140742717408e-78,5.09644910479527e-78,2.63621075897592e-78,1.3606706094692e-78,7.00787455987274e-79,3.60147226023877e-79,1.84686124484422e-79,9.45037193702793e-80,4.82529615960608e-80,2.45843927795776e-80,1.2498429282018e-80,6.34032949442369e-81,3.20943554276159e-81,1.62108552240064e-81,8.1704059630058e-82,4.10905338673424e-82,2.06205560014017e-82,1.03256974994107e-82,5.15939601451048e-83,2.57240158906702e-83,1.27979118315299e-83,6.35330782452604e-84,3.14717665591374e-84,1.55561737027048e-84,7.67264113642694e-85,3.77613426076439e-85,1.85442984415205e-85,9.08727828678894e-86,4.44342329331797e-86,2.16801351933309e-86,1.05552062547881e-86,5.12780972255872e-87,2.48575040111916e-87,1.20238506786088e-87,5.80350107990512e-88,2.7950977737787e-88,1.34327328735883e-88,6.44157683986371e-89,3.08233930615016e-89,1.47173336785712e-89,7.01194123785234e-90,3.33355664068997e-90,1.58138585087763e-90,7.48562898542475e-91,3.53573076050416e-91,1.66644319780863e-91,7.83722440773224e-92,3.67785403444042e-92,1.72221407875289e-92,8.04711523710739e-93,3.75192151838035e-93,1.74553157601359e-93,8.10330364286708e-94,3.7536774868909e-94,1.73505097120638e-94,8.00254194525071e-95,3.68302036230603e-95,1.69137816626496e-95,7.75064346493521e-96,3.54401244506949e-96,1.61701167805547e-96,7.36192712077e-97,3.34449314876131e-97,1.51610593117274e-97,6.85786958920328e-98,3.09534696355882e-98,1.39408704418722e-98,6.2651415073079e-99,2.80952122514207e-99,1.25717052310497e-99,5.61327734934733E-100,2.50091684546808E-100,1.11184037801892E-100,4.93226124331663E-101,2.18328353851611E-101,9.64349919255893E-102,4.2503001066468E-102,1.86923964200734E-102,8.20296406335765E-103,3.59200617376813E-103,1.56950888749458E-103,6.8430690686298E-104,2.97713485273691E-104,1.29242851042596E-104,5.59854266223043E-105,2.41993607325733E-105,1.04374217928701E-105,4.49203379093326E-106,1.92909330621638E-106,8.26654231053935E-107,3.53471978774108E-107,1.50815691135199E-107,6.420938430285E-108,2.72778992965127E-108,1.15633528274345E-108,4.89121859173294E-109,2.06448060105846E-109,8.69490777551605E-110,3.65409297021596E-110,1.53233825888656E-110,6.41195014020166E-111,2.67723237082515E-111,1.11543030012399E-111,4.63723651831364E-112,1.92369624025226E-112,7.96295358750188E-113,3.28906390722733E-113,1.35559787355098E-113,5.57506435747051E-114,2.28785939629166E-114,9.36848176196391E-115,3.82797894110488E-115,1.56073907469655E-115,6.34967513733489E-116,2.57770461280307E-116,1.04417966277867E-116,4.22063456469576E-117,1.70231807920233E-117,6.85116001757166E-118,2.75136336392385E-118,1.10253460224794E-118,4.40856192996894E-119,1.75898486628034E-119,7.003057613168E-120,2.78210639721562E-120,1.10285955408647E-120,4.36241646811405E-121,1.72184668092065E-121,6.78144542070419E-122,2.66508155208573E-122,1.04510319330215E-122,4.0894818563284E-123,1.59675335018809E-123,6.22110921510989E-124,2.41856773411983E-124,9.38229584317754E-125,3.63178750979716E-125,1.40278843803214E-125,5.406601543512E-126,2.07929921565056E-126,7.97939666272551E-127,3.05550894267808E-127,1.16750164947805E-127,4.45135146157515E-128,1.69350587741914E-128,6.42897844905764E-129,2.43532917159439E-129,9.20521234832288E-130,3.47192544818446E-130,1.30667448292579E-130,4.90709954999828E-131,1.83883502070134E-131,6.87576624207888E-132,2.56542829149811E-132,9.55122543195106E-133,3.54828708649332E-133,1.315342476702E-133,4.86540927731176E-134,1.79580986118146E-134,6.61396305266857E-135,2.43065665424171E-135,8.91345153536274E-136,3.2615845255219E-136,1.19089043687828E-136,4.33885780002998E-137,1.57739138834209E-137,5.72221212639047E-138,2.07132802203636E-138,7.4815958999862E-139,2.69649769297406E-139,9.6976453659637E-140,3.48011009213342E-140,1.24617807726045E-140,4.45274341645532E-141,1.58758019646303E-141,5.64812259736906E-142,2.00508596125672E-142,7.10268111747439E-143,2.5105685094553E-143,8.85487177228896E-144,3.11639798848009E-144,1.0944199308724E-144,3.83508956623589E-145,1.34099595554218E-145,4.67885799408324E-146,1.62896855147716E-146,5.65908184557994E-147,1.96173205913227E-147,6.78568731311882E-148,2.34211619202753E-148,8.0664690011227E-149,2.77216413943704E-149,9.50637304432094E-150,3.25290367785265E-150,1.11067755051523E-150,3.78412281850424E-151,1.28647956685204E-151,4.36416338542829E-152,1.47726888099448E-152,4.98974712922646E-153,1.68173655389928E-153,5.65584931831714E-154,1.89800842844359E-154,6.35563403809229E-155,2.12363594389518E-155,7.08046356304726E-156,2.35561199187182E-156,7.81999113133097E-157,2.59041415260551E-157,8.56234233329706E-158,2.82407619835994E-158,9.29438532349451E-159,</v>
      </c>
      <c r="O24" s="31" t="s">
        <v>153</v>
      </c>
    </row>
    <row r="25" spans="1:15">
      <c r="A25" s="16" t="s">
        <v>168</v>
      </c>
      <c r="B25" s="14">
        <f>EXP(MuFromParams(ABS(B24),C24))</f>
        <v>5.5901297995811897E+37</v>
      </c>
      <c r="C25" s="14">
        <f>(SigmaFromParams(B24,C24) / LN(10))^2</f>
        <v>4.3391138804619098</v>
      </c>
      <c r="H25" s="3" t="s">
        <v>98</v>
      </c>
      <c r="I25">
        <f>$D$12</f>
        <v>778.36106764849467</v>
      </c>
      <c r="J25">
        <f>$E$12</f>
        <v>0.55699674606152716</v>
      </c>
      <c r="M25" s="3" t="s">
        <v>156</v>
      </c>
      <c r="N25" s="3">
        <f>STupidExcelMean(N24)</f>
        <v>5.5336458492179961E+42</v>
      </c>
      <c r="O25" s="3">
        <f>STupidExcelVariance(N24,N25)</f>
        <v>3.0005554714623591E+95</v>
      </c>
    </row>
    <row r="26" spans="1:15">
      <c r="A26" s="36" t="s">
        <v>80</v>
      </c>
      <c r="B26" s="19">
        <f>ParetoPosterior(median,alpha,B25:C25)*SIGN(B24)</f>
        <v>5.7048332425094946E+27</v>
      </c>
      <c r="H26" s="15" t="s">
        <v>52</v>
      </c>
      <c r="I26" s="14">
        <f>PRODUCT(I22:I25)</f>
        <v>8.9111974825028946E+27</v>
      </c>
      <c r="J26" s="14">
        <f>SUM(J22:J25)</f>
        <v>4.1858128802416097</v>
      </c>
      <c r="M26" s="3"/>
      <c r="N26" s="3"/>
      <c r="O26" s="3"/>
    </row>
    <row r="27" spans="1:15">
      <c r="A27" s="36" t="s">
        <v>87</v>
      </c>
      <c r="B27" s="19">
        <f>LognormPosterior(mu_far_future,sigma_far_future,B25:C25)*SIGN(B24)</f>
        <v>617091.49237012002</v>
      </c>
      <c r="H27" s="3"/>
      <c r="I27" s="3"/>
      <c r="M27" s="3"/>
      <c r="N27" s="3"/>
      <c r="O27" s="3"/>
    </row>
    <row r="28" spans="1:15">
      <c r="H28" s="3"/>
      <c r="I28" s="21"/>
      <c r="M28" s="3"/>
      <c r="N28" s="3"/>
      <c r="O28" s="3"/>
    </row>
    <row r="29" spans="1:15">
      <c r="A29" s="8"/>
      <c r="B29" s="3"/>
      <c r="C29" s="3"/>
      <c r="D29" s="3"/>
      <c r="H29" s="1" t="s">
        <v>84</v>
      </c>
      <c r="M29" s="3"/>
      <c r="N29" s="3"/>
      <c r="O29" s="3"/>
    </row>
    <row r="30" spans="1:15">
      <c r="A30" s="33" t="s">
        <v>85</v>
      </c>
      <c r="B30" s="4">
        <f>B26+I6</f>
        <v>5.7048332425094946E+27</v>
      </c>
      <c r="C30" s="3"/>
      <c r="D30" s="3"/>
      <c r="I30" s="7" t="s">
        <v>161</v>
      </c>
      <c r="J30" s="7" t="s">
        <v>163</v>
      </c>
      <c r="M30" s="3"/>
      <c r="N30" s="21"/>
      <c r="O30" s="3"/>
    </row>
    <row r="31" spans="1:15">
      <c r="A31" s="33" t="s">
        <v>86</v>
      </c>
      <c r="B31" s="4">
        <f>B27+I7</f>
        <v>617286.32370819233</v>
      </c>
      <c r="D31" s="3"/>
      <c r="H31" s="3" t="s">
        <v>136</v>
      </c>
      <c r="I31" s="25">
        <f>VLOOKUP(H31,$A$14:$E$17,4,FALSE)</f>
        <v>2.2360679774997897E-2</v>
      </c>
      <c r="J31" s="25">
        <f>VLOOKUP(H31,$A$14:$E$17,5,FALSE)</f>
        <v>0.50759954989056688</v>
      </c>
      <c r="M31" s="13"/>
      <c r="N31" s="3"/>
      <c r="O31" s="3"/>
    </row>
    <row r="32" spans="1:15">
      <c r="H32" s="3" t="s">
        <v>185</v>
      </c>
      <c r="I32">
        <f>VLOOKUP($H32,'EV of Far Future'!$K$3:$N$14,2,FALSE)</f>
        <v>1.6190861620062103E+40</v>
      </c>
      <c r="J32">
        <f>VLOOKUP($H32,'EV of Far Future'!$K$3:$N$14,3,FALSE)</f>
        <v>3.5113686573257055</v>
      </c>
      <c r="M32" s="3"/>
      <c r="N32" s="29"/>
      <c r="O32" s="29"/>
    </row>
    <row r="33" spans="2:15">
      <c r="B33" s="3"/>
      <c r="H33" s="3" t="s">
        <v>66</v>
      </c>
      <c r="I33">
        <f>1/factory_farmed_animals</f>
        <v>5.0000000000000002E-11</v>
      </c>
      <c r="J33">
        <v>0</v>
      </c>
      <c r="M33" s="3"/>
      <c r="N33" s="25"/>
      <c r="O33" s="3"/>
    </row>
    <row r="34" spans="2:15">
      <c r="B34" s="3"/>
      <c r="H34" s="3" t="s">
        <v>98</v>
      </c>
      <c r="I34">
        <f>$D$12</f>
        <v>778.36106764849467</v>
      </c>
      <c r="J34">
        <f>$E$12</f>
        <v>0.55699674606152716</v>
      </c>
      <c r="M34" s="3"/>
      <c r="N34" s="3"/>
      <c r="O34" s="3"/>
    </row>
    <row r="35" spans="2:15">
      <c r="H35" s="15" t="s">
        <v>52</v>
      </c>
      <c r="I35" s="14">
        <f>PRODUCT(I31:I34)</f>
        <v>1.4089840362133801E+31</v>
      </c>
      <c r="J35" s="14">
        <f>SUM(J31:J34)</f>
        <v>4.5759649532777997</v>
      </c>
      <c r="M35" s="3"/>
      <c r="N35" s="3"/>
      <c r="O35" s="3"/>
    </row>
    <row r="36" spans="2:15">
      <c r="H36" s="3"/>
      <c r="I36" s="3"/>
      <c r="M36" s="3"/>
      <c r="N36" s="3"/>
      <c r="O36" s="3"/>
    </row>
    <row r="37" spans="2:15">
      <c r="H37" s="3"/>
      <c r="I37" s="21"/>
      <c r="M37" s="3"/>
      <c r="N37" s="3"/>
      <c r="O37" s="3"/>
    </row>
    <row r="38" spans="2:15">
      <c r="M38" s="3"/>
      <c r="N38" s="3"/>
      <c r="O38" s="3"/>
    </row>
    <row r="39" spans="2:15">
      <c r="M39" s="3"/>
      <c r="N39" s="3"/>
      <c r="O39" s="3"/>
    </row>
    <row r="40" spans="2:15">
      <c r="M40" s="3"/>
      <c r="N40" s="3"/>
      <c r="O40" s="3"/>
    </row>
    <row r="41" spans="2:15">
      <c r="M41" s="3"/>
      <c r="N41" s="3"/>
      <c r="O41" s="3"/>
    </row>
    <row r="42" spans="2:15">
      <c r="M42" s="3"/>
      <c r="N42" s="3"/>
      <c r="O42" s="3"/>
    </row>
    <row r="43" spans="2:15">
      <c r="M43" s="3"/>
      <c r="N43" s="3"/>
      <c r="O43" s="3"/>
    </row>
    <row r="44" spans="2:15">
      <c r="M44" s="3"/>
      <c r="N44" s="3"/>
      <c r="O44" s="3"/>
    </row>
    <row r="45" spans="2: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J9"/>
  <sheetViews>
    <sheetView workbookViewId="0">
      <selection activeCell="I8" sqref="I8"/>
    </sheetView>
  </sheetViews>
  <sheetFormatPr baseColWidth="10" defaultRowHeight="15" x14ac:dyDescent="0"/>
  <cols>
    <col min="1" max="1" width="21.6640625" style="130" customWidth="1"/>
    <col min="4" max="4" width="12.1640625" bestFit="1" customWidth="1"/>
    <col min="8" max="8" width="21.6640625" customWidth="1"/>
  </cols>
  <sheetData>
    <row r="1" spans="1:10" ht="20">
      <c r="A1" s="128" t="s">
        <v>124</v>
      </c>
      <c r="H1" s="1" t="s">
        <v>63</v>
      </c>
    </row>
    <row r="2" spans="1:10">
      <c r="B2" s="129" t="s">
        <v>0</v>
      </c>
      <c r="C2" s="129" t="s">
        <v>1</v>
      </c>
      <c r="D2" s="129" t="s">
        <v>161</v>
      </c>
      <c r="E2" s="129" t="s">
        <v>163</v>
      </c>
      <c r="F2" s="129" t="s">
        <v>27</v>
      </c>
      <c r="I2" s="129" t="s">
        <v>161</v>
      </c>
      <c r="J2" s="129" t="s">
        <v>163</v>
      </c>
    </row>
    <row r="3" spans="1:10">
      <c r="A3" s="42" t="s">
        <v>245</v>
      </c>
      <c r="B3" s="136">
        <v>2</v>
      </c>
      <c r="C3" s="136">
        <v>3</v>
      </c>
      <c r="D3" s="103"/>
      <c r="E3" s="103"/>
      <c r="F3" s="103" t="s">
        <v>323</v>
      </c>
      <c r="H3" s="127" t="s">
        <v>244</v>
      </c>
      <c r="I3">
        <f>D9</f>
        <v>295803.98915498087</v>
      </c>
      <c r="J3">
        <f>E9</f>
        <v>0.31528753718843733</v>
      </c>
    </row>
    <row r="4" spans="1:10">
      <c r="A4" s="87" t="s">
        <v>243</v>
      </c>
      <c r="B4" s="131">
        <f>1/C3</f>
        <v>0.33333333333333331</v>
      </c>
      <c r="C4" s="131">
        <f>1/B3</f>
        <v>0.5</v>
      </c>
      <c r="D4" s="103">
        <f>GEOMEAN(B4,C4)</f>
        <v>0.40824829046386302</v>
      </c>
      <c r="E4" s="103">
        <f>LogVariance(B4,C4)</f>
        <v>6.8702369764126706E-2</v>
      </c>
      <c r="F4" s="103"/>
      <c r="H4" s="127" t="s">
        <v>119</v>
      </c>
      <c r="I4">
        <f>Globals!K24</f>
        <v>0.3</v>
      </c>
      <c r="J4">
        <f>Globals!L24</f>
        <v>0</v>
      </c>
    </row>
    <row r="5" spans="1:10" ht="45">
      <c r="A5" s="46" t="s">
        <v>324</v>
      </c>
      <c r="B5" s="132">
        <v>5</v>
      </c>
      <c r="C5" s="132">
        <v>10</v>
      </c>
      <c r="D5" s="103">
        <f t="shared" ref="D5:D6" si="0">GEOMEAN(B5,C5)</f>
        <v>7.0710678118654755</v>
      </c>
      <c r="E5" s="103">
        <f t="shared" ref="E5:E6" si="1">LogVariance(B5,C5)</f>
        <v>0.11744747685437738</v>
      </c>
      <c r="F5" s="103" t="s">
        <v>241</v>
      </c>
      <c r="H5" s="134" t="s">
        <v>52</v>
      </c>
      <c r="I5" s="14">
        <f>I3*I4</f>
        <v>88741.196746494257</v>
      </c>
      <c r="J5" s="14">
        <f>J3+J4</f>
        <v>0.31528753718843733</v>
      </c>
    </row>
    <row r="6" spans="1:10" ht="30">
      <c r="A6" s="46" t="s">
        <v>325</v>
      </c>
      <c r="B6" s="137">
        <v>100</v>
      </c>
      <c r="C6" s="137">
        <v>150</v>
      </c>
      <c r="D6" s="103">
        <f t="shared" si="0"/>
        <v>122.47448713915891</v>
      </c>
      <c r="E6" s="103">
        <f t="shared" si="1"/>
        <v>6.8702369764126706E-2</v>
      </c>
      <c r="F6" s="103"/>
      <c r="H6" s="135" t="s">
        <v>80</v>
      </c>
      <c r="I6" s="19">
        <f>ParetoPosterior(median,alpha,I5:J5)</f>
        <v>16679.269175199799</v>
      </c>
    </row>
    <row r="7" spans="1:10" ht="45">
      <c r="A7" s="46" t="s">
        <v>326</v>
      </c>
      <c r="B7" s="132">
        <v>0.7</v>
      </c>
      <c r="C7" s="132">
        <v>1</v>
      </c>
      <c r="D7" s="103">
        <f t="shared" ref="D7" si="2">GEOMEAN(B7,C7)</f>
        <v>0.83666002653407556</v>
      </c>
      <c r="E7" s="103">
        <f t="shared" ref="E7" si="3">LogVariance(B7,C7)</f>
        <v>6.0435320805806568E-2</v>
      </c>
      <c r="F7" s="103"/>
      <c r="H7" s="135" t="s">
        <v>87</v>
      </c>
      <c r="I7" s="19">
        <f>LognormPosterior(mu_factory_farming,sigma_factory_farming,I5:J5)</f>
        <v>2531.88913733256</v>
      </c>
    </row>
    <row r="8" spans="1:10">
      <c r="A8" s="90" t="s">
        <v>242</v>
      </c>
      <c r="B8" s="133"/>
      <c r="C8" s="133"/>
      <c r="D8" s="103">
        <f>PRODUCT(D4:D7)</f>
        <v>295.80398915498085</v>
      </c>
      <c r="E8" s="103">
        <f>SUM(E4:E7)</f>
        <v>0.31528753718843733</v>
      </c>
      <c r="F8" s="103"/>
    </row>
    <row r="9" spans="1:10" ht="30">
      <c r="A9" s="130" t="s">
        <v>244</v>
      </c>
      <c r="D9" s="103">
        <f>D8*1000</f>
        <v>295803.98915498087</v>
      </c>
      <c r="E9" s="103">
        <f>E8</f>
        <v>0.31528753718843733</v>
      </c>
      <c r="F9"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H8" sqref="H8"/>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110</v>
      </c>
      <c r="B1" t="s">
        <v>125</v>
      </c>
      <c r="G1" s="99" t="s">
        <v>107</v>
      </c>
      <c r="H1" t="s">
        <v>125</v>
      </c>
      <c r="I1" t="s">
        <v>343</v>
      </c>
      <c r="M1" s="1"/>
    </row>
    <row r="2" spans="1:15">
      <c r="A2" s="57"/>
      <c r="B2" s="44" t="s">
        <v>0</v>
      </c>
      <c r="C2" s="44" t="s">
        <v>1</v>
      </c>
      <c r="D2" s="44" t="s">
        <v>161</v>
      </c>
      <c r="E2" s="44" t="s">
        <v>163</v>
      </c>
      <c r="H2" s="44" t="s">
        <v>0</v>
      </c>
      <c r="I2" s="44" t="s">
        <v>1</v>
      </c>
      <c r="J2" s="44" t="s">
        <v>161</v>
      </c>
      <c r="K2" s="44" t="s">
        <v>163</v>
      </c>
    </row>
    <row r="3" spans="1:15">
      <c r="A3" s="91" t="s">
        <v>104</v>
      </c>
      <c r="B3" s="92">
        <v>70000</v>
      </c>
      <c r="C3" s="92">
        <v>150000</v>
      </c>
      <c r="D3" s="44"/>
      <c r="E3" s="44"/>
      <c r="F3" t="s">
        <v>216</v>
      </c>
      <c r="G3" s="42" t="s">
        <v>100</v>
      </c>
      <c r="H3" s="43">
        <v>0.03</v>
      </c>
      <c r="I3" s="43">
        <v>0.3</v>
      </c>
      <c r="J3" s="44">
        <f>GEOMEAN(H3,I3)</f>
        <v>9.4868329805051374E-2</v>
      </c>
      <c r="K3" s="44">
        <f>LogVariance(H3,I3)</f>
        <v>0.39015207303618948</v>
      </c>
      <c r="L3" s="103" t="s">
        <v>202</v>
      </c>
    </row>
    <row r="4" spans="1:15" ht="30">
      <c r="A4" s="57" t="s">
        <v>105</v>
      </c>
      <c r="B4" s="44">
        <f>1/C3</f>
        <v>6.6666666666666666E-6</v>
      </c>
      <c r="C4" s="44">
        <f>1/B3</f>
        <v>1.4285714285714285E-5</v>
      </c>
      <c r="D4" s="44">
        <f>GEOMEAN(B4,C4)</f>
        <v>9.7590007294853309E-6</v>
      </c>
      <c r="E4" s="44">
        <f>LogVariance(B4,C4)</f>
        <v>0.12913769056993327</v>
      </c>
      <c r="G4" s="46" t="s">
        <v>103</v>
      </c>
      <c r="H4" s="47">
        <v>200</v>
      </c>
      <c r="I4" s="47">
        <v>10000</v>
      </c>
      <c r="J4" s="44"/>
      <c r="K4" s="44"/>
      <c r="L4" s="103" t="s">
        <v>208</v>
      </c>
    </row>
    <row r="5" spans="1:15" ht="30">
      <c r="G5" s="87" t="s">
        <v>132</v>
      </c>
      <c r="H5" s="86">
        <f>1/I4</f>
        <v>1E-4</v>
      </c>
      <c r="I5" s="86">
        <f>1/H4</f>
        <v>5.0000000000000001E-3</v>
      </c>
      <c r="J5" s="44">
        <f>GEOMEAN(H5,I5)</f>
        <v>7.0710678118654762E-4</v>
      </c>
      <c r="K5" s="44">
        <f>LogVariance(H5,I5)</f>
        <v>0.66285666921800146</v>
      </c>
      <c r="L5" s="103"/>
    </row>
    <row r="6" spans="1:15" ht="30">
      <c r="G6" s="46" t="s">
        <v>101</v>
      </c>
      <c r="H6" s="47">
        <v>1</v>
      </c>
      <c r="I6" s="47">
        <v>3</v>
      </c>
      <c r="J6" s="44">
        <f>GEOMEAN(H6,I6)</f>
        <v>1.7320508075688774</v>
      </c>
      <c r="K6" s="44">
        <f>LogVariance(H6,I6)</f>
        <v>0.18614984661850412</v>
      </c>
      <c r="L6" s="103" t="s">
        <v>327</v>
      </c>
    </row>
    <row r="7" spans="1:15" ht="45">
      <c r="G7" s="46" t="s">
        <v>328</v>
      </c>
      <c r="H7" s="47">
        <v>0.1</v>
      </c>
      <c r="I7" s="47">
        <v>0.7</v>
      </c>
      <c r="J7" s="44">
        <f>GEOMEAN(H7,I7)</f>
        <v>0.26457513110645903</v>
      </c>
      <c r="K7" s="44">
        <f>LogVariance(H7,I7)</f>
        <v>0.32971675223038288</v>
      </c>
      <c r="L7" s="103"/>
      <c r="M7" s="25"/>
      <c r="N7" s="3"/>
      <c r="O7" s="3"/>
    </row>
    <row r="8" spans="1:15">
      <c r="G8" s="63" t="s">
        <v>111</v>
      </c>
      <c r="H8" s="88"/>
      <c r="I8" s="88"/>
      <c r="J8" s="44">
        <f>J3*J5*J6*J7*D4*1000</f>
        <v>2.9999999999999999E-7</v>
      </c>
      <c r="K8" s="44">
        <f>K3+K5+K6+K7+E4</f>
        <v>1.6980130316730113</v>
      </c>
      <c r="L8" s="103"/>
      <c r="M8" s="3"/>
      <c r="N8" s="3"/>
      <c r="O8" s="3"/>
    </row>
    <row r="9" spans="1:15" ht="20">
      <c r="A9" s="32" t="s">
        <v>59</v>
      </c>
      <c r="G9" s="57"/>
      <c r="H9" s="44"/>
      <c r="I9" s="44"/>
      <c r="J9" s="44"/>
      <c r="K9" s="44"/>
      <c r="L9" s="103"/>
      <c r="M9" s="3"/>
      <c r="N9" s="3" t="s">
        <v>146</v>
      </c>
      <c r="O9" s="3"/>
    </row>
    <row r="10" spans="1:15">
      <c r="A10" s="10" t="s">
        <v>118</v>
      </c>
      <c r="G10" s="57"/>
      <c r="H10" s="44"/>
      <c r="I10" s="44"/>
      <c r="J10" s="44"/>
      <c r="K10" s="44"/>
      <c r="L10" s="103"/>
      <c r="M10" s="3"/>
      <c r="O10" s="3"/>
    </row>
    <row r="11" spans="1:15">
      <c r="A11" s="37" t="s">
        <v>174</v>
      </c>
      <c r="B11" s="38">
        <f>ParetoPosterior(median,alpha,H26:I26)</f>
        <v>6.3112967095697664E+27</v>
      </c>
      <c r="G11" s="98" t="s">
        <v>108</v>
      </c>
      <c r="H11" s="54" t="s">
        <v>125</v>
      </c>
      <c r="I11" s="44"/>
      <c r="J11" s="44"/>
      <c r="K11" s="44"/>
      <c r="L11" s="103"/>
      <c r="M11" s="3"/>
      <c r="N11" s="3"/>
      <c r="O11" s="3"/>
    </row>
    <row r="12" spans="1:15" ht="30">
      <c r="A12" s="37" t="s">
        <v>175</v>
      </c>
      <c r="B12" s="38">
        <f>LognormPosterior(mu_far_future,sigma_far_future,H26:I26)</f>
        <v>213917.63204134765</v>
      </c>
      <c r="G12" s="79"/>
      <c r="H12" s="74" t="s">
        <v>0</v>
      </c>
      <c r="I12" s="74" t="s">
        <v>1</v>
      </c>
      <c r="J12" s="44" t="s">
        <v>161</v>
      </c>
      <c r="K12" s="44" t="s">
        <v>163</v>
      </c>
      <c r="L12" s="103"/>
      <c r="M12" s="3"/>
      <c r="N12" s="26"/>
      <c r="O12" s="26"/>
    </row>
    <row r="13" spans="1:15">
      <c r="A13" s="35"/>
      <c r="B13" s="34"/>
      <c r="G13" s="42" t="s">
        <v>102</v>
      </c>
      <c r="H13" s="50">
        <v>1000000</v>
      </c>
      <c r="I13" s="50">
        <v>10000000000</v>
      </c>
      <c r="J13" s="44">
        <f>GEOMEAN(H13,I13)</f>
        <v>100000000</v>
      </c>
      <c r="K13" s="44">
        <f>LogVariance(H13,I13)</f>
        <v>1.5606082921447579</v>
      </c>
      <c r="L13" s="103" t="s">
        <v>334</v>
      </c>
      <c r="M13" s="3"/>
      <c r="N13" s="3"/>
      <c r="O13" s="3"/>
    </row>
    <row r="14" spans="1:15" ht="30">
      <c r="G14" s="46" t="s">
        <v>329</v>
      </c>
      <c r="H14" s="47">
        <v>2000</v>
      </c>
      <c r="I14" s="47">
        <v>2000</v>
      </c>
      <c r="J14" s="44">
        <f>GEOMEAN(H14,I14)</f>
        <v>2000</v>
      </c>
      <c r="K14" s="44">
        <f>LogVariance(H14,I14)</f>
        <v>0</v>
      </c>
      <c r="L14" s="103"/>
      <c r="M14" s="3"/>
      <c r="N14" s="3"/>
      <c r="O14" s="3"/>
    </row>
    <row r="15" spans="1:15">
      <c r="A15" s="22"/>
      <c r="B15" s="3"/>
      <c r="G15" s="85" t="s">
        <v>112</v>
      </c>
      <c r="H15" s="89">
        <f>1/I13</f>
        <v>1E-10</v>
      </c>
      <c r="I15" s="89">
        <f>1/H13</f>
        <v>9.9999999999999995E-7</v>
      </c>
      <c r="J15" s="44">
        <f>GEOMEAN(H15,I15)</f>
        <v>1E-8</v>
      </c>
      <c r="K15" s="44">
        <f>LogVariance(H15,I15)</f>
        <v>1.5606082921447579</v>
      </c>
      <c r="L15" s="103"/>
      <c r="M15" s="25"/>
      <c r="N15" s="3"/>
      <c r="O15" s="3"/>
    </row>
    <row r="16" spans="1:15">
      <c r="A16" s="8"/>
      <c r="B16" s="3"/>
      <c r="G16" s="90" t="s">
        <v>111</v>
      </c>
      <c r="H16" s="88"/>
      <c r="I16" s="88"/>
      <c r="J16" s="44">
        <f>J14*J15*D4*1000</f>
        <v>1.9518001458970664E-7</v>
      </c>
      <c r="K16" s="44">
        <f>K14+K15+E4</f>
        <v>1.6897459827146912</v>
      </c>
      <c r="L16" s="103"/>
      <c r="M16" s="3"/>
      <c r="O16" s="3"/>
    </row>
    <row r="17" spans="1:15">
      <c r="A17" s="8"/>
      <c r="B17" s="3"/>
      <c r="L17" s="103"/>
      <c r="M17" s="3"/>
      <c r="O17" s="3"/>
    </row>
    <row r="18" spans="1:15">
      <c r="A18" s="8"/>
      <c r="B18" s="3"/>
      <c r="L18" s="103"/>
      <c r="M18" s="3"/>
      <c r="N18" s="3"/>
      <c r="O18" s="3"/>
    </row>
    <row r="19" spans="1:15">
      <c r="A19" s="8"/>
      <c r="B19" s="3"/>
      <c r="G19" s="10" t="s">
        <v>113</v>
      </c>
      <c r="L19" s="103"/>
      <c r="M19" s="3"/>
      <c r="N19" s="3"/>
      <c r="O19" s="3"/>
    </row>
    <row r="20" spans="1:15">
      <c r="A20" s="22"/>
      <c r="B20" s="3"/>
      <c r="G20" s="5" t="s">
        <v>111</v>
      </c>
      <c r="J20">
        <f>GEOMEAN(J8,J16)</f>
        <v>2.4197934700488798E-7</v>
      </c>
      <c r="K20">
        <f>AVERAGE(K8,K16)</f>
        <v>1.6938795071938513</v>
      </c>
      <c r="L20" s="103" t="s">
        <v>335</v>
      </c>
      <c r="M20" s="3"/>
      <c r="N20" s="3"/>
      <c r="O20" s="3"/>
    </row>
    <row r="21" spans="1:15">
      <c r="A21" s="8"/>
      <c r="B21" s="3"/>
      <c r="L21" s="103"/>
    </row>
    <row r="22" spans="1:15">
      <c r="A22" s="8"/>
      <c r="B22" s="3"/>
      <c r="L22" s="103"/>
    </row>
    <row r="23" spans="1:15">
      <c r="H23" s="7" t="s">
        <v>161</v>
      </c>
      <c r="I23" s="7" t="s">
        <v>162</v>
      </c>
      <c r="L23" s="103"/>
    </row>
    <row r="24" spans="1:15">
      <c r="G24" s="5" t="s">
        <v>111</v>
      </c>
      <c r="H24">
        <f>J20</f>
        <v>2.4197934700488798E-7</v>
      </c>
      <c r="I24">
        <f>K20</f>
        <v>1.6938795071938513</v>
      </c>
      <c r="J24" s="3"/>
      <c r="K24" s="3"/>
      <c r="L24" s="151"/>
      <c r="M24" s="3"/>
    </row>
    <row r="25" spans="1:15">
      <c r="G25" s="8" t="s">
        <v>109</v>
      </c>
      <c r="H25">
        <f>'EV of Far Future'!L19</f>
        <v>4.0402885211266472E+46</v>
      </c>
      <c r="I25">
        <f>'EV of Far Future'!M19</f>
        <v>3.600201532086265</v>
      </c>
      <c r="J25" s="3"/>
      <c r="K25" s="3"/>
      <c r="L25" s="151"/>
      <c r="M25" s="3"/>
    </row>
    <row r="26" spans="1:15">
      <c r="G26" s="16" t="s">
        <v>52</v>
      </c>
      <c r="H26" s="14">
        <f>PRODUCT(H24:H25)</f>
        <v>9.7766637805357065E+39</v>
      </c>
      <c r="I26" s="14">
        <f>SUM(I24:I25)</f>
        <v>5.2940810392801163</v>
      </c>
      <c r="J26" s="3"/>
      <c r="K26" s="3"/>
      <c r="L26" s="151"/>
      <c r="M26" s="3"/>
    </row>
    <row r="27" spans="1:15">
      <c r="G27" s="8"/>
      <c r="H27" s="3"/>
      <c r="I27" s="3"/>
      <c r="J27" s="3"/>
      <c r="K27" s="3"/>
      <c r="L27" s="151"/>
      <c r="M27" s="3"/>
    </row>
    <row r="28" spans="1:15">
      <c r="G28" s="8"/>
      <c r="H28" s="3"/>
      <c r="I28" s="3"/>
      <c r="J28" s="3"/>
      <c r="K28" s="3"/>
      <c r="L28" s="151"/>
      <c r="M28" s="3"/>
    </row>
    <row r="29" spans="1:15">
      <c r="G29" s="22" t="s">
        <v>254</v>
      </c>
      <c r="H29" s="44" t="s">
        <v>0</v>
      </c>
      <c r="I29" s="44" t="s">
        <v>1</v>
      </c>
      <c r="J29" s="44" t="s">
        <v>161</v>
      </c>
      <c r="K29" s="44" t="s">
        <v>163</v>
      </c>
      <c r="L29" s="151" t="s">
        <v>215</v>
      </c>
      <c r="M29" s="3"/>
    </row>
    <row r="30" spans="1:15" ht="30">
      <c r="G30" s="91" t="s">
        <v>217</v>
      </c>
      <c r="H30" s="3">
        <v>0.1</v>
      </c>
      <c r="I30" s="3">
        <v>0.1</v>
      </c>
      <c r="J30" s="3"/>
      <c r="K30" s="3"/>
      <c r="L30" s="151" t="s">
        <v>220</v>
      </c>
      <c r="M30" s="3"/>
    </row>
    <row r="31" spans="1:15">
      <c r="G31" s="91" t="s">
        <v>218</v>
      </c>
      <c r="H31" s="3">
        <v>2040</v>
      </c>
      <c r="I31" s="3">
        <v>2100</v>
      </c>
      <c r="J31" s="3"/>
      <c r="K31" s="3"/>
      <c r="L31" s="151"/>
      <c r="M31" s="3"/>
    </row>
    <row r="32" spans="1:15">
      <c r="G32" s="91" t="s">
        <v>219</v>
      </c>
      <c r="H32" s="3">
        <f ca="1">H31-YEAR(TODAY())</f>
        <v>24</v>
      </c>
      <c r="I32" s="3">
        <f ca="1">I31-YEAR(TODAY())</f>
        <v>84</v>
      </c>
      <c r="J32" s="3"/>
      <c r="K32" s="3"/>
      <c r="L32" s="151"/>
      <c r="M32" s="3"/>
    </row>
    <row r="33" spans="7:12" ht="30">
      <c r="G33" s="8" t="s">
        <v>221</v>
      </c>
      <c r="H33">
        <f ca="1">H4/LN(1+H30)*(1-1/((1+H30)^H32))</f>
        <v>1885.3692309674122</v>
      </c>
      <c r="I33">
        <f ca="1">I4/LN(1+I30)*(1-1/((1+I30)^I32))</f>
        <v>104885.60241393384</v>
      </c>
      <c r="J33" s="44">
        <f ca="1">GEOMEAN(H33,I33)</f>
        <v>14062.293111819003</v>
      </c>
      <c r="K33" s="44">
        <f ca="1">LogVariance(H33,I33)</f>
        <v>0.68094000612010941</v>
      </c>
      <c r="L33" s="103" t="s">
        <v>222</v>
      </c>
    </row>
    <row r="34" spans="7:12" ht="45">
      <c r="G34" s="5" t="s">
        <v>223</v>
      </c>
      <c r="L34"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I17" sqref="I17"/>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124</v>
      </c>
      <c r="H1" s="1" t="s">
        <v>141</v>
      </c>
    </row>
    <row r="2" spans="1:10">
      <c r="B2" s="44" t="s">
        <v>0</v>
      </c>
      <c r="C2" s="44" t="s">
        <v>1</v>
      </c>
      <c r="D2" s="44" t="s">
        <v>161</v>
      </c>
      <c r="E2" s="44" t="s">
        <v>163</v>
      </c>
      <c r="F2" s="44" t="s">
        <v>27</v>
      </c>
      <c r="I2" t="s">
        <v>161</v>
      </c>
      <c r="J2" s="44" t="s">
        <v>163</v>
      </c>
    </row>
    <row r="3" spans="1:10">
      <c r="A3" s="94" t="s">
        <v>127</v>
      </c>
      <c r="B3" s="43">
        <v>0.1</v>
      </c>
      <c r="C3" s="43">
        <v>0.5</v>
      </c>
      <c r="D3" s="74">
        <f>GEOMEAN(B3,C3)</f>
        <v>0.22360679774997896</v>
      </c>
      <c r="E3" s="74">
        <f>LogVariance(B3,C3)</f>
        <v>0.27270459618181209</v>
      </c>
      <c r="F3" s="39"/>
      <c r="H3" t="s">
        <v>182</v>
      </c>
      <c r="I3">
        <f>VLOOKUP(H3,'EV of Far Future'!$K$3:$M$14,2,FALSE)</f>
        <v>6.3245553203367595E+46</v>
      </c>
      <c r="J3">
        <f>VLOOKUP(H3,'EV of Far Future'!$K$3:$M$14,3,FALSE)</f>
        <v>3.5113686573257055</v>
      </c>
    </row>
    <row r="4" spans="1:10" ht="30">
      <c r="A4" s="95" t="s">
        <v>131</v>
      </c>
      <c r="B4" s="47">
        <v>0.2</v>
      </c>
      <c r="C4" s="47">
        <v>0.8</v>
      </c>
      <c r="D4" s="74">
        <f>GEOMEAN(B4,C4)</f>
        <v>0.4</v>
      </c>
      <c r="E4" s="74">
        <f>LogVariance(B4,C4)</f>
        <v>0.23489495370875477</v>
      </c>
      <c r="F4" s="39"/>
      <c r="H4" t="s">
        <v>183</v>
      </c>
      <c r="I4">
        <f>VLOOKUP(H4,'EV of Far Future'!$K$3:$M$14,2,FALSE)</f>
        <v>1.2649110640673518E+46</v>
      </c>
      <c r="J4">
        <f>VLOOKUP(H4,'EV of Far Future'!$K$3:$M$14,3,FALSE)</f>
        <v>3.5113686573257055</v>
      </c>
    </row>
    <row r="5" spans="1:10" ht="30" customHeight="1">
      <c r="A5" s="101" t="s">
        <v>204</v>
      </c>
      <c r="B5" s="102">
        <v>0.1</v>
      </c>
      <c r="C5" s="102">
        <v>0.6</v>
      </c>
      <c r="D5" s="74">
        <f>GEOMEAN(B5,C5)</f>
        <v>0.2449489742783178</v>
      </c>
      <c r="E5" s="74">
        <f>LogVariance(B5,C5)</f>
        <v>0.30359732347288149</v>
      </c>
      <c r="F5" s="39"/>
      <c r="H5" t="s">
        <v>187</v>
      </c>
      <c r="I5">
        <f>VLOOKUP(H5,'EV of Far Future'!$K$3:$M$14,2,FALSE)</f>
        <v>5.4644157967709579E+33</v>
      </c>
      <c r="J5">
        <f>VLOOKUP(H5,'EV of Far Future'!$K$3:$M$14,3,FALSE)</f>
        <v>2.7310645112533267</v>
      </c>
    </row>
    <row r="6" spans="1:10" ht="45">
      <c r="A6" s="46" t="s">
        <v>205</v>
      </c>
      <c r="B6" s="47">
        <v>5000</v>
      </c>
      <c r="C6" s="47">
        <v>100000</v>
      </c>
      <c r="D6" s="44"/>
      <c r="E6" s="44"/>
      <c r="F6" s="39" t="s">
        <v>207</v>
      </c>
      <c r="H6" t="s">
        <v>184</v>
      </c>
      <c r="I6">
        <f>VLOOKUP(H6,'EV of Far Future'!$K$3:$M$14,2,FALSE)</f>
        <v>5.1200000000000003E+36</v>
      </c>
      <c r="J6">
        <f>VLOOKUP(H6,'EV of Far Future'!$K$3:$M$14,3,FALSE)</f>
        <v>3.1212165842895159</v>
      </c>
    </row>
    <row r="7" spans="1:10" ht="30">
      <c r="A7" s="87" t="s">
        <v>206</v>
      </c>
      <c r="B7" s="86">
        <f>1/C6</f>
        <v>1.0000000000000001E-5</v>
      </c>
      <c r="C7" s="86">
        <f>1/B6</f>
        <v>2.0000000000000001E-4</v>
      </c>
      <c r="D7" s="74">
        <f>GEOMEAN(B7,C7)</f>
        <v>4.4721359549995795E-5</v>
      </c>
      <c r="E7" s="74">
        <f>LogVariance(B7,C7)</f>
        <v>0.50759954989056688</v>
      </c>
      <c r="F7" s="39"/>
      <c r="H7" t="s">
        <v>185</v>
      </c>
      <c r="I7">
        <f>VLOOKUP(H7,'EV of Far Future'!$K$3:$M$14,2,FALSE)</f>
        <v>1.6190861620062103E+40</v>
      </c>
      <c r="J7">
        <f>VLOOKUP(H7,'EV of Far Future'!$K$3:$M$14,3,FALSE)</f>
        <v>3.5113686573257055</v>
      </c>
    </row>
    <row r="8" spans="1:10" ht="30">
      <c r="A8" s="46" t="s">
        <v>129</v>
      </c>
      <c r="B8" s="47">
        <v>0.5</v>
      </c>
      <c r="C8" s="47">
        <v>5</v>
      </c>
      <c r="D8" s="74">
        <f>GEOMEAN(B8,C8)</f>
        <v>1.5811388300841898</v>
      </c>
      <c r="E8" s="74">
        <f>LogVariance(B8,C8)</f>
        <v>0.39015207303618948</v>
      </c>
      <c r="F8" s="39" t="s">
        <v>330</v>
      </c>
      <c r="H8" t="s">
        <v>186</v>
      </c>
      <c r="I8">
        <f>VLOOKUP(H8,'EV of Far Future'!$K$3:$M$14,2,FALSE)</f>
        <v>3.8399999999999992E+38</v>
      </c>
      <c r="J8">
        <f>VLOOKUP(H8,'EV of Far Future'!$K$3:$M$14,3,FALSE)</f>
        <v>4.6818248764342734</v>
      </c>
    </row>
    <row r="9" spans="1:10" ht="45">
      <c r="A9" s="46" t="s">
        <v>130</v>
      </c>
      <c r="B9" s="47">
        <v>1000</v>
      </c>
      <c r="C9" s="47">
        <v>100000</v>
      </c>
      <c r="D9" s="74"/>
      <c r="E9" s="74"/>
      <c r="F9" s="39"/>
    </row>
    <row r="10" spans="1:10">
      <c r="A10" s="85" t="s">
        <v>133</v>
      </c>
      <c r="B10" s="86">
        <f>1000/C9</f>
        <v>0.01</v>
      </c>
      <c r="C10" s="86">
        <f>1000/B9</f>
        <v>1</v>
      </c>
      <c r="D10" s="74">
        <f>GEOMEAN(B10,C10)</f>
        <v>0.1</v>
      </c>
      <c r="E10" s="74">
        <f>LogVariance(B10,C10)</f>
        <v>0.78030414607237897</v>
      </c>
      <c r="F10" s="39"/>
      <c r="H10" s="15" t="s">
        <v>181</v>
      </c>
      <c r="I10" s="14">
        <f t="shared" ref="I10:I15" si="0">D13*I3</f>
        <v>1.4142135623730952E+45</v>
      </c>
      <c r="J10" s="14">
        <f t="shared" ref="J10:J15" si="1">E13+J3</f>
        <v>3.7840732535075174</v>
      </c>
    </row>
    <row r="11" spans="1:10" ht="45">
      <c r="A11" s="85" t="s">
        <v>134</v>
      </c>
      <c r="B11" s="86"/>
      <c r="C11" s="86"/>
      <c r="D11" s="74">
        <f>PRODUCT(D3:D8)*D10</f>
        <v>1.5491933384829672E-7</v>
      </c>
      <c r="E11" s="74">
        <f>SUM(E3:E8)+E10</f>
        <v>2.489252642362584</v>
      </c>
      <c r="F11" s="39"/>
      <c r="H11" s="15" t="s">
        <v>137</v>
      </c>
      <c r="I11" s="14">
        <f t="shared" si="0"/>
        <v>4.0000000000000004E+44</v>
      </c>
      <c r="J11" s="14">
        <f t="shared" si="1"/>
        <v>3.9015207303618951</v>
      </c>
    </row>
    <row r="12" spans="1:10">
      <c r="A12" s="85"/>
      <c r="B12" s="86"/>
      <c r="C12" s="86"/>
      <c r="D12" s="74"/>
      <c r="E12" s="74"/>
      <c r="F12" s="39"/>
      <c r="H12" s="15" t="s">
        <v>192</v>
      </c>
      <c r="I12" s="14">
        <f t="shared" si="0"/>
        <v>5.4644157967709579E+33</v>
      </c>
      <c r="J12" s="14">
        <f t="shared" si="1"/>
        <v>2.7310645112533267</v>
      </c>
    </row>
    <row r="13" spans="1:10" ht="60">
      <c r="A13" s="46" t="s">
        <v>331</v>
      </c>
      <c r="B13" s="47">
        <v>0.01</v>
      </c>
      <c r="C13" s="47">
        <v>0.05</v>
      </c>
      <c r="D13" s="74">
        <f t="shared" ref="D13:D18" si="2">GEOMEAN(B13,C13)</f>
        <v>2.2360679774997897E-2</v>
      </c>
      <c r="E13" s="74">
        <f t="shared" ref="E13:E18" si="3">LogVariance(B13,C13)</f>
        <v>0.27270459618181209</v>
      </c>
      <c r="F13" s="39"/>
      <c r="H13" s="15" t="s">
        <v>138</v>
      </c>
      <c r="I13" s="14">
        <f t="shared" si="0"/>
        <v>1.0240000000000001E+36</v>
      </c>
      <c r="J13" s="14">
        <f t="shared" si="1"/>
        <v>3.3561115379982707</v>
      </c>
    </row>
    <row r="14" spans="1:10" ht="30">
      <c r="A14" s="46" t="s">
        <v>332</v>
      </c>
      <c r="B14" s="47">
        <v>0.01</v>
      </c>
      <c r="C14" s="47">
        <v>0.1</v>
      </c>
      <c r="D14" s="74">
        <f t="shared" si="2"/>
        <v>3.1622776601683791E-2</v>
      </c>
      <c r="E14" s="74">
        <f t="shared" si="3"/>
        <v>0.39015207303618948</v>
      </c>
      <c r="F14" s="39"/>
      <c r="H14" s="15" t="s">
        <v>139</v>
      </c>
      <c r="I14" s="14">
        <f t="shared" si="0"/>
        <v>1.6190861620062104E+39</v>
      </c>
      <c r="J14" s="14">
        <f t="shared" si="1"/>
        <v>3.7462636110344603</v>
      </c>
    </row>
    <row r="15" spans="1:10" ht="30">
      <c r="A15" s="46" t="s">
        <v>333</v>
      </c>
      <c r="B15" s="47">
        <v>1</v>
      </c>
      <c r="C15" s="47">
        <v>1</v>
      </c>
      <c r="D15" s="74">
        <f t="shared" si="2"/>
        <v>1</v>
      </c>
      <c r="E15" s="74">
        <f t="shared" si="3"/>
        <v>0</v>
      </c>
      <c r="F15" s="39"/>
      <c r="H15" s="15" t="s">
        <v>140</v>
      </c>
      <c r="I15" s="14">
        <f t="shared" si="0"/>
        <v>3.8399999999999994E+37</v>
      </c>
      <c r="J15" s="14">
        <f t="shared" si="1"/>
        <v>4.9167198301430277</v>
      </c>
    </row>
    <row r="16" spans="1:10" ht="30">
      <c r="A16" s="46" t="s">
        <v>135</v>
      </c>
      <c r="B16" s="47">
        <v>0.1</v>
      </c>
      <c r="C16" s="47">
        <v>0.4</v>
      </c>
      <c r="D16" s="74">
        <f t="shared" si="2"/>
        <v>0.2</v>
      </c>
      <c r="E16" s="74">
        <f t="shared" si="3"/>
        <v>0.23489495370875477</v>
      </c>
      <c r="F16" s="39"/>
      <c r="H16" s="30" t="s">
        <v>172</v>
      </c>
      <c r="I16" s="31" t="str">
        <f>WriteArray(SumLognormDists(I10:J15))</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1.53160350210786E-322,1.29692232033327E-320,1.04147061880751E-318,8.2248096194484E-317,6.39560088807195E-315,4.89681688338299E-313,3.69167544482427E-311,2.74037795376272E-309,2.00297203320699E-307,1.44150761464095E-305,1.02149630341434E-303,7.1274574044927E-302,4.89678014487503E-300,3.31256872372814E-298,2.20646823368002E-296,1.44713526921114E-294,9.34543284385646E-293,5.94249379461013E-291,3.7206366225412E-289,2.29374514494957E-287,1.39236352687803E-285,8.32223299432522E-284,4.89786765599086E-282,2.83827423247554E-280,1.61950385773091E-278,9.09892606619879E-277,5.03360343284902E-275,2.74188203719477E-273,1.47061720483741E-271,7.76661587121799E-270,4.03873649779535E-268,2.06795424975965E-266,1.04260128145739E-264,5.17580268319299E-263,2.52999409796062E-261,1.21770995642144E-259,5.77099865458483E-258,2.69302926706761E-256,1.23741215197895E-254,5.598492553299E-253,2.49408632717101E-251,1.09404637796578E-249,4.72545994958694E-248,2.0097256450175E-246,8.4161608835089E-245,3.47037244167998E-243,1.40903955111233E-241,5.63320508947017E-240,2.21755023593849E-238,8.59561869632721E-237,3.28070239791038E-235,1.23294243728087E-233,4.56252535517637E-232,1.66247285476011E-230,5.96473119039383E-229,2.1072423910339E-227,7.33036639432375E-226,2.51087278664182E-224,8.46860443640626E-223,2.81246658560812E-221,9.19711377215554E-220,2.96145195799588E-218,9.38959919704749E-217,2.9314259977856E-215,9.01157341812783E-214,2.72779933932888E-212,8.13045063633613E-211,2.38620372827526E-209,6.89590759597582E-208,1.96230570878184E-206,5.49836460418629E-205,1.51702365972075E-203,4.121387463255E-202,1.10252167211242E-200,2.90418148165914E-199,7.5327513101884E-198,1.92387613134567E-196,4.83831929088969E-195,1.19813631531246E-193,2.9215449886633E-192,7.01477783297217E-191,1.658481457458E-189,3.86102880962569E-188,8.85098403356996E-187,1.99791285583846E-185,4.4407709712599E-184,9.71935500942217E-183,2.09466291201059E-181,4.44517502516866E-180,9.28885140660963E-179,1.9113226277673E-177,3.87262315119096E-176,7.72638142637109E-175,1.51791393416091E-173,2.93642343343104E-172,5.59359712782818E-171,1.0492164734594E-169,1.93794249013549E-168,3.52467432906121E-167,6.3124783083145E-166,1.11322786420681E-164,1.93317862600591E-163,3.30570532000303E-162,5.56622836573371E-161,9.22918048513975E-160,1.50685341102222E-158,2.422619116379E-157,3.8353594362646E-156,5.97907960641896E-155,9.178473982163E-154,1.38744272022384E-152,2.0652310444236E-151,3.02713508750731E-150,4.36923213015867E-149,6.20996552253625E-148,8.69129753321294E-147,1.19782126708004E-145,1.62559375133102E-144,2.17242733894468E-143,2.85885667605674E-142,3.70470859439908E-141,4.72749350337726E-140,5.94051000541147E-139,7.350774894092E-138,8.95694332794495E-137,1.07474285046507E-135,1.26989576915337E-134,1.4775803708117E-133,1.69299018945759E-132,1.91020001080618E-131,2.12238963033188E-130,2.32217031962536E-129,2.50199557164933E-128,2.65462610728599E-127,2.77361007678368E-126,2.85373441871584E-125,2.89140348801987E-124,2.88490665975329E-123,2.83454716291536E-122,2.74261862689014E-121,2.61323186583041E-120,2.45201012142562E-119,2.26568422794918E-118,2.06162825238373E-117,1.84738006085716E-116,1.63018974155248E-115,1.4166324441636E-114,1.21231220158245E-113,1.02167131314442E-112,8.47907636312762E-112,6.92991231679537E-111,5.57763420321751E-110,4.42096110228626E-109,3.45087355143249E-108,2.65270177357078E-107,2.00815030098974E-106,1.49711036154471E-105,1.09916445757904E-104,7.94738545222167E-104,5.659005754458E-103,3.96836681602731E-102,2.74056997687923E-101,1.86392757524699E-100,1.24846940595349e-99,8.23548603023879e-99,5.35013569878705e-98,3.42299616367837e-97,2.15683016820285e-96,1.33842897471833e-95,8.17987237135278e-95,4.92347312973391e-94,2.91858636988912e-93,1.70392944153813e-92,9.79740250786674e-92,5.54820950409214e-91,3.09442277349059e-90,1.69978403901144e-89,9.19597166861316e-89,4.89997465676493e-88,2.57149097081584e-87,1.32914953531212e-86,6.7664853628109e-86,3.39278072316801e-85,1.67553980275638e-84,8.15010270141879e-84,3.90466653237329e-83,1.84255566633719e-82,8.56399592220118e-82,3.92062163111572e-81,1.76790795553739e-80,7.85225364311644e-80,3.43528503560593e-79,1.48036562041255e-78,6.28372341822286e-78,2.62730947628618e-77,1.08207134082616e-76,4.38990975537882e-76,1.75434510603279e-75,6.90619883605847e-75,2.67813696092285e-74,1.02306063367643e-73,3.84990726207185e-73,1.42720081106608e-72,5.21208687296706e-72,1.8751499210078e-71,6.64606222569923e-71,2.32061648586744e-70,7.98288107537134e-70,2.70545474865458e-69,9.03342620360134e-69,2.97169275753631e-68,9.63168677953941e-68,3.07578523885495e-67,9.67772714946659e-67,3.00029032039854e-66,9.16505168500958e-66,2.75865788558529e-65,8.18204767835945e-65,2.39132030810472e-64,6.88709156919892e-64,1.95464340205372e-63,5.46694207698058e-63,1.50688053552564e-62,4.0933912446284e-62,1.09590009827195e-61,2.89171638499877e-61,7.52058742624838e-61,1.92785376712818e-60,4.8712252222113e-60,1.21327799307707e-59,2.97890936229481e-59,7.21018970124378e-59,1.72046892475657e-58,4.04740610169734e-58,9.3876393593065e-58,2.14687300377004e-57,4.84114599909056e-57,1.07647581021098e-56,2.36046707532696e-56,5.10450270150963e-56,1.08866923754691e-55,2.29008540447515e-55,4.75168701454144e-55,9.72551568840978e-55,1.96370126249621e-54,3.9117091243936e-54,7.68807342835134e-54,1.49094259801113e-53,2.85318856270846e-53,5.38841489092685e-53,1.00435806195691e-52,1.84777983675079e-52,3.3557085982903e-52,6.0163070366628e-52,1.06494689519013e-51,1.86131413640667e-51,3.21253430582381e-51,5.47590465215532e-51,9.21910153735345e-51,1.53317413807655e-50,2.51890025979273e-50,4.08878542602486e-50,6.5582740629814e-50,1.03955010675401e-49,1.62858819148291e-49,2.52195333581935e-49,3.8607628776864e-49,5.84346358501835e-49,8.74540306570089e-49,1.29435376849999e-48,1.89470415004362e-48,2.74344815953281e-48,3.92980294357707e-48,5.56948648859769e-48,7.81054827404954e-48,1.08398021910118e-47,1.4889700659756e-47,2.02454033354667e-47,2.72516991802076e-47,3.63193423376335e-47,4.79302674636374e-47,6.26410679764697e-47,8.10840614152149e-47,1.03965240618822e-46,1.32058428239181e-46,1.6619502411374e-46,2.07248866404246e-46,2.56115920360191e-46,3.13688760343539e-46,3.8082611301362e-46,4.5831806820244e-46,5.46847919511234e-46,6.46951945139154e-46,7.58978754206627e-46,8.83050077380244e-46,1.01902504705166e-45,1.16647006981568e-45,1.32463632701047e-45,1.49244674032794e-45,1.66849391117138e-45,1.85105009670327e-45,2.03808974414578e-45,2.22732449794426e-45,2.41624995822053e-45,2.60220284347134e-45,2.78242663621689e-45,2.95414330520644e-45,3.1146283342408e-45,3.26128607002782e-45,3.39172234421254e-45,3.50381143137127e-45,3.59575466784658e-45,3.66612845805806e-45,3.71391990885055e-45,3.73854892548416e-45,3.7398762380275e-45,3.71819746603786e-45,3.67422393593182e-45,3.60905150684634e-45,3.52411911058185e-45,3.42115905036642e-45,3.30214132082678e-45,3.16921430509482e-45,3.02464417952309e-45,2.87075522379102e-45,2.70987301123466e-45,2.54427216156985e-45,2.37612999818264e-45,2.20748708739942e-45,2.04021526892036e-45,1.87599343375518e-45,1.7162909840946e-45,1.56235863034436e-45,1.41522595183647e-45,1.27570497346445e-45,1.14439889113301e-45,1.0217150119759e-45,9.07880955957198e-46,8.02963187251696e-46,7.06886999210469e-46,6.19457157858872e-46,5.40378507944396e-46,4.69275955250532e-46,4.05713352717744e-46,3.49210930348684e-46,2.99261015488429e-46,2.55341887523313e-46,2.16929697040973e-46,1.83508452694811e-46,1.54578138895807e-46,1.2966107417015e-46,1.08306654261886e-46,9.00946469057023e-47,7.46372179868042e-47,6.15798730292859e-47,5.06014951478047e-47,4.14136522681448e-47,3.37593339912056e-47,2.74112632330565e-47,2.2169910854547e-47,1.78613238594957e-47,1.43348601772522e-47,1.14609061694738e-47,9.12863726903185e-48,7.24386788424176e-48,5.7270240722172e-48,4.51126158401994e-48,3.54074270918492e-48,2.76907783002463e-48,2.15793162063384e-48,1.675789243249e-48,1.29687453846304e-48,1.00020990130014e-48,7.6880610946687e-49,5.88969658723305e-49,4.49715011892407e-49,3.42269447322787e-49,2.5965878211952e-49,1.96363045730008e-49,1.48032108660558e-49,1.11252263754851e-49,8.3355762951049e-50,6.2266293090282e-50,4.6374303568669e-50,3.44369589531455e-50,2.54982710272285e-50,1.88256627447488e-50,1.38598312087345e-50,1.01753111171748e-50,7.44959927515123e-51,5.43909119167973e-51,3.96040953630351e-51,2.87597857617494e-51,2.08292573288437e-51,1.50457777371139e-51,1.08397102366866e-51,7.78917869978456e-52,5.5827059786912e-52,3.99102474619836e-52,2.84588610586152e-52,2.02418537559497e-52,1.43611222424505e-52,1.01633503909269e-52,7.17464477301533e-53,5.05222812417425e-53,3.54885398672602e-53,2.48667533736705e-53,1.73811520342551e-53,1.21190592389858e-53,8.42931253858621e-54,5.84857429498346e-54,4.04803163137709e-54,2.79495608494188e-54,1.92505983275363e-54,1.32267266328792e-54,9.06567193327453e-55,6.19851302043625e-55,4.22780770117828e-55,2.87662533192543e-55,1.95250352511618e-55,1.32202846963089e-55,8.92956251346161e-56,6.01672045653734e-56,4.04417188724949e-56,2.71168541521813e-56,1.81379714813078e-56,1.21025698494412e-56,8.05574490252594e-57,5.34900223032566e-57,3.54306040999313e-57,2.34111515693301e-57,1.54313945581657e-57,1.01467157872148e-57,6.65554284745138e-58,4.35490707004529e-58,2.84257204061979e-58,1.85089172832201e-58,1.2022291939107e-58,7.78986672693957e-59,5.0351113278314e-59,3.24656584886591e-59,2.08821517385049e-59,1.33986789816864e-59,8.57598944108156e-60,5.47572762959839e-60,3.48766377969114e-60,2.21596242974911e-60,1.40451060532392e-60,8.88019178871936e-61,5.60085345815171e-61,3.52387479343093e-61,2.21167332736886e-61,1.3846997201796e-61,8.64816974677687e-62,5.38798838250328e-62,3.34859643559688e-62,2.07602490234125e-62,1.28391351610612e-62,7.92085979031287e-63,4.87463502568636e-63,2.99257463938153e-63,1.83265565423835e-63,1.11956582395857e-63,6.82261973419504e-64,4.1474901557485e-64,2.51508183450259e-64,1.52142774693934e-64,9.18085013394584e-65,5.52645601780108e-65,3.31850666686422e-65,1.98779105329582e-65,1.18776557891169e-65,7.07982648148125e-66,4.20965278372092e-66,2.49690278854726e-66,1.47736770501316e-66,8.71981139788236e-67,5.13401368811039e-67,3.01535404220328e-67,1.76665146924524e-67,1.03251090353974e-67,6.01962639230457e-68,3.50086591162303e-68,2.03101154026773e-68,1.17538517349144e-68,6.78545317494405e-69,3.90758353974882e-69,2.24475207647743e-69,1.28634991934039e-69,7.35326863787092e-70,4.19307128502937e-70,2.38514344286571e-70,1.35340302751912e-70,7.66072919838573e-71,4.32557002414697e-71,2.43638994009577e-71,1.36892737692383e-71,7.67262775935198e-72,4.28980850779841e-72,2.39255368816766e-72,1.33111457319535e-72,7.38752728979429e-73,4.08989941131386e-73,2.25868662725949e-73,1.24431150545903e-73,6.83804563152388e-74,3.74856092902097e-74,2.04987235019823e-74,1.11819793863302e-74,6.08471369501146e-75,3.30286760644862e-75,1.78842901344147e-75,9.66010261867936e-76,5.20500600320075e-76,2.79762926382048e-76,1.49999045109179e-76,8.02261968660468e-77,4.2802907300027e-77,2.27803116630904e-77,1.20941502843541e-77,6.40501786731003e-78,3.38372137868043e-78,1.78319193490887e-78,9.37412662794798e-79,4.9157835573342e-79,2.57148435590735e-79,1.34185072087007e-79,6.98479544174927e-80,3.62687292190423e-80,1.8786251646524e-80,9.70682214472074e-81,5.00314559766164e-81,2.57239902943083e-81,1.3193579960607e-81,6.75019139324003e-82,3.44507463089038e-82,1.75392207745929e-82,8.90740229914429e-83,4.51253884558754e-83,2.28044685161602e-83,1.14960349457843e-83,5.78103127776336e-84,2.8999578939416e-84,1.45113294389241e-84,7.24355656361936e-85,3.60682992411049e-85,1.79154877966222e-85,8.87688896883545e-86,4.38755050212642e-86,2.16327969377927e-86,1.06397748885264e-86,5.220131491249e-87,2.55481643712414e-87,1.24728941227444e-87,6.07440949814868e-88,2.95100682607684e-88,1.43009768464522e-88,6.91338206792947e-89,3.33384040553658e-89,1.60371972831171e-89,7.69558403418746e-90,3.68369933063918e-90,1.75896125573663e-90,8.37833868277876e-91,3.98097201721844e-91,1.88690461496898e-91,8.92155205498452e-92,4.20785304377666e-92,1.97975038533608e-92,9.29159070190627e-93,4.35010269162462e-93,2.03160276457719e-93,9.46472440348611e-94,4.39852523072264e-94,2.03908902518365e-94,9.4296445051191e-95,4.34995272248765e-95,2.00172258115984e-95,9.18868636099127e-96,4.20758801880898e-96,1.92195533093988e-96,8.75757217766259e-97,3.98065532921446e-97,1.80491144845386e-97,8.16371360294956e-98,3.68341134246856e-98,1.65784279533238e-98,7.44332877489938e-99,3.33366424749332e-99,1.48938638957693e-99,6.63779512388661E-100,2.95101433285608E-100,1.30872946526593E-100,5.78974723963314E-101,2.55505685338647E-101,1.12479363781217E-101,4.93942657645496E-102,2.1637730114126E-102,9.45536790489745E-103,4.12170416018191E-103,1.79228447042638E-103,7.77443607060725E-104,3.36405255912833E-104,1.45207370852388E-104,6.25239864371752E-105,2.68557239006303E-105,1.15069273158612E-105,4.91829166672373E-106,2.09701576520885E-106,8.91911411446605E-107,3.78420330527143E-107,1.60162199311946E-107,6.7620522061719E-108,2.84793490859356E-108,1.19650565651638E-108,5.01455877693257E-109,2.09644796106152E-109,8.74317068823091E-110,3.63736981677661E-110,1.50952293275145E-110,6.24922055051893E-111,2.58075036499208E-111,1.0631640441545E-111,4.36906829389828E-112,1.7910668257148E-112,7.32435332625778E-113,2.98786837331068E-113,1.21587367294789E-113,4.93571881215029E-114,1.99869935135529E-114,8.07383345585946E-115,3.25347523231708E-115,1.30782844201996E-115,5.2443269552984E-116,2.097802538846E-116,8.37096406018643E-117,3.33213457332586E-117,1.3231404185056E-117,5.24114112081167E-118,2.07101122453678E-118,8.16349073823216E-119,3.21000997104792E-119,1.25914011189555E-119,4.926960900358E-120,1.92318795911056E-120,7.48862508731804E-121,2.9088436110616E-121,1.12713717015818E-121,4.35683864672997E-122,1.67998219462892E-122,6.46214315839918E-123,2.47963274270183E-123,9.49155223307741E-124,3.62431900936367E-124,1.38055938531348E-124,5.24594191805075E-125,1.98852833291296E-125,7.51934865485623E-126,2.83641002599751E-126,1.06732914836859E-126,4.00653110302823E-127,1.5003054316414E-127,5.604438216225E-128,2.0884590336624E-128,7.76357116601323E-129,2.87898268872341E-129,1.06502240309686E-129,3.93025607962267E-130,1.44685700235497E-130,5.31340935019201E-131,1.94654340234648E-131,7.11374525869371E-132,2.59343985915675E-132,9.43187342792404E-133,3.42187322708301E-133,1.23843808098762E-133,4.47125432738109E-134,1.61038386023065E-134,5.7859499683995E-135,2.0737931656115E-135,7.41484330997965E-136,2.64474964576342E-136,9.41051706868901E-137,3.34032725167332E-137,1.18280034160633E-137,4.17812132285147E-138,1.47230613452709E-138,5.17562684698236E-139,1.81499672632794E-139,</v>
      </c>
      <c r="J16" s="31" t="s">
        <v>153</v>
      </c>
    </row>
    <row r="17" spans="1:12" ht="30">
      <c r="A17" s="46" t="s">
        <v>136</v>
      </c>
      <c r="B17" s="47">
        <v>0.05</v>
      </c>
      <c r="C17" s="47">
        <v>0.2</v>
      </c>
      <c r="D17" s="74">
        <f t="shared" si="2"/>
        <v>0.1</v>
      </c>
      <c r="E17" s="74">
        <f t="shared" si="3"/>
        <v>0.23489495370875477</v>
      </c>
      <c r="F17" s="39"/>
      <c r="H17" s="3" t="s">
        <v>156</v>
      </c>
      <c r="I17" s="3">
        <f>STupidExcelMean(I16)</f>
        <v>4.5107626437167748E+49</v>
      </c>
      <c r="J17" s="3">
        <f>STupidExcelVariance(I16,I17)</f>
        <v>6.9063207904531377E+107</v>
      </c>
      <c r="K17" s="3"/>
      <c r="L17" s="3"/>
    </row>
    <row r="18" spans="1:12" ht="30">
      <c r="A18" s="46" t="s">
        <v>128</v>
      </c>
      <c r="B18" s="47">
        <v>0.05</v>
      </c>
      <c r="C18" s="47">
        <v>0.2</v>
      </c>
      <c r="D18" s="74">
        <f t="shared" si="2"/>
        <v>0.1</v>
      </c>
      <c r="E18" s="74">
        <f t="shared" si="3"/>
        <v>0.23489495370875477</v>
      </c>
      <c r="F18" s="39"/>
      <c r="H18" s="15" t="s">
        <v>168</v>
      </c>
      <c r="I18" s="14">
        <f>EXP(MuFromParams(ABS(I17),J17))</f>
        <v>2.4483673318138147E+45</v>
      </c>
      <c r="J18" s="14">
        <f>(SigmaFromParams(I17,J17) / LN(10))^2</f>
        <v>3.7048562608731159</v>
      </c>
      <c r="K18" s="3"/>
      <c r="L18" s="3"/>
    </row>
    <row r="19" spans="1:12">
      <c r="K19" s="3"/>
      <c r="L19" s="3"/>
    </row>
    <row r="20" spans="1:12">
      <c r="K20" s="3"/>
      <c r="L20" s="3"/>
    </row>
    <row r="21" spans="1:12">
      <c r="K21" s="3"/>
      <c r="L21" s="3"/>
    </row>
    <row r="22" spans="1:12" ht="20">
      <c r="A22" s="6" t="s">
        <v>59</v>
      </c>
    </row>
    <row r="23" spans="1:12">
      <c r="A23" s="33" t="s">
        <v>174</v>
      </c>
      <c r="B23" s="100">
        <f>ParetoPosterior(median,alpha,I18:J18)</f>
        <v>7.21322996525908E+36</v>
      </c>
    </row>
    <row r="24" spans="1:12" ht="30">
      <c r="A24" s="33" t="s">
        <v>175</v>
      </c>
      <c r="B24" s="100">
        <f>LognormPosterior(mu_far_future,sigma_far_future,I18:J18)</f>
        <v>25902525.57153099</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M52"/>
  <sheetViews>
    <sheetView workbookViewId="0">
      <selection activeCell="J25" sqref="J25"/>
    </sheetView>
  </sheetViews>
  <sheetFormatPr baseColWidth="10" defaultRowHeight="15" x14ac:dyDescent="0"/>
  <cols>
    <col min="1" max="1" width="21.6640625" customWidth="1"/>
    <col min="2" max="2" width="12.1640625" bestFit="1" customWidth="1"/>
    <col min="8" max="8" width="21.6640625" customWidth="1"/>
    <col min="11" max="12" width="11.83203125" bestFit="1" customWidth="1"/>
  </cols>
  <sheetData>
    <row r="1" spans="1:13">
      <c r="A1" s="1" t="s">
        <v>300</v>
      </c>
      <c r="H1" s="1" t="s">
        <v>275</v>
      </c>
    </row>
    <row r="2" spans="1:13">
      <c r="A2" s="4" t="s">
        <v>82</v>
      </c>
      <c r="B2" s="148">
        <v>50</v>
      </c>
      <c r="C2" t="s">
        <v>301</v>
      </c>
      <c r="I2" t="s">
        <v>0</v>
      </c>
      <c r="J2" t="s">
        <v>1</v>
      </c>
      <c r="K2" t="s">
        <v>161</v>
      </c>
      <c r="L2" t="s">
        <v>163</v>
      </c>
      <c r="M2" t="s">
        <v>27</v>
      </c>
    </row>
    <row r="3" spans="1:13">
      <c r="A3" s="4" t="s">
        <v>83</v>
      </c>
      <c r="B3" s="148">
        <v>0.5</v>
      </c>
      <c r="H3" s="139" t="s">
        <v>267</v>
      </c>
      <c r="I3" s="138">
        <v>20</v>
      </c>
      <c r="J3" s="138">
        <v>30</v>
      </c>
      <c r="K3" s="140">
        <f t="shared" ref="K3" si="0">GEOMEAN(I3,J3)</f>
        <v>24.494897427831781</v>
      </c>
      <c r="L3" s="80">
        <f t="shared" ref="L3" si="1">LogVariance(I3,J3)</f>
        <v>6.8702369764126706E-2</v>
      </c>
      <c r="M3" t="s">
        <v>295</v>
      </c>
    </row>
    <row r="4" spans="1:13">
      <c r="H4" s="3" t="s">
        <v>299</v>
      </c>
      <c r="I4" s="3">
        <f>1/J3</f>
        <v>3.3333333333333333E-2</v>
      </c>
      <c r="J4" s="3">
        <f>1/I3</f>
        <v>0.05</v>
      </c>
      <c r="K4" s="140">
        <f t="shared" ref="K4" si="2">GEOMEAN(I4,J4)</f>
        <v>4.0824829046386304E-2</v>
      </c>
      <c r="L4" s="80">
        <f t="shared" ref="L4" si="3">LogVariance(I4,J4)</f>
        <v>6.8702369764126706E-2</v>
      </c>
      <c r="M4" t="s">
        <v>297</v>
      </c>
    </row>
    <row r="5" spans="1:13">
      <c r="A5" s="1" t="s">
        <v>276</v>
      </c>
      <c r="H5" s="139" t="s">
        <v>268</v>
      </c>
      <c r="I5" s="138">
        <v>0.25</v>
      </c>
      <c r="J5" s="138">
        <v>0.7</v>
      </c>
      <c r="K5" s="140">
        <f>GEOMEAN(I5,J5)</f>
        <v>0.41833001326703778</v>
      </c>
      <c r="L5" s="80">
        <f t="shared" ref="L5" si="4">LogVariance(I5,J5)</f>
        <v>0.17445963290294819</v>
      </c>
    </row>
    <row r="6" spans="1:13">
      <c r="B6" t="s">
        <v>0</v>
      </c>
      <c r="C6" t="s">
        <v>1</v>
      </c>
      <c r="D6" t="s">
        <v>161</v>
      </c>
      <c r="E6" t="s">
        <v>163</v>
      </c>
      <c r="F6" t="s">
        <v>27</v>
      </c>
      <c r="H6" s="139" t="s">
        <v>269</v>
      </c>
      <c r="I6" s="138">
        <v>0.05</v>
      </c>
      <c r="J6" s="138">
        <v>0.3</v>
      </c>
      <c r="K6" s="140">
        <f>GEOMEAN(I6,J6)</f>
        <v>0.1224744871391589</v>
      </c>
      <c r="L6" s="80">
        <f>LogVariance(I6,J6)</f>
        <v>0.30359732347288149</v>
      </c>
    </row>
    <row r="7" spans="1:13">
      <c r="A7" s="139" t="s">
        <v>121</v>
      </c>
      <c r="B7" s="138">
        <v>15</v>
      </c>
      <c r="C7" s="138">
        <v>30</v>
      </c>
      <c r="D7" s="140">
        <f t="shared" ref="D7" si="5">GEOMEAN(B7,C7)</f>
        <v>21.213203435596427</v>
      </c>
      <c r="E7" s="80">
        <f t="shared" ref="E7" si="6">LogVariance(B7,C7)</f>
        <v>0.11744747685437738</v>
      </c>
      <c r="F7" s="141" t="s">
        <v>262</v>
      </c>
      <c r="H7" s="139" t="s">
        <v>270</v>
      </c>
      <c r="I7" s="138">
        <v>0.01</v>
      </c>
      <c r="J7" s="138">
        <v>0.1</v>
      </c>
      <c r="K7" s="140">
        <f>GEOMEAN(I7,J7)</f>
        <v>3.1622776601683791E-2</v>
      </c>
      <c r="L7" s="80">
        <f>LogVariance(I7,J7)</f>
        <v>0.39015207303618948</v>
      </c>
    </row>
    <row r="8" spans="1:13">
      <c r="A8" s="139" t="s">
        <v>281</v>
      </c>
      <c r="B8" s="138">
        <v>10</v>
      </c>
      <c r="C8" s="138">
        <v>20</v>
      </c>
      <c r="D8" s="140">
        <f t="shared" ref="D8:D13" si="7">GEOMEAN(B8,C8)</f>
        <v>14.142135623730951</v>
      </c>
      <c r="E8" s="80">
        <f t="shared" ref="E8:E13" si="8">LogVariance(B8,C8)</f>
        <v>0.11744747685437738</v>
      </c>
      <c r="H8" s="139" t="s">
        <v>271</v>
      </c>
      <c r="I8" s="138">
        <v>1</v>
      </c>
      <c r="J8" s="138">
        <v>1</v>
      </c>
      <c r="K8" s="140">
        <f>GEOMEAN(I8,J8)</f>
        <v>1</v>
      </c>
      <c r="L8" s="80">
        <f>LogVariance(I8,J8)</f>
        <v>0</v>
      </c>
      <c r="M8" t="s">
        <v>296</v>
      </c>
    </row>
    <row r="9" spans="1:13">
      <c r="A9" s="139" t="s">
        <v>116</v>
      </c>
      <c r="B9" s="138">
        <v>15</v>
      </c>
      <c r="C9" s="138">
        <v>40</v>
      </c>
      <c r="D9" s="140">
        <f t="shared" si="7"/>
        <v>24.494897427831781</v>
      </c>
      <c r="E9" s="80">
        <f t="shared" si="8"/>
        <v>0.16619258394462808</v>
      </c>
      <c r="H9" s="139" t="s">
        <v>309</v>
      </c>
      <c r="I9" s="138">
        <v>0.3</v>
      </c>
      <c r="J9" s="138">
        <v>0.8</v>
      </c>
      <c r="K9" s="140">
        <f>GEOMEAN(I9,J9)</f>
        <v>0.4898979485566356</v>
      </c>
      <c r="L9" s="80">
        <f>LogVariance(I9,J9)</f>
        <v>0.16619258394462808</v>
      </c>
      <c r="M9" t="s">
        <v>310</v>
      </c>
    </row>
    <row r="10" spans="1:13">
      <c r="A10" s="139" t="s">
        <v>117</v>
      </c>
      <c r="B10" s="138">
        <v>8</v>
      </c>
      <c r="C10" s="138">
        <v>24</v>
      </c>
      <c r="D10" s="140">
        <f t="shared" si="7"/>
        <v>13.856406460551019</v>
      </c>
      <c r="E10" s="80">
        <f t="shared" si="8"/>
        <v>0.18614984661850412</v>
      </c>
      <c r="F10" s="141" t="s">
        <v>261</v>
      </c>
      <c r="H10" s="18" t="s">
        <v>273</v>
      </c>
      <c r="K10" s="144">
        <f>K$4*K$5*K6*K$9</f>
        <v>1.02469507659596E-3</v>
      </c>
      <c r="L10" s="145">
        <f>L$4+L$5+L6+L$9</f>
        <v>0.71295191008458447</v>
      </c>
    </row>
    <row r="11" spans="1:13">
      <c r="A11" s="139" t="s">
        <v>283</v>
      </c>
      <c r="B11" s="138">
        <v>5</v>
      </c>
      <c r="C11" s="138">
        <v>15</v>
      </c>
      <c r="D11" s="140">
        <f t="shared" si="7"/>
        <v>8.6602540378443873</v>
      </c>
      <c r="E11" s="80">
        <f t="shared" si="8"/>
        <v>0.18614984661850412</v>
      </c>
      <c r="H11" s="18" t="s">
        <v>274</v>
      </c>
      <c r="K11" s="144">
        <f>K$4*K$5*K7*K$9</f>
        <v>2.645751311064591E-4</v>
      </c>
      <c r="L11" s="145">
        <f>L$4+L$5+L7+L$9</f>
        <v>0.79950665964789247</v>
      </c>
    </row>
    <row r="12" spans="1:13">
      <c r="A12" s="139" t="s">
        <v>278</v>
      </c>
      <c r="B12" s="138">
        <v>5</v>
      </c>
      <c r="C12" s="138">
        <v>15</v>
      </c>
      <c r="D12" s="140">
        <f t="shared" si="7"/>
        <v>8.6602540378443873</v>
      </c>
      <c r="E12" s="80">
        <f t="shared" si="8"/>
        <v>0.18614984661850412</v>
      </c>
      <c r="F12" t="s">
        <v>339</v>
      </c>
      <c r="H12" s="18" t="s">
        <v>272</v>
      </c>
      <c r="K12" s="144">
        <f>K$4*K$5*K8*K$9</f>
        <v>8.3666002653407564E-3</v>
      </c>
      <c r="L12" s="145">
        <f>L$4+L$5+L8+L$9</f>
        <v>0.40935458661170299</v>
      </c>
    </row>
    <row r="13" spans="1:13">
      <c r="A13" s="139" t="s">
        <v>282</v>
      </c>
      <c r="B13" s="138">
        <v>7</v>
      </c>
      <c r="C13" s="138">
        <v>20</v>
      </c>
      <c r="D13" s="140">
        <f t="shared" si="7"/>
        <v>11.832159566199232</v>
      </c>
      <c r="E13" s="80">
        <f t="shared" si="8"/>
        <v>0.17788279766018394</v>
      </c>
      <c r="F13" t="s">
        <v>318</v>
      </c>
    </row>
    <row r="15" spans="1:13">
      <c r="A15" s="1" t="s">
        <v>258</v>
      </c>
    </row>
    <row r="16" spans="1:13">
      <c r="B16" t="s">
        <v>0</v>
      </c>
      <c r="C16" t="s">
        <v>1</v>
      </c>
      <c r="D16" t="s">
        <v>161</v>
      </c>
      <c r="E16" t="s">
        <v>163</v>
      </c>
      <c r="H16" s="1" t="s">
        <v>287</v>
      </c>
      <c r="I16" s="3"/>
      <c r="J16" s="3"/>
    </row>
    <row r="17" spans="1:11">
      <c r="A17" s="139" t="s">
        <v>121</v>
      </c>
      <c r="B17" s="138">
        <v>15</v>
      </c>
      <c r="C17" s="138">
        <v>30</v>
      </c>
      <c r="D17" s="140">
        <f t="shared" ref="D17:D19" si="9">GEOMEAN(B17,C17)</f>
        <v>21.213203435596427</v>
      </c>
      <c r="E17" s="80">
        <f t="shared" ref="E17:E19" si="10">LogVariance(B17,C17)</f>
        <v>0.11744747685437738</v>
      </c>
      <c r="F17" t="s">
        <v>263</v>
      </c>
      <c r="H17" s="3"/>
      <c r="I17" s="3" t="s">
        <v>161</v>
      </c>
      <c r="J17" s="3" t="s">
        <v>163</v>
      </c>
      <c r="K17" t="s">
        <v>27</v>
      </c>
    </row>
    <row r="18" spans="1:11">
      <c r="A18" s="139" t="s">
        <v>281</v>
      </c>
      <c r="B18" s="138">
        <v>6</v>
      </c>
      <c r="C18" s="138">
        <v>15</v>
      </c>
      <c r="D18" s="140">
        <f t="shared" si="9"/>
        <v>9.4868329805051381</v>
      </c>
      <c r="E18" s="80">
        <f t="shared" si="10"/>
        <v>0.15525711932743469</v>
      </c>
      <c r="F18" t="s">
        <v>259</v>
      </c>
      <c r="H18" s="3" t="s">
        <v>280</v>
      </c>
      <c r="I18" s="3">
        <f>MAX(Summary!G11:G14,Summary!G16:G23)</f>
        <v>617286.32370819233</v>
      </c>
      <c r="J18" s="3">
        <v>0</v>
      </c>
      <c r="K18" t="s">
        <v>285</v>
      </c>
    </row>
    <row r="19" spans="1:11">
      <c r="A19" s="139" t="s">
        <v>116</v>
      </c>
      <c r="B19" s="138">
        <v>35</v>
      </c>
      <c r="C19" s="138">
        <v>80</v>
      </c>
      <c r="D19" s="140">
        <f t="shared" si="9"/>
        <v>52.915026221291818</v>
      </c>
      <c r="E19" s="80">
        <f t="shared" si="10"/>
        <v>0.14007315518712665</v>
      </c>
      <c r="F19" t="s">
        <v>288</v>
      </c>
      <c r="H19" s="3" t="s">
        <v>121</v>
      </c>
      <c r="I19" t="e">
        <f>VLOOKUP(H19,Summary!$A$11:$G$23,7,FALSE)/$I$18</f>
        <v>#N/A</v>
      </c>
      <c r="J19" s="3">
        <v>0</v>
      </c>
    </row>
    <row r="20" spans="1:11">
      <c r="A20" t="s">
        <v>260</v>
      </c>
      <c r="H20" s="3" t="s">
        <v>281</v>
      </c>
      <c r="I20" t="e">
        <f>VLOOKUP(H20,Summary!$A$11:$G$23,7,FALSE)/$I$18</f>
        <v>#N/A</v>
      </c>
      <c r="J20" s="3">
        <v>0</v>
      </c>
    </row>
    <row r="21" spans="1:11">
      <c r="H21" s="3" t="s">
        <v>116</v>
      </c>
      <c r="I21">
        <f>VLOOKUP(H21,Summary!$A$11:$G$23,7,FALSE)/$I$18</f>
        <v>-1.1654519695603651E-2</v>
      </c>
      <c r="J21" s="3">
        <v>0</v>
      </c>
    </row>
    <row r="22" spans="1:11">
      <c r="A22" s="1"/>
      <c r="H22" s="3" t="s">
        <v>117</v>
      </c>
      <c r="I22">
        <f>VLOOKUP(H22,Summary!$A$11:$G$23,7,FALSE)/$I$18</f>
        <v>0.34654523164597473</v>
      </c>
      <c r="J22" s="3">
        <v>0</v>
      </c>
    </row>
    <row r="23" spans="1:11">
      <c r="A23" s="1" t="s">
        <v>294</v>
      </c>
      <c r="H23" s="3" t="s">
        <v>283</v>
      </c>
      <c r="I23">
        <f>VLOOKUP(H23,Summary!$A$11:$G$23,7,FALSE)/$I$18</f>
        <v>0.27778841473785576</v>
      </c>
      <c r="J23" s="3">
        <v>0</v>
      </c>
    </row>
    <row r="24" spans="1:11">
      <c r="B24" t="s">
        <v>161</v>
      </c>
      <c r="C24" t="s">
        <v>163</v>
      </c>
      <c r="H24" s="127" t="s">
        <v>278</v>
      </c>
      <c r="I24">
        <f>VLOOKUP(H24,Summary!$A$11:$G$23,7,FALSE)/$I$18</f>
        <v>4.1016446340862902E-3</v>
      </c>
      <c r="J24" s="3">
        <v>0</v>
      </c>
    </row>
    <row r="25" spans="1:11">
      <c r="A25" s="3" t="s">
        <v>265</v>
      </c>
      <c r="B25" s="3" t="e">
        <f>K10*I50*1000</f>
        <v>#VALUE!</v>
      </c>
      <c r="C25" s="3" t="e">
        <f>L10+J50</f>
        <v>#VALUE!</v>
      </c>
      <c r="H25" s="3" t="s">
        <v>282</v>
      </c>
      <c r="I25" t="e">
        <f>VLOOKUP(H25,Summary!$A$11:$G$23,7,FALSE)/$I$18</f>
        <v>#N/A</v>
      </c>
      <c r="J25" s="3">
        <v>0</v>
      </c>
    </row>
    <row r="26" spans="1:11">
      <c r="A26" s="3" t="s">
        <v>266</v>
      </c>
      <c r="B26" s="3" t="e">
        <f>K11*I51*1000</f>
        <v>#VALUE!</v>
      </c>
      <c r="C26" s="3" t="e">
        <f>L11+J51</f>
        <v>#VALUE!</v>
      </c>
    </row>
    <row r="27" spans="1:11">
      <c r="A27" s="3" t="s">
        <v>293</v>
      </c>
      <c r="B27" s="3" t="e">
        <f>K12*I52*1000</f>
        <v>#VALUE!</v>
      </c>
      <c r="C27" s="3" t="e">
        <f>L12+J52</f>
        <v>#VALUE!</v>
      </c>
    </row>
    <row r="28" spans="1:11">
      <c r="A28" s="3" t="s">
        <v>172</v>
      </c>
      <c r="B28" t="e">
        <f>WriteArray(SumLognormDists(B25:C27))</f>
        <v>#VALUE!</v>
      </c>
      <c r="C28" t="s">
        <v>153</v>
      </c>
      <c r="H28" s="13" t="s">
        <v>289</v>
      </c>
    </row>
    <row r="29" spans="1:11">
      <c r="A29" s="3" t="s">
        <v>159</v>
      </c>
      <c r="B29" s="3" t="e">
        <f>STupidExcelMean(B28)</f>
        <v>#VALUE!</v>
      </c>
      <c r="C29" s="3" t="e">
        <f>STupidExcelVariance(B28,B29)</f>
        <v>#VALUE!</v>
      </c>
      <c r="H29" s="149" t="s">
        <v>290</v>
      </c>
    </row>
    <row r="30" spans="1:11">
      <c r="A30" s="3" t="s">
        <v>298</v>
      </c>
      <c r="B30" s="3" t="e">
        <f>EXP(MuFromParams(B29,C29))</f>
        <v>#VALUE!</v>
      </c>
      <c r="C30" s="3" t="e">
        <f>(SigmaFromParams(B29,C29) / LN(10))^2</f>
        <v>#VALUE!</v>
      </c>
      <c r="H30" s="3" t="s">
        <v>121</v>
      </c>
      <c r="I30" t="e">
        <f t="shared" ref="I30:I36" si="11">D7*I19</f>
        <v>#N/A</v>
      </c>
      <c r="J30">
        <f t="shared" ref="J30:J36" si="12">E7+J19</f>
        <v>0.11744747685437738</v>
      </c>
    </row>
    <row r="31" spans="1:11">
      <c r="A31" s="142" t="s">
        <v>302</v>
      </c>
      <c r="B31" s="4" t="e">
        <f>MIN(B30,LognormPosterior(B2,B3,B30:C30))</f>
        <v>#VALUE!</v>
      </c>
      <c r="D31" t="s">
        <v>317</v>
      </c>
      <c r="H31" s="3" t="s">
        <v>281</v>
      </c>
      <c r="I31" t="e">
        <f t="shared" si="11"/>
        <v>#N/A</v>
      </c>
      <c r="J31">
        <f t="shared" si="12"/>
        <v>0.11744747685437738</v>
      </c>
    </row>
    <row r="32" spans="1:11">
      <c r="H32" s="3" t="s">
        <v>116</v>
      </c>
      <c r="I32">
        <f t="shared" si="11"/>
        <v>-0.28547626451445673</v>
      </c>
      <c r="J32">
        <f t="shared" si="12"/>
        <v>0.16619258394462808</v>
      </c>
    </row>
    <row r="33" spans="1:10">
      <c r="H33" s="3" t="s">
        <v>117</v>
      </c>
      <c r="I33">
        <f t="shared" si="11"/>
        <v>4.8018715866524335</v>
      </c>
      <c r="J33">
        <f t="shared" si="12"/>
        <v>0.18614984661850412</v>
      </c>
    </row>
    <row r="34" spans="1:10">
      <c r="A34" s="1" t="s">
        <v>315</v>
      </c>
      <c r="H34" s="3" t="s">
        <v>283</v>
      </c>
      <c r="I34">
        <f t="shared" si="11"/>
        <v>2.4057182403999064</v>
      </c>
      <c r="J34">
        <f t="shared" si="12"/>
        <v>0.18614984661850412</v>
      </c>
    </row>
    <row r="35" spans="1:10">
      <c r="B35" t="s">
        <v>303</v>
      </c>
      <c r="C35" t="s">
        <v>312</v>
      </c>
      <c r="D35" t="s">
        <v>313</v>
      </c>
      <c r="H35" s="127" t="s">
        <v>278</v>
      </c>
      <c r="I35">
        <f t="shared" si="11"/>
        <v>3.5521284504148556E-2</v>
      </c>
      <c r="J35">
        <f t="shared" si="12"/>
        <v>0.18614984661850412</v>
      </c>
    </row>
    <row r="36" spans="1:10">
      <c r="A36" t="s">
        <v>336</v>
      </c>
      <c r="C36">
        <f>B2</f>
        <v>50</v>
      </c>
      <c r="D36" t="e">
        <f>B31</f>
        <v>#VALUE!</v>
      </c>
      <c r="H36" s="3" t="s">
        <v>282</v>
      </c>
      <c r="I36" t="e">
        <f t="shared" si="11"/>
        <v>#N/A</v>
      </c>
      <c r="J36">
        <f t="shared" si="12"/>
        <v>0.17788279766018394</v>
      </c>
    </row>
    <row r="37" spans="1:10">
      <c r="A37" t="s">
        <v>304</v>
      </c>
      <c r="B37">
        <v>0.5</v>
      </c>
      <c r="C37" t="e">
        <f>C36/D36</f>
        <v>#VALUE!</v>
      </c>
      <c r="D37">
        <v>1</v>
      </c>
    </row>
    <row r="38" spans="1:10">
      <c r="A38" t="s">
        <v>305</v>
      </c>
      <c r="B38">
        <v>0.1</v>
      </c>
      <c r="C38">
        <v>1</v>
      </c>
      <c r="D38">
        <v>1</v>
      </c>
      <c r="H38" s="149" t="s">
        <v>291</v>
      </c>
    </row>
    <row r="39" spans="1:10">
      <c r="A39" t="s">
        <v>306</v>
      </c>
      <c r="B39">
        <v>0.05</v>
      </c>
      <c r="C39">
        <v>1</v>
      </c>
      <c r="D39">
        <v>0.7</v>
      </c>
      <c r="H39" s="3" t="s">
        <v>121</v>
      </c>
      <c r="I39" t="e">
        <f>D17*I19</f>
        <v>#N/A</v>
      </c>
      <c r="J39">
        <f>E17+J18</f>
        <v>0.11744747685437738</v>
      </c>
    </row>
    <row r="40" spans="1:10">
      <c r="A40" t="s">
        <v>307</v>
      </c>
      <c r="B40">
        <v>0.15</v>
      </c>
      <c r="C40">
        <v>1</v>
      </c>
      <c r="D40">
        <v>0.5</v>
      </c>
      <c r="H40" s="3" t="s">
        <v>281</v>
      </c>
      <c r="I40" t="e">
        <f>D18*I20</f>
        <v>#N/A</v>
      </c>
      <c r="J40">
        <f>E18+J19</f>
        <v>0.15525711932743469</v>
      </c>
    </row>
    <row r="41" spans="1:10">
      <c r="A41" t="s">
        <v>308</v>
      </c>
      <c r="B41">
        <v>0.15</v>
      </c>
      <c r="C41">
        <v>1</v>
      </c>
      <c r="D41">
        <v>0.2</v>
      </c>
      <c r="H41" s="3" t="s">
        <v>116</v>
      </c>
      <c r="I41">
        <f>D19*I21</f>
        <v>-0.61669921528942917</v>
      </c>
      <c r="J41">
        <f>E19+J20</f>
        <v>0.14007315518712665</v>
      </c>
    </row>
    <row r="42" spans="1:10">
      <c r="A42" t="s">
        <v>311</v>
      </c>
      <c r="B42">
        <v>0.05</v>
      </c>
      <c r="C42">
        <v>1</v>
      </c>
      <c r="D42">
        <v>0.2</v>
      </c>
      <c r="E42" t="s">
        <v>316</v>
      </c>
    </row>
    <row r="43" spans="1:10">
      <c r="A43" t="s">
        <v>314</v>
      </c>
      <c r="B43">
        <f>SUM(B37:B42)</f>
        <v>1</v>
      </c>
      <c r="C43" t="e">
        <f>SUMPRODUCT(B37:B42,C37:C42)</f>
        <v>#VALUE!</v>
      </c>
      <c r="D43">
        <f>SUMPRODUCT(B37:B42,D37:D42)</f>
        <v>0.75</v>
      </c>
      <c r="H43" s="149" t="s">
        <v>292</v>
      </c>
    </row>
    <row r="44" spans="1:10">
      <c r="H44" s="30" t="s">
        <v>265</v>
      </c>
      <c r="I44" s="31" t="e">
        <f>WriteArray(SumLognormDists(I39:J41))</f>
        <v>#VALUE!</v>
      </c>
      <c r="J44" s="31" t="s">
        <v>153</v>
      </c>
    </row>
    <row r="45" spans="1:10">
      <c r="A45" t="s">
        <v>337</v>
      </c>
      <c r="H45" s="30" t="s">
        <v>266</v>
      </c>
      <c r="I45" s="31" t="e">
        <f>WriteArray(SumLognormDists(I30:J32))</f>
        <v>#VALUE!</v>
      </c>
      <c r="J45" s="31" t="s">
        <v>153</v>
      </c>
    </row>
    <row r="46" spans="1:10">
      <c r="A46" t="s">
        <v>338</v>
      </c>
      <c r="H46" s="30" t="s">
        <v>293</v>
      </c>
      <c r="I46" s="31" t="e">
        <f>WriteArray(SumLognormDists(I33:J36))</f>
        <v>#VALUE!</v>
      </c>
      <c r="J46" s="31" t="s">
        <v>153</v>
      </c>
    </row>
    <row r="47" spans="1:10">
      <c r="A47" t="s">
        <v>319</v>
      </c>
      <c r="H47" s="3" t="s">
        <v>156</v>
      </c>
      <c r="I47" s="3" t="e">
        <f>STupidExcelMean(I44)</f>
        <v>#VALUE!</v>
      </c>
      <c r="J47" s="3" t="e">
        <f>STupidExcelVariance(I44,I47)</f>
        <v>#VALUE!</v>
      </c>
    </row>
    <row r="48" spans="1:10">
      <c r="A48" t="s">
        <v>342</v>
      </c>
      <c r="H48" s="3" t="s">
        <v>156</v>
      </c>
      <c r="I48" s="3" t="e">
        <f t="shared" ref="I48:I49" si="13">STupidExcelMean(I45)</f>
        <v>#VALUE!</v>
      </c>
      <c r="J48" s="3" t="e">
        <f t="shared" ref="J48:J49" si="14">STupidExcelVariance(I45,I48)</f>
        <v>#VALUE!</v>
      </c>
    </row>
    <row r="49" spans="8:10">
      <c r="H49" s="3" t="s">
        <v>156</v>
      </c>
      <c r="I49" s="3" t="e">
        <f t="shared" si="13"/>
        <v>#VALUE!</v>
      </c>
      <c r="J49" s="3" t="e">
        <f t="shared" si="14"/>
        <v>#VALUE!</v>
      </c>
    </row>
    <row r="50" spans="8:10">
      <c r="H50" s="18" t="s">
        <v>265</v>
      </c>
      <c r="I50" s="19" t="e">
        <f>EXP(MuFromParams(I47,J47))</f>
        <v>#VALUE!</v>
      </c>
      <c r="J50" s="19" t="e">
        <f>(SigmaFromParams(I47,J47) / LN(10))^2</f>
        <v>#VALUE!</v>
      </c>
    </row>
    <row r="51" spans="8:10">
      <c r="H51" s="18" t="s">
        <v>266</v>
      </c>
      <c r="I51" s="19" t="e">
        <f t="shared" ref="I51:I52" si="15">EXP(MuFromParams(I48,J48))</f>
        <v>#VALUE!</v>
      </c>
      <c r="J51" s="19" t="e">
        <f t="shared" ref="J51:J52" si="16">(SigmaFromParams(I48,J48) / LN(10))^2</f>
        <v>#VALUE!</v>
      </c>
    </row>
    <row r="52" spans="8:10">
      <c r="H52" s="18" t="s">
        <v>293</v>
      </c>
      <c r="I52" s="19" t="e">
        <f t="shared" si="15"/>
        <v>#VALUE!</v>
      </c>
      <c r="J52" s="19" t="e">
        <f t="shared" si="16"/>
        <v>#VALUE!</v>
      </c>
    </row>
  </sheetData>
  <hyperlinks>
    <hyperlink ref="F10" r:id="rId1"/>
    <hyperlink ref="F7" r:id="rId2"/>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Summary</vt:lpstr>
      <vt:lpstr>Globals</vt:lpstr>
      <vt:lpstr>EV of Far Future</vt:lpstr>
      <vt:lpstr>GiveDirectly</vt:lpstr>
      <vt:lpstr>THL</vt:lpstr>
      <vt:lpstr>Cage-Free</vt:lpstr>
      <vt:lpstr>AI Safety</vt:lpstr>
      <vt:lpstr>AI Targeted Values Spreading</vt:lpstr>
      <vt:lpstr>GiveWell Analyst</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2016-05-12T23:35:43Z</dcterms:modified>
</cp:coreProperties>
</file>