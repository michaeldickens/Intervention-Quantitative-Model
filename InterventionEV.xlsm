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" i="1" l="1"/>
  <c r="K53" i="1"/>
  <c r="K52" i="1"/>
  <c r="I55" i="1"/>
  <c r="E5" i="1"/>
  <c r="I3" i="1"/>
  <c r="I5" i="1"/>
  <c r="G3" i="3"/>
  <c r="G4" i="3"/>
  <c r="G14" i="3"/>
  <c r="G16" i="3"/>
  <c r="L4" i="3"/>
  <c r="M5" i="1"/>
  <c r="M8" i="1"/>
  <c r="P30" i="2"/>
  <c r="H3" i="3"/>
  <c r="P31" i="2"/>
  <c r="H4" i="3"/>
  <c r="P33" i="2"/>
  <c r="H14" i="3"/>
  <c r="H16" i="3"/>
  <c r="M4" i="3"/>
  <c r="N5" i="1"/>
  <c r="E4" i="1"/>
  <c r="E6" i="1"/>
  <c r="E7" i="1"/>
  <c r="E8" i="1"/>
  <c r="N7" i="1"/>
  <c r="N8" i="1"/>
  <c r="M10" i="1"/>
  <c r="M9" i="1"/>
  <c r="L30" i="2"/>
  <c r="C3" i="3"/>
  <c r="L31" i="2"/>
  <c r="C4" i="3"/>
  <c r="L32" i="2"/>
  <c r="C5" i="3"/>
  <c r="L33" i="2"/>
  <c r="C6" i="3"/>
  <c r="C11" i="3"/>
  <c r="M8" i="3"/>
  <c r="C16" i="3"/>
  <c r="M9" i="3"/>
  <c r="C21" i="3"/>
  <c r="M10" i="3"/>
  <c r="M12" i="3"/>
  <c r="P32" i="2"/>
  <c r="H8" i="3"/>
  <c r="H10" i="3"/>
  <c r="M3" i="3"/>
  <c r="P34" i="2"/>
  <c r="H20" i="3"/>
  <c r="H22" i="3"/>
  <c r="M5" i="3"/>
  <c r="P35" i="2"/>
  <c r="H26" i="3"/>
  <c r="H28" i="3"/>
  <c r="M6" i="3"/>
  <c r="H32" i="3"/>
  <c r="P36" i="2"/>
  <c r="H33" i="3"/>
  <c r="H35" i="3"/>
  <c r="M7" i="3"/>
  <c r="M11" i="3"/>
  <c r="M13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10" i="3"/>
  <c r="L3" i="3"/>
  <c r="G20" i="3"/>
  <c r="G22" i="3"/>
  <c r="L5" i="3"/>
  <c r="G26" i="3"/>
  <c r="G28" i="3"/>
  <c r="L6" i="3"/>
  <c r="G32" i="3"/>
  <c r="G33" i="3"/>
  <c r="G35" i="3"/>
  <c r="L7" i="3"/>
  <c r="B3" i="3"/>
  <c r="B4" i="3"/>
  <c r="B5" i="3"/>
  <c r="B6" i="3"/>
  <c r="B11" i="3"/>
  <c r="L8" i="3"/>
  <c r="B16" i="3"/>
  <c r="L9" i="3"/>
  <c r="B21" i="3"/>
  <c r="L10" i="3"/>
  <c r="L13" i="3"/>
  <c r="N3" i="6"/>
  <c r="N4" i="6"/>
  <c r="B12" i="6"/>
  <c r="C8" i="7"/>
  <c r="O17" i="6"/>
  <c r="O18" i="6"/>
  <c r="L12" i="3"/>
  <c r="N17" i="6"/>
  <c r="N18" i="6"/>
  <c r="N20" i="6"/>
  <c r="O9" i="6"/>
  <c r="O10" i="6"/>
  <c r="L11" i="3"/>
  <c r="N9" i="6"/>
  <c r="N10" i="6"/>
  <c r="N12" i="6"/>
  <c r="G5" i="5"/>
  <c r="B15" i="5"/>
  <c r="G34" i="3"/>
  <c r="H34" i="3"/>
  <c r="H27" i="3"/>
  <c r="G27" i="3"/>
  <c r="H21" i="3"/>
  <c r="G21" i="3"/>
  <c r="H15" i="3"/>
  <c r="G15" i="3"/>
  <c r="H9" i="3"/>
  <c r="G9" i="3"/>
  <c r="D21" i="2"/>
  <c r="N30" i="2"/>
  <c r="N31" i="2"/>
  <c r="N32" i="2"/>
  <c r="D20" i="2"/>
  <c r="O30" i="2"/>
  <c r="O32" i="2"/>
  <c r="O31" i="2"/>
  <c r="D18" i="2"/>
  <c r="D17" i="2"/>
  <c r="C20" i="3"/>
  <c r="J30" i="2"/>
  <c r="J31" i="2"/>
  <c r="J32" i="2"/>
  <c r="J33" i="2"/>
  <c r="B24" i="2"/>
  <c r="D24" i="2"/>
  <c r="B20" i="3"/>
  <c r="K32" i="2"/>
  <c r="K31" i="2"/>
  <c r="K30" i="2"/>
  <c r="K33" i="2"/>
  <c r="C15" i="3"/>
  <c r="D23" i="2"/>
  <c r="B15" i="3"/>
  <c r="C22" i="2"/>
  <c r="D22" i="2"/>
  <c r="B10" i="3"/>
  <c r="C10" i="3"/>
  <c r="J3" i="2"/>
  <c r="H3" i="2"/>
  <c r="I3" i="2"/>
  <c r="G3" i="2"/>
  <c r="P3" i="3"/>
  <c r="J25" i="6"/>
  <c r="P4" i="3"/>
  <c r="J26" i="6"/>
  <c r="P5" i="3"/>
  <c r="J27" i="6"/>
  <c r="P6" i="3"/>
  <c r="J28" i="6"/>
  <c r="P7" i="3"/>
  <c r="J29" i="6"/>
  <c r="P8" i="3"/>
  <c r="J30" i="6"/>
  <c r="P9" i="3"/>
  <c r="J31" i="6"/>
  <c r="P10" i="3"/>
  <c r="J32" i="6"/>
  <c r="K25" i="6"/>
  <c r="K26" i="6"/>
  <c r="K27" i="6"/>
  <c r="K28" i="6"/>
  <c r="K29" i="6"/>
  <c r="K30" i="6"/>
  <c r="K31" i="6"/>
  <c r="K32" i="6"/>
  <c r="N33" i="2"/>
  <c r="M3" i="1"/>
  <c r="O33" i="2"/>
  <c r="M6" i="1"/>
  <c r="D8" i="1"/>
  <c r="M7" i="1"/>
  <c r="I4" i="1"/>
  <c r="H4" i="1"/>
  <c r="H5" i="1"/>
  <c r="H6" i="1"/>
  <c r="I12" i="11"/>
  <c r="G4" i="5"/>
  <c r="C14" i="1"/>
  <c r="N34" i="2"/>
  <c r="I17" i="1"/>
  <c r="I19" i="1"/>
  <c r="I20" i="1"/>
  <c r="C15" i="1"/>
  <c r="N35" i="2"/>
  <c r="I29" i="1"/>
  <c r="I31" i="1"/>
  <c r="I32" i="1"/>
  <c r="C16" i="1"/>
  <c r="N36" i="2"/>
  <c r="I41" i="1"/>
  <c r="I43" i="1"/>
  <c r="I44" i="1"/>
  <c r="C17" i="1"/>
  <c r="O35" i="2"/>
  <c r="O36" i="2"/>
  <c r="H41" i="1"/>
  <c r="H39" i="1"/>
  <c r="H42" i="1"/>
  <c r="H43" i="1"/>
  <c r="H44" i="1"/>
  <c r="B17" i="1"/>
  <c r="H29" i="1"/>
  <c r="H27" i="1"/>
  <c r="H30" i="1"/>
  <c r="H31" i="1"/>
  <c r="H32" i="1"/>
  <c r="B16" i="1"/>
  <c r="O34" i="2"/>
  <c r="H17" i="1"/>
  <c r="H15" i="1"/>
  <c r="H18" i="1"/>
  <c r="H19" i="1"/>
  <c r="H20" i="1"/>
  <c r="B15" i="1"/>
  <c r="B14" i="1"/>
  <c r="B13" i="1"/>
  <c r="M39" i="1"/>
  <c r="M41" i="1"/>
  <c r="M42" i="1"/>
  <c r="D4" i="1"/>
  <c r="B5" i="1"/>
  <c r="C5" i="1"/>
  <c r="D5" i="1"/>
  <c r="D6" i="1"/>
  <c r="D7" i="1"/>
  <c r="M43" i="1"/>
  <c r="M44" i="1"/>
  <c r="N41" i="1"/>
  <c r="N43" i="1"/>
  <c r="N44" i="1"/>
  <c r="N17" i="1"/>
  <c r="N19" i="1"/>
  <c r="N20" i="1"/>
  <c r="M15" i="1"/>
  <c r="M17" i="1"/>
  <c r="M18" i="1"/>
  <c r="M19" i="1"/>
  <c r="M20" i="1"/>
  <c r="H3" i="1"/>
  <c r="C13" i="1"/>
  <c r="M27" i="1"/>
  <c r="M29" i="1"/>
  <c r="M30" i="1"/>
  <c r="M31" i="1"/>
  <c r="M32" i="1"/>
  <c r="N29" i="1"/>
  <c r="N31" i="1"/>
  <c r="N32" i="1"/>
  <c r="G24" i="5"/>
  <c r="G22" i="5"/>
  <c r="B4" i="5"/>
  <c r="C4" i="5"/>
  <c r="G23" i="5"/>
  <c r="G25" i="5"/>
  <c r="H21" i="5"/>
  <c r="H22" i="5"/>
  <c r="H23" i="5"/>
  <c r="K21" i="5"/>
  <c r="G12" i="5"/>
  <c r="G11" i="5"/>
  <c r="K22" i="5"/>
  <c r="O21" i="5"/>
  <c r="O22" i="5"/>
  <c r="O10" i="5"/>
  <c r="O11" i="5"/>
  <c r="H10" i="5"/>
  <c r="H11" i="5"/>
  <c r="H12" i="5"/>
  <c r="K10" i="5"/>
  <c r="K11" i="5"/>
  <c r="G13" i="5"/>
  <c r="G14" i="5"/>
  <c r="J15" i="6"/>
  <c r="J14" i="6"/>
  <c r="J13" i="6"/>
  <c r="D4" i="6"/>
  <c r="J7" i="6"/>
  <c r="J6" i="6"/>
  <c r="J5" i="6"/>
  <c r="J3" i="6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G21" i="5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I25" i="6"/>
  <c r="J8" i="6"/>
  <c r="J16" i="6"/>
  <c r="J20" i="6"/>
  <c r="H25" i="6"/>
  <c r="I26" i="6"/>
  <c r="H26" i="6"/>
  <c r="I27" i="6"/>
  <c r="H27" i="6"/>
  <c r="I28" i="6"/>
  <c r="H28" i="6"/>
  <c r="I29" i="6"/>
  <c r="H29" i="6"/>
  <c r="I30" i="6"/>
  <c r="H30" i="6"/>
  <c r="I31" i="6"/>
  <c r="H31" i="6"/>
  <c r="I32" i="6"/>
  <c r="H32" i="6"/>
  <c r="B22" i="6"/>
  <c r="C23" i="7"/>
  <c r="B21" i="6"/>
  <c r="B23" i="7"/>
  <c r="B28" i="1"/>
  <c r="C22" i="7"/>
  <c r="B14" i="5"/>
  <c r="B27" i="1"/>
  <c r="B22" i="7"/>
  <c r="I5" i="6"/>
  <c r="H5" i="6"/>
  <c r="C4" i="6"/>
  <c r="B4" i="6"/>
  <c r="I15" i="6"/>
  <c r="H15" i="6"/>
  <c r="H8" i="7"/>
  <c r="J6" i="7"/>
  <c r="H6" i="7"/>
  <c r="L6" i="7"/>
  <c r="K6" i="7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J5" i="7"/>
  <c r="K5" i="7"/>
  <c r="J7" i="7"/>
  <c r="K7" i="7"/>
  <c r="K8" i="7"/>
  <c r="J4" i="7"/>
  <c r="K4" i="7"/>
  <c r="L5" i="7"/>
  <c r="L7" i="7"/>
  <c r="L8" i="7"/>
  <c r="L4" i="7"/>
  <c r="D19" i="2"/>
  <c r="K13" i="6"/>
  <c r="B19" i="5"/>
  <c r="B14" i="7"/>
  <c r="B20" i="5"/>
  <c r="C14" i="7"/>
  <c r="D14" i="7"/>
  <c r="D15" i="7"/>
  <c r="B17" i="6"/>
  <c r="C16" i="7"/>
  <c r="D16" i="7"/>
  <c r="N19" i="6"/>
  <c r="N11" i="6"/>
  <c r="B16" i="6"/>
  <c r="B16" i="7"/>
  <c r="B11" i="6"/>
  <c r="B8" i="7"/>
  <c r="D8" i="7"/>
  <c r="J8" i="7"/>
  <c r="H13" i="5"/>
  <c r="H14" i="5"/>
  <c r="L10" i="5"/>
  <c r="L11" i="5"/>
  <c r="P10" i="5"/>
  <c r="P11" i="5"/>
  <c r="P21" i="5"/>
  <c r="P22" i="5"/>
  <c r="L21" i="5"/>
  <c r="L22" i="5"/>
  <c r="H24" i="5"/>
  <c r="H25" i="5"/>
</calcChain>
</file>

<file path=xl/sharedStrings.xml><?xml version="1.0" encoding="utf-8"?>
<sst xmlns="http://schemas.openxmlformats.org/spreadsheetml/2006/main" count="528" uniqueCount="246">
  <si>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</si>
  <si>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</si>
  <si>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</si>
  <si>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</si>
  <si>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</si>
  <si>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</si>
  <si>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</si>
  <si>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</si>
  <si>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</si>
  <si>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</si>
  <si>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</si>
  <si>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</si>
  <si>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</si>
  <si>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</si>
  <si>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</si>
  <si>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</si>
  <si>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</si>
  <si>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</si>
  <si>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</si>
  <si>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</si>
  <si>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</si>
  <si>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</si>
  <si>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</si>
  <si>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</si>
  <si>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</si>
  <si>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</si>
  <si>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</si>
  <si>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</si>
  <si>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</si>
  <si>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</si>
  <si>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</si>
  <si>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</si>
  <si>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</si>
  <si>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</si>
  <si>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</si>
  <si>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</si>
  <si>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</si>
  <si>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</si>
  <si>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</si>
  <si>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</si>
  <si>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</si>
  <si>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</si>
  <si>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</si>
  <si>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</si>
  <si>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</si>
  <si>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</si>
  <si>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</si>
  <si>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</si>
  <si>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</si>
  <si>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</si>
  <si>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</si>
  <si>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</si>
  <si>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</si>
  <si>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</si>
  <si>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</si>
  <si>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</si>
  <si>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</si>
  <si>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</si>
  <si>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</si>
  <si>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</si>
  <si>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</si>
  <si>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</si>
  <si>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</si>
  <si>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</si>
  <si>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</si>
  <si>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</si>
  <si>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</si>
  <si>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</si>
  <si>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</si>
  <si>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</si>
  <si>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</si>
  <si>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</si>
  <si>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</si>
  <si>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</si>
  <si>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</si>
  <si>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</si>
  <si>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</si>
  <si>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</si>
  <si>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</si>
  <si>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</si>
  <si>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</si>
  <si>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</si>
  <si>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</si>
  <si>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</si>
  <si>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</si>
  <si>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</si>
  <si>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</si>
  <si>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</si>
  <si>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</si>
  <si>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</si>
  <si>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</si>
  <si>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</si>
  <si>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</si>
  <si>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</si>
  <si>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</si>
  <si>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</si>
  <si>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</si>
  <si>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</si>
  <si>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</si>
  <si>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</si>
  <si>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</si>
  <si>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</si>
  <si>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</si>
  <si>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</si>
  <si>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</si>
  <si>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</si>
  <si>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</si>
  <si>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</si>
  <si>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</si>
  <si>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</si>
  <si>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</si>
  <si>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</si>
  <si>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</si>
  <si>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</si>
  <si>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</si>
  <si>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</si>
  <si>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</si>
  <si>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</si>
  <si>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</si>
  <si>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</si>
  <si>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</si>
  <si>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</si>
  <si>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</si>
  <si>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</si>
  <si>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</si>
  <si>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</si>
  <si>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</si>
  <si>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</si>
  <si>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</si>
  <si>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</si>
  <si>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</si>
  <si>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</si>
  <si>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</si>
  <si>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</si>
  <si>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</si>
  <si>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</si>
  <si>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</si>
  <si>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</si>
  <si>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</si>
  <si>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</si>
  <si>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</si>
  <si>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</si>
  <si>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</si>
  <si>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</si>
  <si>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</si>
  <si>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</si>
  <si>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</si>
  <si>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</si>
  <si>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</si>
  <si>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</si>
  <si>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</si>
  <si>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</si>
  <si>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</si>
  <si>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</si>
  <si>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</si>
  <si>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</si>
  <si>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</si>
  <si>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</si>
  <si>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</si>
  <si>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</si>
  <si>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</si>
  <si>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</si>
  <si>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</si>
  <si>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</si>
  <si>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</si>
  <si>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</si>
  <si>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</si>
  <si>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</si>
  <si>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</si>
  <si>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</si>
  <si>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</si>
  <si>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</si>
  <si>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</si>
  <si>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</si>
  <si>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</si>
  <si>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</si>
  <si>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</si>
  <si>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</si>
  <si>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</si>
  <si>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</si>
  <si>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</si>
  <si>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</si>
  <si>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</si>
  <si>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</si>
  <si>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</si>
  <si>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</si>
  <si>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</si>
  <si>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</si>
  <si>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</si>
  <si>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</si>
  <si>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</si>
  <si>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</si>
  <si>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</si>
  <si>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</si>
  <si>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</si>
  <si>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</si>
  <si>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</si>
  <si>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</si>
  <si>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</si>
  <si>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</si>
  <si>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</si>
  <si>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</si>
  <si>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</si>
  <si>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</si>
  <si>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</si>
  <si>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</si>
  <si>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</si>
  <si>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</si>
  <si>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</si>
  <si>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</si>
  <si>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</si>
  <si>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</si>
  <si>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</si>
  <si>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</si>
  <si>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</si>
  <si>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</si>
  <si>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</si>
  <si>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</si>
  <si>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</si>
  <si>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</si>
  <si>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</si>
  <si>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</si>
  <si>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</si>
  <si>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</si>
  <si>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</si>
  <si>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</si>
  <si>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</si>
  <si>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</si>
  <si>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</si>
  <si>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</si>
  <si>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</si>
  <si>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</si>
  <si>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</si>
  <si>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</si>
  <si>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</si>
  <si>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</si>
  <si>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</si>
  <si>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(positive only for now)</t>
  </si>
  <si>
    <t>global poverty</t>
  </si>
  <si>
    <t>factory farming</t>
  </si>
  <si>
    <t>wild animals</t>
  </si>
  <si>
    <t>sentient simulations</t>
  </si>
  <si>
    <t>far future</t>
  </si>
  <si>
    <t>TODO: I don't know what's a reasonable way to calculate variance here, should use something like Metropolis-Hastings</t>
  </si>
  <si>
    <t>should be 43.27</t>
  </si>
  <si>
    <t>should be 829.78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</si>
</sst>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36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</cellXfs>
  <cellStyles count="13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J62" sqref="J62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196</v>
      </c>
      <c r="G1" s="7" t="s">
        <v>198</v>
      </c>
    </row>
    <row r="2" spans="1:12">
      <c r="K2" t="s">
        <v>195</v>
      </c>
    </row>
    <row r="3" spans="1:12">
      <c r="A3" s="1" t="s">
        <v>153</v>
      </c>
      <c r="H3" t="s">
        <v>164</v>
      </c>
      <c r="I3" t="s">
        <v>109</v>
      </c>
      <c r="J3" t="s">
        <v>34</v>
      </c>
      <c r="K3" s="30" t="s">
        <v>148</v>
      </c>
      <c r="L3" s="30" t="s">
        <v>149</v>
      </c>
    </row>
    <row r="4" spans="1:12">
      <c r="B4" s="30" t="s">
        <v>148</v>
      </c>
      <c r="C4" s="30" t="s">
        <v>149</v>
      </c>
      <c r="D4" s="30" t="s">
        <v>197</v>
      </c>
      <c r="G4" s="37" t="s">
        <v>150</v>
      </c>
      <c r="H4" s="15">
        <v>1</v>
      </c>
      <c r="I4" s="15">
        <v>0.1</v>
      </c>
      <c r="J4">
        <f>I4^2</f>
        <v>1.0000000000000002E-2</v>
      </c>
      <c r="K4" s="5" t="e">
        <f>ParetoPosterior(median,alpha,H4,J4)</f>
        <v>#VALUE!</v>
      </c>
      <c r="L4" s="5" t="e">
        <f>LognormPosterior(mu,sigma,H4,J4)</f>
        <v>#VALUE!</v>
      </c>
    </row>
    <row r="5" spans="1:12">
      <c r="A5" s="30" t="s">
        <v>150</v>
      </c>
      <c r="B5" s="5">
        <f>GiveDirectly!B14</f>
        <v>0.99999999999999978</v>
      </c>
      <c r="C5" s="5">
        <f>GiveDirectly!B15</f>
        <v>1.2664806054928706</v>
      </c>
      <c r="D5" s="5">
        <f>C5/$C$5</f>
        <v>1</v>
      </c>
      <c r="G5" s="29" t="s">
        <v>162</v>
      </c>
      <c r="H5" s="15">
        <v>11</v>
      </c>
      <c r="I5" s="15">
        <v>0.3</v>
      </c>
      <c r="J5">
        <f t="shared" ref="J5" si="0">I5^2</f>
        <v>0.09</v>
      </c>
      <c r="K5" s="5" t="e">
        <f>ParetoPosterior(median,alpha,H5,J5)</f>
        <v>#VALUE!</v>
      </c>
      <c r="L5" s="5" t="e">
        <f>LognormPosterior(mu,sigma,H5,J5)</f>
        <v>#VALUE!</v>
      </c>
    </row>
    <row r="6" spans="1:12">
      <c r="A6" s="30" t="s">
        <v>151</v>
      </c>
      <c r="B6" s="5"/>
      <c r="C6" s="5">
        <f>MAX('Veg Ads'!H7,'Veg Ads'!M10,'Veg Ads'!H22,'Veg Ads'!H34,'Veg Ads'!H46)</f>
        <v>838.75795947577285</v>
      </c>
      <c r="D6" s="5">
        <f>C6/C5</f>
        <v>662.27461821206271</v>
      </c>
      <c r="E6" t="s">
        <v>229</v>
      </c>
      <c r="G6" s="29" t="s">
        <v>151</v>
      </c>
      <c r="H6" s="19">
        <f>'Veg Ads'!H5</f>
        <v>4524.9309386995064</v>
      </c>
      <c r="I6" s="4"/>
      <c r="J6">
        <f>'Veg Ads'!I5</f>
        <v>0.59504262895320126</v>
      </c>
      <c r="K6" s="5" t="e">
        <f>ParetoPosterior(median,alpha,H6,J6)</f>
        <v>#VALUE!</v>
      </c>
      <c r="L6" s="5" t="e">
        <f>LognormPosterior(mu,sigma,H6,J6)</f>
        <v>#VALUE!</v>
      </c>
    </row>
    <row r="7" spans="1:12">
      <c r="A7" s="30" t="s">
        <v>230</v>
      </c>
      <c r="B7" s="5"/>
      <c r="C7" s="5" t="e">
        <f>ACE!I17</f>
        <v>#VALUE!</v>
      </c>
      <c r="D7" s="5" t="e">
        <f>C7/$C$5</f>
        <v>#VALUE!</v>
      </c>
      <c r="G7" s="29" t="s">
        <v>163</v>
      </c>
      <c r="H7" s="27">
        <v>22000</v>
      </c>
      <c r="I7" s="15">
        <v>0.7</v>
      </c>
      <c r="J7">
        <f>I7^2</f>
        <v>0.48999999999999994</v>
      </c>
      <c r="K7" s="5" t="e">
        <f>ParetoPosterior(median,alpha,H7,J7)</f>
        <v>#VALUE!</v>
      </c>
      <c r="L7" s="5" t="e">
        <f>LognormPosterior(mu,sigma,H7,J7)</f>
        <v>#VALUE!</v>
      </c>
    </row>
    <row r="8" spans="1:12">
      <c r="A8" s="30" t="s">
        <v>152</v>
      </c>
      <c r="B8" s="5">
        <f>'AI Safety'!B11</f>
        <v>1.1699032688722896E+16</v>
      </c>
      <c r="C8" s="5">
        <f>'AI Safety'!B12</f>
        <v>231.88297248169533</v>
      </c>
      <c r="D8" s="5">
        <f>C8/$C$5</f>
        <v>183.09239910662072</v>
      </c>
      <c r="G8" s="29" t="s">
        <v>152</v>
      </c>
      <c r="H8" s="19">
        <f>'AI Safety'!N4</f>
        <v>1.7155158151574772E+40</v>
      </c>
      <c r="I8" s="4"/>
      <c r="J8">
        <f>'AI Safety'!O4</f>
        <v>6.9972853849616623</v>
      </c>
      <c r="K8" s="5" t="e">
        <f>ParetoPosterior(median,alpha,H8,J8)</f>
        <v>#VALUE!</v>
      </c>
      <c r="L8" s="5" t="e">
        <f>LognormPosterior(mu,sigma,H8,J8)</f>
        <v>#VALUE!</v>
      </c>
    </row>
    <row r="9" spans="1:12">
      <c r="A9" s="30" t="s">
        <v>194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158</v>
      </c>
    </row>
    <row r="13" spans="1:12">
      <c r="B13" s="30" t="s">
        <v>148</v>
      </c>
      <c r="C13" s="30" t="s">
        <v>149</v>
      </c>
      <c r="D13" s="30" t="s">
        <v>197</v>
      </c>
    </row>
    <row r="14" spans="1:12">
      <c r="A14" s="30" t="s">
        <v>150</v>
      </c>
      <c r="B14" s="5">
        <f>GiveDirectly!B19</f>
        <v>0.99999999999999978</v>
      </c>
      <c r="C14" s="5">
        <f>GiveDirectly!B20</f>
        <v>1.2664806054928706</v>
      </c>
      <c r="D14" s="5">
        <f>C14/$C$14</f>
        <v>1</v>
      </c>
    </row>
    <row r="15" spans="1:12">
      <c r="A15" s="30" t="s">
        <v>151</v>
      </c>
      <c r="B15" s="5">
        <f>'Veg Ads'!B27</f>
        <v>551196598527200</v>
      </c>
      <c r="C15" s="5">
        <f>'Veg Ads'!B28</f>
        <v>852.45835328369878</v>
      </c>
      <c r="D15" s="5">
        <f>C15/$C$14</f>
        <v>673.09230760146647</v>
      </c>
    </row>
    <row r="16" spans="1:12">
      <c r="A16" s="30" t="s">
        <v>152</v>
      </c>
      <c r="B16" s="5">
        <f>'AI Safety'!B16</f>
        <v>2.4116564674346573E+18</v>
      </c>
      <c r="C16" s="5">
        <f>'AI Safety'!B17</f>
        <v>252.49740578297065</v>
      </c>
      <c r="D16" s="5">
        <f>C16/$C$14</f>
        <v>199.36934263964301</v>
      </c>
    </row>
    <row r="19" spans="1:4">
      <c r="A19" s="1" t="s">
        <v>205</v>
      </c>
    </row>
    <row r="20" spans="1:4">
      <c r="B20" s="30" t="s">
        <v>148</v>
      </c>
      <c r="C20" s="30" t="s">
        <v>149</v>
      </c>
      <c r="D20" s="30" t="s">
        <v>197</v>
      </c>
    </row>
    <row r="21" spans="1:4">
      <c r="A21" s="30" t="s">
        <v>150</v>
      </c>
      <c r="B21" s="5"/>
      <c r="C21" s="5"/>
      <c r="D21" s="5"/>
    </row>
    <row r="22" spans="1:4">
      <c r="A22" s="30" t="s">
        <v>151</v>
      </c>
      <c r="B22" s="5">
        <f>'Veg Ads'!B27</f>
        <v>551196598527200</v>
      </c>
      <c r="C22" s="5">
        <f>'Veg Ads'!B28</f>
        <v>852.45835328369878</v>
      </c>
      <c r="D22" s="5"/>
    </row>
    <row r="23" spans="1:4">
      <c r="A23" s="30" t="s">
        <v>152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J3" sqref="J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7" t="s">
        <v>6</v>
      </c>
      <c r="E1" s="7" t="s">
        <v>100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N1" s="7" t="s">
        <v>113</v>
      </c>
    </row>
    <row r="2" spans="1:14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2">
        <v>1</v>
      </c>
      <c r="I2" s="11">
        <v>1</v>
      </c>
      <c r="J2" s="11">
        <v>1</v>
      </c>
      <c r="N2" s="30" t="s">
        <v>115</v>
      </c>
    </row>
    <row r="3" spans="1:14">
      <c r="A3" s="5" t="s">
        <v>4</v>
      </c>
      <c r="B3" s="11">
        <v>2</v>
      </c>
      <c r="D3" t="s">
        <v>236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  <c r="N3" s="34" t="s">
        <v>114</v>
      </c>
    </row>
    <row r="4" spans="1:14">
      <c r="N4" s="28" t="s">
        <v>60</v>
      </c>
    </row>
    <row r="5" spans="1:14" ht="20">
      <c r="A5" s="7" t="s">
        <v>17</v>
      </c>
      <c r="N5" t="s">
        <v>147</v>
      </c>
    </row>
    <row r="6" spans="1:14">
      <c r="A6" s="14" t="s">
        <v>7</v>
      </c>
      <c r="B6" s="12">
        <v>0.2</v>
      </c>
      <c r="C6" s="14" t="s">
        <v>16</v>
      </c>
      <c r="D6" s="12">
        <v>0.7</v>
      </c>
      <c r="N6" s="29" t="s">
        <v>177</v>
      </c>
    </row>
    <row r="8" spans="1:14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</row>
    <row r="9" spans="1:14">
      <c r="A9" s="14"/>
      <c r="B9" s="12"/>
      <c r="C9" s="14"/>
      <c r="D9" s="12"/>
      <c r="E9" s="14" t="s">
        <v>11</v>
      </c>
      <c r="F9" s="13">
        <v>0.4</v>
      </c>
    </row>
    <row r="10" spans="1:14">
      <c r="E10" s="14" t="s">
        <v>10</v>
      </c>
      <c r="F10" s="13">
        <v>0.3</v>
      </c>
    </row>
    <row r="11" spans="1:14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4">
      <c r="C12" s="14" t="s">
        <v>14</v>
      </c>
      <c r="D12" s="12">
        <v>0.75</v>
      </c>
    </row>
    <row r="13" spans="1:14">
      <c r="C13" s="14" t="s">
        <v>15</v>
      </c>
      <c r="D13" s="12">
        <v>0.05</v>
      </c>
    </row>
    <row r="15" spans="1:14" ht="20">
      <c r="A15" s="7" t="s">
        <v>41</v>
      </c>
    </row>
    <row r="16" spans="1:14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232</v>
      </c>
      <c r="L18" s="3"/>
      <c r="N18" s="29" t="s">
        <v>30</v>
      </c>
      <c r="O18" s="27">
        <v>20000000000</v>
      </c>
      <c r="P18" s="3"/>
    </row>
    <row r="19" spans="1:16">
      <c r="A19" s="29" t="s">
        <v>159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233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231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234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169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10" sqref="L10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0" t="s">
        <v>137</v>
      </c>
      <c r="L11" s="5">
        <f>SUMPRODUCT(L3:L7,N3:N7,P3:P7)</f>
        <v>-1.4507469750550415E+40</v>
      </c>
      <c r="M11" s="5">
        <f>MAX(M3:M7)</f>
        <v>5.1818248764342734</v>
      </c>
      <c r="Q11" s="4"/>
      <c r="R11" s="4"/>
    </row>
    <row r="12" spans="1:18" ht="15" customHeight="1">
      <c r="B12" s="4"/>
      <c r="K12" s="30" t="s">
        <v>138</v>
      </c>
      <c r="L12" s="5">
        <f>SUMPRODUCT(L8:L10,N8:N10,P8:P10)</f>
        <v>4.7410447820074434E+46</v>
      </c>
      <c r="M12" s="5">
        <f>MAX(M8:M10)</f>
        <v>4.5113686573257059</v>
      </c>
      <c r="Q12" s="4"/>
      <c r="R12" s="4"/>
    </row>
    <row r="13" spans="1:18" ht="15" customHeight="1">
      <c r="F13" s="1" t="s">
        <v>61</v>
      </c>
      <c r="K13" s="33" t="s">
        <v>136</v>
      </c>
      <c r="L13" s="5">
        <f>SUMPRODUCT(L3:L10,P3:P10,N3:N10)</f>
        <v>4.7410433312604684E+46</v>
      </c>
      <c r="M13" s="5">
        <f>MAX(M3:M10)</f>
        <v>5.1818248764342734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243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  <c r="P16">
        <f>SQRT(M3)</f>
        <v>1.6525932685489575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3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4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F54" sqref="F54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167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201</v>
      </c>
      <c r="G3">
        <v>1</v>
      </c>
      <c r="H3">
        <f>I3^2</f>
        <v>6.25E-2</v>
      </c>
      <c r="I3">
        <v>0.25</v>
      </c>
    </row>
    <row r="4" spans="1:16">
      <c r="A4" s="4" t="s">
        <v>112</v>
      </c>
      <c r="B4" s="19">
        <f>1000/C3*interest_rate</f>
        <v>5.0000000000000008E-11</v>
      </c>
      <c r="C4" s="19">
        <f>1000/B3*interest_rate</f>
        <v>1.0000000000000001E-9</v>
      </c>
      <c r="F4" s="34" t="s">
        <v>99</v>
      </c>
      <c r="G4" s="35">
        <f>ParetoPosterior(median,alpha,G3:H3)</f>
        <v>0.99999999999999978</v>
      </c>
      <c r="H4" s="4"/>
    </row>
    <row r="5" spans="1:16">
      <c r="A5" s="29" t="s">
        <v>116</v>
      </c>
      <c r="B5" s="15">
        <v>0.1</v>
      </c>
      <c r="C5" s="15">
        <v>0.5</v>
      </c>
      <c r="F5" s="34" t="s">
        <v>110</v>
      </c>
      <c r="G5" s="35">
        <f>LognormPosterior(mu_global_poverty,sigma_global_poverty,G3:H3)</f>
        <v>1.2664806054928706</v>
      </c>
      <c r="H5" s="4"/>
    </row>
    <row r="6" spans="1:16">
      <c r="A6" s="29" t="s">
        <v>117</v>
      </c>
      <c r="B6" s="15">
        <v>1.7999999999999999E-2</v>
      </c>
      <c r="C6" s="15">
        <v>0.18</v>
      </c>
    </row>
    <row r="7" spans="1:16">
      <c r="A7" s="29" t="s">
        <v>118</v>
      </c>
      <c r="B7" s="15">
        <v>0.02</v>
      </c>
      <c r="C7" s="15">
        <v>0.2</v>
      </c>
    </row>
    <row r="8" spans="1:16">
      <c r="F8" s="1" t="s">
        <v>111</v>
      </c>
    </row>
    <row r="9" spans="1:16">
      <c r="G9" t="s">
        <v>2</v>
      </c>
      <c r="H9" t="s">
        <v>34</v>
      </c>
      <c r="J9" s="1" t="s">
        <v>143</v>
      </c>
      <c r="K9" t="s">
        <v>2</v>
      </c>
      <c r="L9" t="s">
        <v>34</v>
      </c>
      <c r="N9" s="1" t="s">
        <v>155</v>
      </c>
    </row>
    <row r="10" spans="1:16">
      <c r="F10" t="s">
        <v>116</v>
      </c>
      <c r="G10">
        <f>GEOMEAN($B$5,$C$5)</f>
        <v>0.22360679774997896</v>
      </c>
      <c r="H10">
        <f>LogVariance($B$5,$C$5)</f>
        <v>0.27270459618181209</v>
      </c>
      <c r="J10" t="s">
        <v>137</v>
      </c>
      <c r="K10">
        <f>VLOOKUP(J10,'EV of Far Future'!$K$11:$M$13,2,FALSE)</f>
        <v>-1.4507469750550415E+40</v>
      </c>
      <c r="L10">
        <f>VLOOKUP(J10,'EV of Far Future'!$K$11:$M$13,3,FALSE)</f>
        <v>5.1818248764342734</v>
      </c>
      <c r="N10" t="s">
        <v>138</v>
      </c>
      <c r="O10">
        <f>VLOOKUP(N10,'EV of Far Future'!$K$11:$M$13,2,FALSE)</f>
        <v>4.7410447820074434E+46</v>
      </c>
      <c r="P10">
        <f>VLOOKUP(N10,'EV of Far Future'!$K$11:$M$13,3,FALSE)</f>
        <v>4.5113686573257059</v>
      </c>
    </row>
    <row r="11" spans="1:16">
      <c r="F11" s="4" t="s">
        <v>117</v>
      </c>
      <c r="G11">
        <f>GEOMEAN($B$6,$C$6)</f>
        <v>5.6920997883030823E-2</v>
      </c>
      <c r="H11">
        <f>LogVariance($B$6,$C$6)</f>
        <v>0.39015207303618948</v>
      </c>
      <c r="J11" t="s">
        <v>154</v>
      </c>
      <c r="K11">
        <f>ABS(PRODUCT($G$10:$G$12)*K10)</f>
        <v>4.12889827479607E+28</v>
      </c>
      <c r="L11">
        <f>SUM($H$10:$H$12)+L10</f>
        <v>6.3522810955428417</v>
      </c>
      <c r="N11" t="s">
        <v>154</v>
      </c>
      <c r="O11">
        <f>ABS(PRODUCT($G$10:$G$12)*O10)</f>
        <v>1.3493250000000001E+35</v>
      </c>
      <c r="P11">
        <f>SUM($H$10:$H$12)+P10</f>
        <v>5.6818248764342743</v>
      </c>
    </row>
    <row r="12" spans="1:16" ht="20">
      <c r="A12" s="7" t="s">
        <v>67</v>
      </c>
      <c r="F12" t="s">
        <v>112</v>
      </c>
      <c r="G12">
        <f>GEOMEAN($B$4,$C$4)</f>
        <v>2.2360679774997899E-10</v>
      </c>
      <c r="H12">
        <f>LogVariance($B$4,$C$4)</f>
        <v>0.50759954989056688</v>
      </c>
      <c r="J12" s="34" t="s">
        <v>99</v>
      </c>
      <c r="K12" s="35"/>
      <c r="N12" s="34" t="s">
        <v>99</v>
      </c>
      <c r="O12" s="35"/>
    </row>
    <row r="13" spans="1:16">
      <c r="A13" s="1" t="s">
        <v>156</v>
      </c>
      <c r="F13" t="s">
        <v>136</v>
      </c>
      <c r="G13">
        <f>VLOOKUP(F13,'EV of Far Future'!$K$11:$M$13,2,FALSE)</f>
        <v>4.7410433312604684E+46</v>
      </c>
      <c r="H13">
        <f>VLOOKUP(F13,'EV of Far Future'!$K$11:$M$13,3,FALSE)</f>
        <v>5.1818248764342734</v>
      </c>
      <c r="J13" s="34" t="s">
        <v>110</v>
      </c>
      <c r="K13" s="35"/>
      <c r="N13" s="34" t="s">
        <v>110</v>
      </c>
      <c r="O13" s="35"/>
    </row>
    <row r="14" spans="1:16">
      <c r="A14" s="30" t="s">
        <v>107</v>
      </c>
      <c r="B14" s="5">
        <f>G15-G26+G4</f>
        <v>0.99999999999999978</v>
      </c>
      <c r="F14" s="28" t="s">
        <v>60</v>
      </c>
      <c r="G14" s="26">
        <f>PRODUCT(G10:G13)</f>
        <v>1.3493245871101728E+35</v>
      </c>
      <c r="H14" s="26">
        <f>SUM(H10:H13)</f>
        <v>6.3522810955428417</v>
      </c>
    </row>
    <row r="15" spans="1:16">
      <c r="A15" s="30" t="s">
        <v>108</v>
      </c>
      <c r="B15" s="5">
        <f>G16-G27+G5</f>
        <v>1.2664806054928706</v>
      </c>
      <c r="F15" s="34" t="s">
        <v>99</v>
      </c>
      <c r="G15" s="35"/>
    </row>
    <row r="16" spans="1:16">
      <c r="F16" s="34" t="s">
        <v>110</v>
      </c>
      <c r="G16" s="35"/>
    </row>
    <row r="18" spans="1:16">
      <c r="A18" s="1" t="s">
        <v>157</v>
      </c>
    </row>
    <row r="19" spans="1:16">
      <c r="A19" s="30" t="s">
        <v>107</v>
      </c>
      <c r="B19" s="5">
        <f>(O12-K12)-(O23-K23)+G4</f>
        <v>0.99999999999999978</v>
      </c>
      <c r="F19" s="1" t="s">
        <v>119</v>
      </c>
    </row>
    <row r="20" spans="1:16">
      <c r="A20" s="30" t="s">
        <v>108</v>
      </c>
      <c r="B20" s="5">
        <f>(O13-K13)-(O24-K24)+G5</f>
        <v>1.2664806054928706</v>
      </c>
      <c r="G20" t="s">
        <v>2</v>
      </c>
      <c r="H20" t="s">
        <v>34</v>
      </c>
      <c r="J20" s="1" t="s">
        <v>143</v>
      </c>
      <c r="K20" t="s">
        <v>2</v>
      </c>
      <c r="L20" t="s">
        <v>34</v>
      </c>
      <c r="N20" s="1" t="s">
        <v>155</v>
      </c>
    </row>
    <row r="21" spans="1:16">
      <c r="F21" t="s">
        <v>116</v>
      </c>
      <c r="G21">
        <f>GEOMEAN($B$5,$C$5)</f>
        <v>0.22360679774997896</v>
      </c>
      <c r="H21">
        <f>LogVariance($B$5,$C$5)</f>
        <v>0.27270459618181209</v>
      </c>
      <c r="J21" t="s">
        <v>137</v>
      </c>
      <c r="K21">
        <f>VLOOKUP(J21,'EV of Far Future'!$K$11:$M$13,2,FALSE)</f>
        <v>-1.4507469750550415E+40</v>
      </c>
      <c r="L21">
        <f>VLOOKUP(J21,'EV of Far Future'!$K$11:$M$13,3,FALSE)</f>
        <v>5.1818248764342734</v>
      </c>
      <c r="N21" t="s">
        <v>138</v>
      </c>
      <c r="O21">
        <f>VLOOKUP(N21,'EV of Far Future'!$K$11:$M$13,2,FALSE)</f>
        <v>4.7410447820074434E+46</v>
      </c>
      <c r="P21">
        <f>VLOOKUP(N21,'EV of Far Future'!$K$11:$M$13,3,FALSE)</f>
        <v>4.5113686573257059</v>
      </c>
    </row>
    <row r="22" spans="1:16">
      <c r="F22" s="4" t="s">
        <v>118</v>
      </c>
      <c r="G22">
        <f>GEOMEAN($B$7,$C$7)</f>
        <v>6.3245553203367583E-2</v>
      </c>
      <c r="H22">
        <f>LogVariance($B$7,$C$7)</f>
        <v>0.39015207303618948</v>
      </c>
      <c r="J22" t="s">
        <v>154</v>
      </c>
      <c r="K22">
        <f>ABS(PRODUCT($G$10:$G$12)*K21)</f>
        <v>4.12889827479607E+28</v>
      </c>
      <c r="L22">
        <f>SUM($H$21:$H$23)+L21</f>
        <v>6.3522810955428417</v>
      </c>
      <c r="N22" t="s">
        <v>154</v>
      </c>
      <c r="O22">
        <f>ABS(PRODUCT($G$10:$G$12)*O21)</f>
        <v>1.3493250000000001E+35</v>
      </c>
      <c r="P22">
        <f>SUM($H$21:$H$23)+P21</f>
        <v>5.6818248764342743</v>
      </c>
    </row>
    <row r="23" spans="1:16">
      <c r="A23" s="1" t="s">
        <v>205</v>
      </c>
      <c r="F23" t="s">
        <v>112</v>
      </c>
      <c r="G23">
        <f>GEOMEAN($B$4,$C$4)</f>
        <v>2.2360679774997899E-10</v>
      </c>
      <c r="H23">
        <f>LogVariance($B$4,$C$4)</f>
        <v>0.50759954989056688</v>
      </c>
      <c r="J23" s="34" t="s">
        <v>99</v>
      </c>
      <c r="K23" s="35"/>
      <c r="N23" s="34" t="s">
        <v>99</v>
      </c>
      <c r="O23" s="35"/>
    </row>
    <row r="24" spans="1:16">
      <c r="A24" t="s">
        <v>206</v>
      </c>
      <c r="F24" t="s">
        <v>136</v>
      </c>
      <c r="G24">
        <f>VLOOKUP(F24,'EV of Far Future'!$K$11:$M$13,2,FALSE)</f>
        <v>4.7410433312604684E+46</v>
      </c>
      <c r="H24">
        <f>VLOOKUP(F24,'EV of Far Future'!$K$11:$M$13,3,FALSE)</f>
        <v>5.1818248764342734</v>
      </c>
      <c r="J24" s="34" t="s">
        <v>110</v>
      </c>
      <c r="K24" s="35"/>
      <c r="N24" s="34" t="s">
        <v>110</v>
      </c>
      <c r="O24" s="35"/>
    </row>
    <row r="25" spans="1:16">
      <c r="F25" s="28" t="s">
        <v>60</v>
      </c>
      <c r="G25" s="26">
        <f>PRODUCT(G21:G24)</f>
        <v>1.4992495412335253E+35</v>
      </c>
      <c r="H25" s="26">
        <f>SUM(H21:H24)</f>
        <v>6.3522810955428417</v>
      </c>
    </row>
    <row r="26" spans="1:16">
      <c r="F26" s="34" t="s">
        <v>99</v>
      </c>
      <c r="G26" s="35"/>
    </row>
    <row r="27" spans="1:16">
      <c r="F27" s="34" t="s">
        <v>110</v>
      </c>
      <c r="G27" s="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5"/>
  <sheetViews>
    <sheetView tabSelected="1" workbookViewId="0">
      <selection activeCell="K52" sqref="K52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13" max="13" width="12.1640625" bestFit="1" customWidth="1"/>
  </cols>
  <sheetData>
    <row r="1" spans="1:14" ht="20">
      <c r="A1" s="7" t="s">
        <v>167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160</v>
      </c>
      <c r="B3" s="15">
        <v>0.7</v>
      </c>
      <c r="C3" s="27">
        <v>13</v>
      </c>
      <c r="F3" s="8" t="s">
        <v>165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161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4" t="s">
        <v>99</v>
      </c>
      <c r="H6" s="35">
        <f>ParetoPosterior(median,alpha,H5:I5)</f>
        <v>61.184929894216673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4" t="s">
        <v>87</v>
      </c>
      <c r="H7" s="36">
        <f>LognormPosterior(mu_factory_farming,sigma_factory_farming,H5:I5)</f>
        <v>13.700393807925924</v>
      </c>
      <c r="I7" t="s">
        <v>244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9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99</v>
      </c>
      <c r="M9" s="35">
        <f>ParetoPosterior(median,alpha,M8:N8)</f>
        <v>551196598527138.81</v>
      </c>
    </row>
    <row r="10" spans="1:14">
      <c r="L10" s="34" t="s">
        <v>87</v>
      </c>
      <c r="M10" s="36">
        <f>LognormPosterior(mu_factory_farming,sigma_factory_farming,M8:N8)</f>
        <v>838.75795947577285</v>
      </c>
      <c r="N10" s="39" t="s">
        <v>245</v>
      </c>
    </row>
    <row r="11" spans="1:14" ht="20">
      <c r="A11" s="7" t="s">
        <v>67</v>
      </c>
      <c r="M11" s="40"/>
    </row>
    <row r="12" spans="1:14">
      <c r="A12" s="1" t="s">
        <v>153</v>
      </c>
      <c r="B12" t="s">
        <v>2</v>
      </c>
      <c r="C12" t="s">
        <v>34</v>
      </c>
      <c r="M12" s="3"/>
    </row>
    <row r="13" spans="1:14">
      <c r="A13" t="s">
        <v>237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2.2206524446657558E+31</v>
      </c>
      <c r="C16">
        <f>I32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PRODUCT(M15:M19)</f>
        <v>5.617855693411855E+27</v>
      </c>
      <c r="N20" s="26">
        <f>SUM(N15:N19)</f>
        <v>4.0650043203329673</v>
      </c>
    </row>
    <row r="21" spans="1:14">
      <c r="A21" s="30" t="s">
        <v>107</v>
      </c>
      <c r="B21" s="5"/>
      <c r="G21" s="34"/>
      <c r="H21" s="35"/>
      <c r="L21" s="34"/>
      <c r="M21" s="35"/>
    </row>
    <row r="22" spans="1:14">
      <c r="A22" s="30" t="s">
        <v>108</v>
      </c>
      <c r="B22" s="5"/>
      <c r="G22" s="34"/>
      <c r="H22" s="36"/>
      <c r="L22" s="34"/>
      <c r="M22" s="36"/>
    </row>
    <row r="23" spans="1:14">
      <c r="B23" s="4"/>
      <c r="H23" s="40"/>
      <c r="M23" s="40"/>
    </row>
    <row r="24" spans="1:14">
      <c r="B24" s="4"/>
      <c r="M24" s="3"/>
    </row>
    <row r="25" spans="1:14">
      <c r="G25" s="1" t="s">
        <v>103</v>
      </c>
      <c r="L25" s="1" t="s">
        <v>106</v>
      </c>
    </row>
    <row r="26" spans="1:14">
      <c r="A26" s="1" t="s">
        <v>205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107</v>
      </c>
      <c r="B27" s="5">
        <f>H6+M9+H21+H33+H45-(M21+M33+M45)</f>
        <v>551196598527200</v>
      </c>
      <c r="D27" s="4"/>
      <c r="G27" t="s">
        <v>93</v>
      </c>
      <c r="H27">
        <f>VLOOKUP($G27,'EV of Far Future'!$O$3:$P$10,2,FALSE)</f>
        <v>0.22399999999999998</v>
      </c>
      <c r="I27">
        <v>0</v>
      </c>
      <c r="L27" t="s">
        <v>93</v>
      </c>
      <c r="M27">
        <f>VLOOKUP($G27,'EV of Far Future'!$O$3:$P$10,2,FALSE)</f>
        <v>0.22399999999999998</v>
      </c>
      <c r="N27">
        <v>0</v>
      </c>
    </row>
    <row r="28" spans="1:14">
      <c r="A28" s="30" t="s">
        <v>108</v>
      </c>
      <c r="B28" s="5">
        <f>H7+M10+H22+H34+H46-(M22+M34+M46)</f>
        <v>852.45835328369878</v>
      </c>
      <c r="D28" s="4"/>
      <c r="G28" s="4" t="s">
        <v>88</v>
      </c>
      <c r="H28" s="2">
        <v>0.05</v>
      </c>
      <c r="I28">
        <v>0</v>
      </c>
      <c r="L28" s="4" t="s">
        <v>105</v>
      </c>
      <c r="M28" s="2">
        <v>0.01</v>
      </c>
      <c r="N28">
        <v>0</v>
      </c>
    </row>
    <row r="29" spans="1:14">
      <c r="D29" s="4"/>
      <c r="G29" s="4" t="s">
        <v>75</v>
      </c>
      <c r="H29">
        <f>VLOOKUP($G29,'EV of Far Future'!$K$3:$N$10,2,FALSE)</f>
        <v>6.324555320336757E+40</v>
      </c>
      <c r="I29">
        <f>VLOOKUP($G29,'EV of Far Future'!$K$3:$N$10,3,FALSE)</f>
        <v>4.0113686573257059</v>
      </c>
      <c r="L29" s="4" t="s">
        <v>75</v>
      </c>
      <c r="M29">
        <f>VLOOKUP($G29,'EV of Far Future'!$K$3:$N$10,2,FALSE)</f>
        <v>6.324555320336757E+40</v>
      </c>
      <c r="N29">
        <f>VLOOKUP($G29,'EV of Far Future'!$K$3:$N$10,3,FALSE)</f>
        <v>4.0113686573257059</v>
      </c>
    </row>
    <row r="30" spans="1:14">
      <c r="G30" s="4" t="s">
        <v>84</v>
      </c>
      <c r="H30">
        <f>1/factory_farmed_animals</f>
        <v>5.0000000000000002E-11</v>
      </c>
      <c r="I30">
        <v>0</v>
      </c>
      <c r="L30" s="4" t="s">
        <v>84</v>
      </c>
      <c r="M30">
        <f>1/factory_farmed_animals</f>
        <v>5.0000000000000002E-11</v>
      </c>
      <c r="N30">
        <v>0</v>
      </c>
    </row>
    <row r="31" spans="1:14">
      <c r="G31" s="4" t="s">
        <v>121</v>
      </c>
      <c r="H31">
        <f>$D$8</f>
        <v>626.99282292543035</v>
      </c>
      <c r="I31">
        <f>$E$8</f>
        <v>0.54378773604345199</v>
      </c>
      <c r="L31" s="4" t="s">
        <v>121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2.2206524446657558E+31</v>
      </c>
      <c r="I32" s="26">
        <f>SUM(I27:I31)</f>
        <v>4.5551563933691579</v>
      </c>
      <c r="L32" s="28" t="s">
        <v>60</v>
      </c>
      <c r="M32" s="26">
        <f>PRODUCT(M27:M31)</f>
        <v>4.4413048893315115E+30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/>
      <c r="M35" s="41"/>
    </row>
    <row r="37" spans="7:14">
      <c r="G37" s="1" t="s">
        <v>98</v>
      </c>
      <c r="L37" s="1" t="s">
        <v>200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94</v>
      </c>
      <c r="H39">
        <f>VLOOKUP($G39,'EV of Far Future'!$O$3:$P$10,2,FALSE)</f>
        <v>0.16799999999999998</v>
      </c>
      <c r="I39">
        <v>0</v>
      </c>
      <c r="L39" t="s">
        <v>94</v>
      </c>
      <c r="M39">
        <f>VLOOKUP($G39,'EV of Far Future'!$O$3:$P$10,2,FALSE)</f>
        <v>0.16799999999999998</v>
      </c>
      <c r="N39">
        <v>0</v>
      </c>
    </row>
    <row r="40" spans="7:14">
      <c r="G40" s="4" t="s">
        <v>88</v>
      </c>
      <c r="H40" s="2">
        <v>0.1</v>
      </c>
      <c r="I40">
        <v>0</v>
      </c>
      <c r="L40" s="4" t="s">
        <v>105</v>
      </c>
      <c r="M40" s="2">
        <v>0.01</v>
      </c>
      <c r="N40">
        <v>0</v>
      </c>
    </row>
    <row r="41" spans="7:14">
      <c r="G41" s="4" t="s">
        <v>76</v>
      </c>
      <c r="H41">
        <f>VLOOKUP($G41,'EV of Far Future'!$K$3:$N$10,2,FALSE)</f>
        <v>1.9999999999999993E+39</v>
      </c>
      <c r="I41">
        <f>VLOOKUP($G41,'EV of Far Future'!$K$3:$N$10,3,FALSE)</f>
        <v>5.1818248764342734</v>
      </c>
      <c r="L41" s="4" t="s">
        <v>76</v>
      </c>
      <c r="M41">
        <f>VLOOKUP($G41,'EV of Far Future'!$K$3:$N$10,2,FALSE)</f>
        <v>1.9999999999999993E+39</v>
      </c>
      <c r="N41">
        <f>VLOOKUP($G41,'EV of Far Future'!$K$3:$N$10,3,FALSE)</f>
        <v>5.1818248764342734</v>
      </c>
    </row>
    <row r="42" spans="7:14">
      <c r="G42" s="4" t="s">
        <v>84</v>
      </c>
      <c r="H42">
        <f>1/factory_farmed_animals</f>
        <v>5.0000000000000002E-11</v>
      </c>
      <c r="I42">
        <v>0</v>
      </c>
      <c r="L42" s="4" t="s">
        <v>84</v>
      </c>
      <c r="M42">
        <f>1/factory_farmed_animals</f>
        <v>5.0000000000000002E-11</v>
      </c>
      <c r="N42">
        <v>0</v>
      </c>
    </row>
    <row r="43" spans="7:14">
      <c r="G43" s="4" t="s">
        <v>121</v>
      </c>
      <c r="H43">
        <f>$D$8</f>
        <v>626.99282292543035</v>
      </c>
      <c r="I43">
        <f>$E$8</f>
        <v>0.54378773604345199</v>
      </c>
      <c r="L43" s="4" t="s">
        <v>121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1.0533479425147224E+29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/>
    </row>
    <row r="47" spans="7:14">
      <c r="H47" s="40"/>
      <c r="M47" s="40"/>
    </row>
    <row r="48" spans="7:14">
      <c r="M48" s="3"/>
    </row>
    <row r="50" spans="9:11">
      <c r="I50" s="3"/>
    </row>
    <row r="52" spans="9:11">
      <c r="I52">
        <v>4000</v>
      </c>
      <c r="J52">
        <v>0.6</v>
      </c>
      <c r="K52">
        <f>LognormPosterior(mu_factory_farming,sigma_factory_farming,I52:J52)</f>
        <v>12.842911477619484</v>
      </c>
    </row>
    <row r="53" spans="9:11">
      <c r="I53" s="45">
        <v>4000</v>
      </c>
      <c r="J53">
        <v>0.6</v>
      </c>
      <c r="K53">
        <f>LognormPosterior(mu_factory_farming,sigma_factory_farming,I53:J53)</f>
        <v>12.842911477619484</v>
      </c>
    </row>
    <row r="55" spans="9:11">
      <c r="I55">
        <f>LognormPosterior(mu_factory_farming,sigma_factory_farming,I52:J53)</f>
        <v>495.14379905589078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207</v>
      </c>
      <c r="H1" s="7" t="s">
        <v>186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208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212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209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213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210</v>
      </c>
      <c r="B5" s="15">
        <v>10</v>
      </c>
      <c r="C5" s="15">
        <v>10</v>
      </c>
      <c r="H5" t="s">
        <v>216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211</v>
      </c>
      <c r="B6" s="15">
        <v>30000</v>
      </c>
      <c r="C6" s="15">
        <v>60000</v>
      </c>
      <c r="H6" s="28" t="s">
        <v>217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235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218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214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219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178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226</v>
      </c>
      <c r="I9">
        <f>I6*$D$7</f>
        <v>3.9513714693583537E+29</v>
      </c>
      <c r="J9" s="4">
        <f>J6+$E$7</f>
        <v>3.7644418449584185</v>
      </c>
    </row>
    <row r="10" spans="1:12">
      <c r="H10" s="4" t="s">
        <v>228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227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215</v>
      </c>
      <c r="I12" s="35" t="e">
        <f>LognormPosterior(mu,sigma,I5,J5)</f>
        <v>#VALUE!</v>
      </c>
    </row>
    <row r="13" spans="1:12">
      <c r="H13" s="34" t="s">
        <v>220</v>
      </c>
      <c r="I13" s="35" t="e">
        <f>LognormPosterior(mu,sigma,I9,J9)</f>
        <v>#VALUE!</v>
      </c>
    </row>
    <row r="14" spans="1:12">
      <c r="H14" s="34" t="s">
        <v>221</v>
      </c>
      <c r="I14" s="35" t="e">
        <f>LognormPosterior(mu,sigma,I10,J10)</f>
        <v>#VALUE!</v>
      </c>
    </row>
    <row r="15" spans="1:12">
      <c r="H15" s="34" t="s">
        <v>222</v>
      </c>
      <c r="I15" s="35" t="e">
        <f>LognormPosterior(mu,sigma,I11,J11)</f>
        <v>#VALUE!</v>
      </c>
    </row>
    <row r="16" spans="1:12">
      <c r="H16" s="30" t="s">
        <v>223</v>
      </c>
      <c r="I16" s="5" t="e">
        <f>I13-$I$12</f>
        <v>#VALUE!</v>
      </c>
    </row>
    <row r="17" spans="8:9">
      <c r="H17" s="30" t="s">
        <v>224</v>
      </c>
      <c r="I17" s="5" t="e">
        <f>I14-$I$12</f>
        <v>#VALUE!</v>
      </c>
    </row>
    <row r="18" spans="8:9">
      <c r="H18" s="30" t="s">
        <v>225</v>
      </c>
      <c r="I18" s="5" t="e">
        <f>I15-$I$12</f>
        <v>#VALUE!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O9" sqref="O9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139</v>
      </c>
      <c r="B1" t="s">
        <v>168</v>
      </c>
      <c r="G1" s="1" t="s">
        <v>134</v>
      </c>
      <c r="H1" t="s">
        <v>168</v>
      </c>
      <c r="M1" s="1" t="s">
        <v>145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166</v>
      </c>
      <c r="M3" s="4" t="s">
        <v>136</v>
      </c>
      <c r="N3">
        <f>ABS(VLOOKUP(M3,'EV of Far Future'!$K$11:$M$13,2,FALSE))</f>
        <v>4.7410433312604684E+46</v>
      </c>
      <c r="O3">
        <f>VLOOKUP(M3,'EV of Far Future'!$K$11:$M$13,3,FALSE)</f>
        <v>5.1818248764342734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6.9972853849616623</v>
      </c>
    </row>
    <row r="5" spans="1:15">
      <c r="G5" s="4" t="s">
        <v>176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144</v>
      </c>
    </row>
    <row r="8" spans="1:15">
      <c r="G8" s="4" t="s">
        <v>140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67</v>
      </c>
      <c r="M9" s="4" t="s">
        <v>137</v>
      </c>
      <c r="N9">
        <f>ABS(VLOOKUP(M9,'EV of Far Future'!$K$11:$M$13,2,FALSE))</f>
        <v>1.4507469750550415E+40</v>
      </c>
      <c r="O9">
        <f>VLOOKUP(M9,'EV of Far Future'!$K$11:$M$13,3,FALSE)</f>
        <v>5.1818248764342734</v>
      </c>
    </row>
    <row r="10" spans="1:15">
      <c r="A10" s="1" t="s">
        <v>153</v>
      </c>
      <c r="M10" s="28" t="s">
        <v>60</v>
      </c>
      <c r="N10" s="26">
        <f>N9*$J$20</f>
        <v>5.2494339443995739E+33</v>
      </c>
      <c r="O10" s="26">
        <f>O9+$K$20</f>
        <v>6.9972853849616623</v>
      </c>
    </row>
    <row r="11" spans="1:15">
      <c r="A11" s="30" t="s">
        <v>99</v>
      </c>
      <c r="B11" s="5">
        <f>ParetoPosterior(median,alpha,N4:O4)</f>
        <v>1.1699032688722896E+16</v>
      </c>
      <c r="G11" s="1" t="s">
        <v>135</v>
      </c>
      <c r="H11" s="8" t="s">
        <v>168</v>
      </c>
      <c r="M11" s="34" t="s">
        <v>99</v>
      </c>
      <c r="N11" s="35">
        <f>ParetoPosterior(median,alpha,N10:O10)</f>
        <v>5729166354.0011778</v>
      </c>
    </row>
    <row r="12" spans="1:15">
      <c r="A12" s="30" t="s">
        <v>110</v>
      </c>
      <c r="B12" s="5">
        <f>LognormPosterior(mu_far_future,sigma_far_future,N4:O4)</f>
        <v>231.88297248169533</v>
      </c>
      <c r="H12" t="s">
        <v>0</v>
      </c>
      <c r="I12" t="s">
        <v>1</v>
      </c>
      <c r="J12" t="s">
        <v>2</v>
      </c>
      <c r="K12" t="s">
        <v>3</v>
      </c>
      <c r="M12" s="34" t="s">
        <v>110</v>
      </c>
      <c r="N12" s="35">
        <f>LognormPosterior(mu_far_future,sigma_far_future,N10:O10)</f>
        <v>111.30583240794857</v>
      </c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158</v>
      </c>
      <c r="G15" t="s">
        <v>141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99</v>
      </c>
      <c r="B16" s="5">
        <f>N19-N11</f>
        <v>2.4116564674346573E+18</v>
      </c>
      <c r="G16" t="s">
        <v>140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110</v>
      </c>
      <c r="B17" s="5">
        <f>N20-N12</f>
        <v>252.49740578297065</v>
      </c>
      <c r="M17" s="4" t="s">
        <v>138</v>
      </c>
      <c r="N17">
        <f>VLOOKUP(M17,'EV of Far Future'!$K$11:$M$13,2,FALSE)</f>
        <v>4.7410447820074434E+46</v>
      </c>
      <c r="O17">
        <f>VLOOKUP(M17,'EV of Far Future'!$K$11:$M$13,3,FALSE)</f>
        <v>4.5113686573257059</v>
      </c>
    </row>
    <row r="18" spans="1:15">
      <c r="M18" s="28" t="s">
        <v>60</v>
      </c>
      <c r="N18" s="26">
        <f>N17*$J$20</f>
        <v>1.7155163401008717E+40</v>
      </c>
      <c r="O18" s="26">
        <f>O17+$K$20</f>
        <v>6.3268291658530948</v>
      </c>
    </row>
    <row r="19" spans="1:15">
      <c r="G19" s="1" t="s">
        <v>146</v>
      </c>
      <c r="M19" s="34" t="s">
        <v>99</v>
      </c>
      <c r="N19" s="35">
        <f>ParetoPosterior(median,alpha,N18:O18)</f>
        <v>2.4116564731638236E+18</v>
      </c>
    </row>
    <row r="20" spans="1:15">
      <c r="A20" s="1" t="s">
        <v>205</v>
      </c>
      <c r="G20" t="s">
        <v>140</v>
      </c>
      <c r="J20">
        <f>GEOMEAN(J8,J16)</f>
        <v>3.6184352162446591E-7</v>
      </c>
      <c r="K20">
        <f>MAX(K8,K16)</f>
        <v>1.8154605085273885</v>
      </c>
      <c r="L20" t="s">
        <v>142</v>
      </c>
      <c r="M20" s="34" t="s">
        <v>110</v>
      </c>
      <c r="N20" s="35">
        <f>LognormPosterior(mu_far_future,sigma_far_future,N18:O18)</f>
        <v>363.80323819091922</v>
      </c>
    </row>
    <row r="21" spans="1:15">
      <c r="A21" s="30" t="s">
        <v>99</v>
      </c>
      <c r="B21" s="5" t="e">
        <f>SUM(J25:J32)</f>
        <v>#VALUE!</v>
      </c>
    </row>
    <row r="22" spans="1:15">
      <c r="A22" s="30" t="s">
        <v>110</v>
      </c>
      <c r="B22" s="5" t="e">
        <f>SUM(K25:K32)</f>
        <v>#VALUE!</v>
      </c>
    </row>
    <row r="23" spans="1:15">
      <c r="G23" s="1" t="s">
        <v>199</v>
      </c>
    </row>
    <row r="24" spans="1:15">
      <c r="H24" s="28" t="s">
        <v>2</v>
      </c>
      <c r="I24" s="28" t="s">
        <v>34</v>
      </c>
      <c r="J24" s="34" t="s">
        <v>202</v>
      </c>
      <c r="K24" s="34" t="s">
        <v>203</v>
      </c>
      <c r="L24" s="4" t="s">
        <v>204</v>
      </c>
    </row>
    <row r="25" spans="1:15">
      <c r="G25" t="s">
        <v>73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72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74</v>
      </c>
      <c r="H27" s="26">
        <f>$J$20*VLOOKUP(G27,'EV of Far Future'!$K$3:$M$10,2,FALSE)</f>
        <v>7.2368704324893165E+30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75</v>
      </c>
      <c r="H28" s="26">
        <f>$J$20*VLOOKUP(G28,'EV of Far Future'!$K$3:$M$10,2,FALSE)</f>
        <v>2.2884993698194043E+34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76</v>
      </c>
      <c r="H29" s="26">
        <f>$J$20*VLOOKUP(G29,'EV of Far Future'!$K$3:$M$10,2,FALSE)</f>
        <v>7.2368704324893157E+32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77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78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79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167</v>
      </c>
      <c r="H1" s="1" t="s">
        <v>186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170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187</v>
      </c>
      <c r="I3">
        <f>$D$9*D11</f>
        <v>6.000000000000001E-6</v>
      </c>
      <c r="J3">
        <f>$E$9+E11</f>
        <v>2.1060174845083819</v>
      </c>
    </row>
    <row r="4" spans="1:10">
      <c r="A4" s="37" t="s">
        <v>175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188</v>
      </c>
      <c r="I4">
        <f>$D$9*D12</f>
        <v>1.8973665961010282E-5</v>
      </c>
      <c r="J4">
        <f>$E$9+E12</f>
        <v>1.9507603651809473</v>
      </c>
    </row>
    <row r="5" spans="1:10">
      <c r="A5" s="4" t="s">
        <v>176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189</v>
      </c>
      <c r="I5">
        <f>$D$9*D13</f>
        <v>1.4696938456699071E-5</v>
      </c>
      <c r="J5">
        <f>$E$9+E13</f>
        <v>2.0373151147442554</v>
      </c>
    </row>
    <row r="6" spans="1:10">
      <c r="A6" s="29" t="s">
        <v>173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190</v>
      </c>
      <c r="I6">
        <f>$D$9*D14</f>
        <v>1.4696938456699071E-5</v>
      </c>
      <c r="J6">
        <f>$E$9+E14</f>
        <v>2.0373151147442554</v>
      </c>
    </row>
    <row r="7" spans="1:10">
      <c r="A7" s="29" t="s">
        <v>174</v>
      </c>
      <c r="B7" s="15">
        <v>1000</v>
      </c>
      <c r="C7" s="15">
        <v>100000</v>
      </c>
    </row>
    <row r="8" spans="1:10">
      <c r="A8" t="s">
        <v>178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179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172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180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181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171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4" t="s">
        <v>110</v>
      </c>
      <c r="L17" s="34" t="s">
        <v>99</v>
      </c>
    </row>
    <row r="18" spans="1:12">
      <c r="H18" s="28" t="s">
        <v>182</v>
      </c>
      <c r="I18" s="26">
        <f>I3*I8*I13</f>
        <v>9.4868329805051422E+40</v>
      </c>
      <c r="J18" s="26">
        <f>J3+J8+J13</f>
        <v>6.4173861418340881</v>
      </c>
      <c r="K18" s="35" t="e">
        <f>LognormPosterior(mu,sigma,I18,J18)</f>
        <v>#VALUE!</v>
      </c>
      <c r="L18" s="35" t="e">
        <f>ParetoPosterior(median,alpha,I18,J18)</f>
        <v>#VALUE!</v>
      </c>
    </row>
    <row r="19" spans="1:12">
      <c r="H19" s="28" t="s">
        <v>183</v>
      </c>
      <c r="I19" s="26">
        <f>I4*I9*I14</f>
        <v>8.5002023505326034E+31</v>
      </c>
      <c r="J19" s="26">
        <f>J4+J9+J14</f>
        <v>5.4719769494704629</v>
      </c>
      <c r="K19" s="35" t="e">
        <f>LognormPosterior(mu,sigma,I19,J19)</f>
        <v>#VALUE!</v>
      </c>
      <c r="L19" s="35" t="e">
        <f>ParetoPosterior(median,alpha,I19,J19)</f>
        <v>#VALUE!</v>
      </c>
    </row>
    <row r="20" spans="1:12">
      <c r="H20" s="28" t="s">
        <v>184</v>
      </c>
      <c r="I20" s="26">
        <f>I5*I10*I15</f>
        <v>2.0821158469211068E+35</v>
      </c>
      <c r="J20" s="26">
        <f>J5+J10+J15</f>
        <v>6.0486837720699613</v>
      </c>
      <c r="K20" s="35" t="e">
        <f>LognormPosterior(mu,sigma,I20,J20)</f>
        <v>#VALUE!</v>
      </c>
      <c r="L20" s="35" t="e">
        <f>ParetoPosterior(median,alpha,I20,J20)</f>
        <v>#VALUE!</v>
      </c>
    </row>
    <row r="21" spans="1:12">
      <c r="H21" s="28" t="s">
        <v>185</v>
      </c>
      <c r="I21" s="26">
        <f>I6*I11*I16</f>
        <v>4.9381713214508861E+33</v>
      </c>
      <c r="J21" s="26">
        <f>J6+J11+J16</f>
        <v>7.2191399911785288</v>
      </c>
      <c r="K21" s="35" t="e">
        <f>LognormPosterior(mu,sigma,I21,J21)</f>
        <v>#VALUE!</v>
      </c>
      <c r="L21" s="35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191</v>
      </c>
    </row>
    <row r="25" spans="1:12">
      <c r="A25" t="s">
        <v>193</v>
      </c>
      <c r="B25" t="e">
        <f>MAX(L18:L21)</f>
        <v>#VALUE!</v>
      </c>
      <c r="C25" t="e">
        <f>MAX(K18:K21)</f>
        <v>#VALUE!</v>
      </c>
    </row>
    <row r="28" spans="1:12">
      <c r="A28" t="s">
        <v>192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2016-04-02T03:42:53Z</dcterms:modified>
</cp:coreProperties>
</file>