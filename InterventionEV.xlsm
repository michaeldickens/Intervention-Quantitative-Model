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20" windowWidth="25600" windowHeight="28340" tabRatio="500" activeTab="3"/>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 name="EA Outreach (INCOMPLETE)" sheetId="11" r:id="rId8"/>
  </sheets>
  <definedNames>
    <definedName name="alpha">Globals!$K$4</definedName>
    <definedName name="enable_calculations">Globals!$A$2</definedName>
    <definedName name="factory_farmed_animals">Globals!$M$8</definedName>
    <definedName name="interest_rate">Globals!$M$9</definedName>
    <definedName name="measurement">Globals!#REF!</definedName>
    <definedName name="median">Globals!$K$3</definedName>
    <definedName name="mu_factory_farming">Globals!$E$3</definedName>
    <definedName name="mu_far_future">Globals!$F$3</definedName>
    <definedName name="mu_far_future_humans">Globals!$F$3</definedName>
    <definedName name="mu_global_poverty">Globals!$D$3</definedName>
    <definedName name="mu_sentient_simulations">Globals!$G$2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Globals!$E$4</definedName>
    <definedName name="sigma_far_future">Globals!$F$4</definedName>
    <definedName name="sigma_far_future_humans">Globals!$F$4</definedName>
    <definedName name="sigma_global_poverty">Globals!$D$4</definedName>
    <definedName name="sigma_sentient_simulations">Globals!$G$3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L21" i="5" l="1"/>
  <c r="M21" i="5"/>
  <c r="L26" i="5"/>
  <c r="M26" i="5"/>
  <c r="L27" i="5"/>
  <c r="L28" i="5"/>
  <c r="M28" i="5"/>
  <c r="C24" i="5"/>
  <c r="B24" i="5"/>
  <c r="L10" i="5"/>
  <c r="B6" i="5"/>
  <c r="C6" i="5"/>
  <c r="L11" i="5"/>
  <c r="B7" i="5"/>
  <c r="C7" i="5"/>
  <c r="L12" i="5"/>
  <c r="L13" i="5"/>
  <c r="L14" i="5"/>
  <c r="L25" i="5"/>
  <c r="M10" i="5"/>
  <c r="M11" i="5"/>
  <c r="M12" i="5"/>
  <c r="M13" i="5"/>
  <c r="M14" i="5"/>
  <c r="M25" i="5"/>
  <c r="B9" i="5"/>
  <c r="C9" i="5"/>
  <c r="L19" i="5"/>
  <c r="L20" i="5"/>
  <c r="M19" i="5"/>
  <c r="M20" i="5"/>
  <c r="J4" i="1"/>
  <c r="I4" i="1"/>
  <c r="L7" i="3"/>
  <c r="L6" i="3"/>
  <c r="L15" i="3"/>
  <c r="L16" i="3"/>
  <c r="M16" i="3"/>
  <c r="M7" i="3"/>
  <c r="M18" i="3"/>
  <c r="L18" i="3"/>
  <c r="M19" i="3"/>
  <c r="I25" i="6"/>
  <c r="I26" i="6"/>
  <c r="L19" i="3"/>
  <c r="H25" i="6"/>
  <c r="H26" i="6"/>
  <c r="B12" i="6"/>
  <c r="C5" i="7"/>
  <c r="I5" i="1"/>
  <c r="J5" i="1"/>
  <c r="I7" i="1"/>
  <c r="D7" i="1"/>
  <c r="D9" i="1"/>
  <c r="E7" i="1"/>
  <c r="E9" i="1"/>
  <c r="D10" i="1"/>
  <c r="D11" i="1"/>
  <c r="E11" i="1"/>
  <c r="E12" i="1"/>
  <c r="J34" i="1"/>
  <c r="D12" i="1"/>
  <c r="I34" i="1"/>
  <c r="J25" i="1"/>
  <c r="I25" i="1"/>
  <c r="J15" i="1"/>
  <c r="I15" i="1"/>
  <c r="O14" i="1"/>
  <c r="N14" i="1"/>
  <c r="O6" i="1"/>
  <c r="N6" i="1"/>
  <c r="D4" i="1"/>
  <c r="B5" i="1"/>
  <c r="C5" i="1"/>
  <c r="D5" i="1"/>
  <c r="D6" i="1"/>
  <c r="D8" i="1"/>
  <c r="E4" i="1"/>
  <c r="E5" i="1"/>
  <c r="E6" i="1"/>
  <c r="E8" i="1"/>
  <c r="O3" i="3"/>
  <c r="O4" i="3"/>
  <c r="O5" i="3"/>
  <c r="O9" i="3"/>
  <c r="O10" i="3"/>
  <c r="O11" i="3"/>
  <c r="O12" i="3"/>
  <c r="O13" i="3"/>
  <c r="O14" i="3"/>
  <c r="C10" i="3"/>
  <c r="B10" i="3"/>
  <c r="C15" i="3"/>
  <c r="B15" i="3"/>
  <c r="C20" i="3"/>
  <c r="B20" i="3"/>
  <c r="C25" i="3"/>
  <c r="B25" i="3"/>
  <c r="H34" i="3"/>
  <c r="G34" i="3"/>
  <c r="H27" i="3"/>
  <c r="G27" i="3"/>
  <c r="H21" i="3"/>
  <c r="G21" i="3"/>
  <c r="H15" i="3"/>
  <c r="G15" i="3"/>
  <c r="H9" i="3"/>
  <c r="G9" i="3"/>
  <c r="H21" i="2"/>
  <c r="J21" i="2"/>
  <c r="L21" i="2"/>
  <c r="G21" i="2"/>
  <c r="I21" i="2"/>
  <c r="K21" i="2"/>
  <c r="I32" i="6"/>
  <c r="I33" i="6"/>
  <c r="H32" i="6"/>
  <c r="H33" i="6"/>
  <c r="K33" i="6"/>
  <c r="J33" i="6"/>
  <c r="H15" i="6"/>
  <c r="K15" i="6"/>
  <c r="K16" i="6"/>
  <c r="K6" i="6"/>
  <c r="K8" i="6"/>
  <c r="K20" i="6"/>
  <c r="G23" i="2"/>
  <c r="K23" i="2"/>
  <c r="G3" i="3"/>
  <c r="G4" i="3"/>
  <c r="G14" i="3"/>
  <c r="G16" i="3"/>
  <c r="L9" i="3"/>
  <c r="I13" i="1"/>
  <c r="I14" i="1"/>
  <c r="I16" i="1"/>
  <c r="N19" i="1"/>
  <c r="H3" i="3"/>
  <c r="H4" i="3"/>
  <c r="H14" i="3"/>
  <c r="H16" i="3"/>
  <c r="M9" i="3"/>
  <c r="J13" i="1"/>
  <c r="J16" i="1"/>
  <c r="O19" i="1"/>
  <c r="G20" i="3"/>
  <c r="G22" i="3"/>
  <c r="L10" i="3"/>
  <c r="I23" i="1"/>
  <c r="I24" i="1"/>
  <c r="D14" i="1"/>
  <c r="I22" i="1"/>
  <c r="I26" i="1"/>
  <c r="N20" i="1"/>
  <c r="H20" i="3"/>
  <c r="H22" i="3"/>
  <c r="M10" i="3"/>
  <c r="J23" i="1"/>
  <c r="E14" i="1"/>
  <c r="J22" i="1"/>
  <c r="J26" i="1"/>
  <c r="O20" i="1"/>
  <c r="G26" i="3"/>
  <c r="G28" i="3"/>
  <c r="L11" i="3"/>
  <c r="I32" i="1"/>
  <c r="I33" i="1"/>
  <c r="D15" i="1"/>
  <c r="I31" i="1"/>
  <c r="I35" i="1"/>
  <c r="N21" i="1"/>
  <c r="H26" i="3"/>
  <c r="H28" i="3"/>
  <c r="M11" i="3"/>
  <c r="J32" i="1"/>
  <c r="E15" i="1"/>
  <c r="J31" i="1"/>
  <c r="J35" i="1"/>
  <c r="O21" i="1"/>
  <c r="G32" i="3"/>
  <c r="G33" i="3"/>
  <c r="G35" i="3"/>
  <c r="L12" i="3"/>
  <c r="N4" i="1"/>
  <c r="N5" i="1"/>
  <c r="D16" i="1"/>
  <c r="N3" i="1"/>
  <c r="N7" i="1"/>
  <c r="N22" i="1"/>
  <c r="H32" i="3"/>
  <c r="H33" i="3"/>
  <c r="H35" i="3"/>
  <c r="M12" i="3"/>
  <c r="O4" i="1"/>
  <c r="E16" i="1"/>
  <c r="O3" i="1"/>
  <c r="O7" i="1"/>
  <c r="O22" i="1"/>
  <c r="D27" i="2"/>
  <c r="B3" i="3"/>
  <c r="B4" i="3"/>
  <c r="B5" i="3"/>
  <c r="B6" i="3"/>
  <c r="B11" i="3"/>
  <c r="L4" i="3"/>
  <c r="N12" i="1"/>
  <c r="N13" i="1"/>
  <c r="D17" i="1"/>
  <c r="N11" i="1"/>
  <c r="N15" i="1"/>
  <c r="N23" i="1"/>
  <c r="C3" i="3"/>
  <c r="C4" i="3"/>
  <c r="C5" i="3"/>
  <c r="C6" i="3"/>
  <c r="C11" i="3"/>
  <c r="M4" i="3"/>
  <c r="O12" i="1"/>
  <c r="E17" i="1"/>
  <c r="O11" i="1"/>
  <c r="O15" i="1"/>
  <c r="O23" i="1"/>
  <c r="N24" i="1"/>
  <c r="J3" i="1"/>
  <c r="I3" i="1"/>
  <c r="E4" i="2"/>
  <c r="H3" i="5"/>
  <c r="G5" i="5"/>
  <c r="G8" i="3"/>
  <c r="G10" i="3"/>
  <c r="L3" i="3"/>
  <c r="H8" i="3"/>
  <c r="H10" i="3"/>
  <c r="M3" i="3"/>
  <c r="B16" i="3"/>
  <c r="L5" i="3"/>
  <c r="C16" i="3"/>
  <c r="M5" i="3"/>
  <c r="B21" i="3"/>
  <c r="L13" i="3"/>
  <c r="C21" i="3"/>
  <c r="M13" i="3"/>
  <c r="B26" i="3"/>
  <c r="L14" i="3"/>
  <c r="C26" i="3"/>
  <c r="M14" i="3"/>
  <c r="I23" i="2"/>
  <c r="J23" i="2"/>
  <c r="H23" i="2"/>
  <c r="L23" i="2"/>
  <c r="I24" i="2"/>
  <c r="G24" i="2"/>
  <c r="K24" i="2"/>
  <c r="J24" i="2"/>
  <c r="H24" i="2"/>
  <c r="L24" i="2"/>
  <c r="K25" i="2"/>
  <c r="L25" i="2"/>
  <c r="I26" i="2"/>
  <c r="K26" i="2"/>
  <c r="J26" i="2"/>
  <c r="L26" i="2"/>
  <c r="I27" i="2"/>
  <c r="K27" i="2"/>
  <c r="J27" i="2"/>
  <c r="L27" i="2"/>
  <c r="K28" i="2"/>
  <c r="L28" i="2"/>
  <c r="I29" i="2"/>
  <c r="K29" i="2"/>
  <c r="J29" i="2"/>
  <c r="L29" i="2"/>
  <c r="K30" i="2"/>
  <c r="L30" i="2"/>
  <c r="H22" i="2"/>
  <c r="J22" i="2"/>
  <c r="L22" i="2"/>
  <c r="G22" i="2"/>
  <c r="I22" i="2"/>
  <c r="K22" i="2"/>
  <c r="J30" i="2"/>
  <c r="I30" i="2"/>
  <c r="J28" i="2"/>
  <c r="I28" i="2"/>
  <c r="J25" i="2"/>
  <c r="I25" i="2"/>
  <c r="G25" i="2"/>
  <c r="H25" i="2"/>
  <c r="G26" i="2"/>
  <c r="H26" i="2"/>
  <c r="G27" i="2"/>
  <c r="H27" i="2"/>
  <c r="G28" i="2"/>
  <c r="H28" i="2"/>
  <c r="G29" i="2"/>
  <c r="H29" i="2"/>
  <c r="G30" i="2"/>
  <c r="H30" i="2"/>
  <c r="C30" i="2"/>
  <c r="F4" i="2"/>
  <c r="P36" i="2"/>
  <c r="P37" i="2"/>
  <c r="P39" i="2"/>
  <c r="P40" i="2"/>
  <c r="P41" i="2"/>
  <c r="P42" i="2"/>
  <c r="L36" i="2"/>
  <c r="L37" i="2"/>
  <c r="L38" i="2"/>
  <c r="L39" i="2"/>
  <c r="P38" i="2"/>
  <c r="G13" i="5"/>
  <c r="G12" i="5"/>
  <c r="G10" i="5"/>
  <c r="G11" i="5"/>
  <c r="G14" i="5"/>
  <c r="H10" i="5"/>
  <c r="H11" i="5"/>
  <c r="H12" i="5"/>
  <c r="H13" i="5"/>
  <c r="H14" i="5"/>
  <c r="H15" i="5"/>
  <c r="G15" i="5"/>
  <c r="C25" i="5"/>
  <c r="E13" i="10"/>
  <c r="J3" i="10"/>
  <c r="J10" i="10"/>
  <c r="E14" i="10"/>
  <c r="J4" i="10"/>
  <c r="J11" i="10"/>
  <c r="E15" i="10"/>
  <c r="J5" i="10"/>
  <c r="J12" i="10"/>
  <c r="E16" i="10"/>
  <c r="J6" i="10"/>
  <c r="J13" i="10"/>
  <c r="E17" i="10"/>
  <c r="J7" i="10"/>
  <c r="J14" i="10"/>
  <c r="E18" i="10"/>
  <c r="J8" i="10"/>
  <c r="J15" i="10"/>
  <c r="I3" i="10"/>
  <c r="I10" i="10"/>
  <c r="I4" i="10"/>
  <c r="I11" i="10"/>
  <c r="I5" i="10"/>
  <c r="I12" i="10"/>
  <c r="I6" i="10"/>
  <c r="I13" i="10"/>
  <c r="I7" i="10"/>
  <c r="I14" i="10"/>
  <c r="I8" i="10"/>
  <c r="I15" i="10"/>
  <c r="I16" i="10"/>
  <c r="N25" i="1"/>
  <c r="B24" i="1"/>
  <c r="O25" i="1"/>
  <c r="C24" i="1"/>
  <c r="B25" i="1"/>
  <c r="I3" i="11"/>
  <c r="I6" i="11"/>
  <c r="C7" i="10"/>
  <c r="B7" i="10"/>
  <c r="D13" i="10"/>
  <c r="D14" i="10"/>
  <c r="D15" i="10"/>
  <c r="D16" i="10"/>
  <c r="D17" i="10"/>
  <c r="D18" i="10"/>
  <c r="C25" i="1"/>
  <c r="J3" i="11"/>
  <c r="E5" i="11"/>
  <c r="E8" i="11"/>
  <c r="E10" i="11"/>
  <c r="J6" i="11"/>
  <c r="I5" i="6"/>
  <c r="J5" i="6"/>
  <c r="J6" i="6"/>
  <c r="J8" i="6"/>
  <c r="I15" i="6"/>
  <c r="J15" i="6"/>
  <c r="J16" i="6"/>
  <c r="J20" i="6"/>
  <c r="H24" i="6"/>
  <c r="I4" i="11"/>
  <c r="I7" i="11"/>
  <c r="K3" i="6"/>
  <c r="K5" i="6"/>
  <c r="K7" i="6"/>
  <c r="E4" i="6"/>
  <c r="K14" i="6"/>
  <c r="I24" i="6"/>
  <c r="J4" i="11"/>
  <c r="E6" i="11"/>
  <c r="J7" i="11"/>
  <c r="I8" i="11"/>
  <c r="I9" i="11"/>
  <c r="J9" i="11"/>
  <c r="J2" i="11"/>
  <c r="E4" i="11"/>
  <c r="J11" i="11"/>
  <c r="B25" i="5"/>
  <c r="I2" i="11"/>
  <c r="I11" i="11"/>
  <c r="I12" i="11"/>
  <c r="I13" i="11"/>
  <c r="J13" i="11"/>
  <c r="J15" i="11"/>
  <c r="I15" i="11"/>
  <c r="J16" i="11"/>
  <c r="I16" i="11"/>
  <c r="B17" i="11"/>
  <c r="B16" i="11"/>
  <c r="C10" i="11"/>
  <c r="B10" i="11"/>
  <c r="D10" i="11"/>
  <c r="D5" i="11"/>
  <c r="D6" i="11"/>
  <c r="D8" i="11"/>
  <c r="D4" i="11"/>
  <c r="K4" i="7"/>
  <c r="I3" i="7"/>
  <c r="H3" i="7"/>
  <c r="K3" i="7"/>
  <c r="B27" i="5"/>
  <c r="E7" i="10"/>
  <c r="E8" i="10"/>
  <c r="C10" i="10"/>
  <c r="B10" i="10"/>
  <c r="E10" i="10"/>
  <c r="E5" i="10"/>
  <c r="E3" i="10"/>
  <c r="E4" i="10"/>
  <c r="E11" i="10"/>
  <c r="D7" i="10"/>
  <c r="D8" i="10"/>
  <c r="D10" i="10"/>
  <c r="D5" i="10"/>
  <c r="D3" i="10"/>
  <c r="D4" i="10"/>
  <c r="D11" i="10"/>
  <c r="J36" i="2"/>
  <c r="K36" i="2"/>
  <c r="J37" i="2"/>
  <c r="K37" i="2"/>
  <c r="J38" i="2"/>
  <c r="K38" i="2"/>
  <c r="J39" i="2"/>
  <c r="K39" i="2"/>
  <c r="N36" i="2"/>
  <c r="O36" i="2"/>
  <c r="N37" i="2"/>
  <c r="O37" i="2"/>
  <c r="N38" i="2"/>
  <c r="N39" i="2"/>
  <c r="O39" i="2"/>
  <c r="N40" i="2"/>
  <c r="O40" i="2"/>
  <c r="N41" i="2"/>
  <c r="O41" i="2"/>
  <c r="N42" i="2"/>
  <c r="O42" i="2"/>
  <c r="I17" i="10"/>
  <c r="J17" i="10"/>
  <c r="O38" i="2"/>
  <c r="J18" i="10"/>
  <c r="I18" i="10"/>
  <c r="K6" i="7"/>
  <c r="I5" i="7"/>
  <c r="H5" i="7"/>
  <c r="K5" i="7"/>
  <c r="J6" i="7"/>
  <c r="J5" i="7"/>
  <c r="J4" i="7"/>
  <c r="J3" i="7"/>
  <c r="B27" i="1"/>
  <c r="B31" i="1"/>
  <c r="B26" i="1"/>
  <c r="I6" i="1"/>
  <c r="B30" i="1"/>
  <c r="B24" i="10"/>
  <c r="C6" i="7"/>
  <c r="B23" i="10"/>
  <c r="B6" i="7"/>
  <c r="C4" i="7"/>
  <c r="B4" i="7"/>
  <c r="B31" i="5"/>
  <c r="B26" i="5"/>
  <c r="G4" i="5"/>
  <c r="B30" i="5"/>
  <c r="I4" i="7"/>
  <c r="J14" i="6"/>
  <c r="J13" i="6"/>
  <c r="D4" i="6"/>
  <c r="J7" i="6"/>
  <c r="J3" i="6"/>
  <c r="C3" i="7"/>
  <c r="D4" i="7"/>
  <c r="H5" i="6"/>
  <c r="C4" i="6"/>
  <c r="B4" i="6"/>
  <c r="D6" i="7"/>
  <c r="D3" i="7"/>
  <c r="B3" i="7"/>
  <c r="K13" i="6"/>
  <c r="D5" i="7"/>
  <c r="B11" i="6"/>
  <c r="B5" i="7"/>
</calcChain>
</file>

<file path=xl/sharedStrings.xml><?xml version="1.0" encoding="utf-8"?>
<sst xmlns="http://schemas.openxmlformats.org/spreadsheetml/2006/main" count="489" uniqueCount="269">
  <si>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</si>
  <si>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</si>
  <si>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</si>
  <si>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</si>
  <si>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</si>
  <si>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</si>
  <si>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</si>
  <si>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</si>
  <si>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</si>
  <si>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</si>
  <si>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</si>
  <si>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</si>
  <si>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</si>
  <si>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</si>
  <si>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</si>
  <si>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</si>
  <si>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</si>
  <si>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</si>
  <si>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</si>
  <si>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</si>
  <si>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</si>
  <si>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</si>
  <si>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</si>
  <si>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</si>
  <si>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</si>
  <si>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</si>
  <si>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</si>
  <si>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</si>
  <si>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</si>
  <si>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</si>
  <si>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</si>
  <si>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</si>
  <si>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</si>
  <si>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</si>
  <si>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</si>
  <si>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</si>
  <si>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</si>
  <si>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</si>
  <si>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</si>
  <si>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</si>
  <si>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</si>
  <si>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</si>
  <si>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</si>
  <si>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</si>
  <si>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</si>
  <si>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</si>
  <si>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</si>
  <si>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</si>
  <si>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</si>
  <si>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</si>
  <si>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</si>
  <si>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</si>
  <si>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</si>
  <si>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</si>
  <si>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</si>
  <si>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</si>
  <si>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</si>
  <si>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</si>
  <si>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</si>
  <si>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</si>
  <si>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</si>
  <si>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</si>
  <si>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</si>
  <si>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</si>
  <si>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</si>
  <si>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</si>
  <si>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</si>
  <si>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</si>
  <si>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</si>
  <si>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</si>
  <si>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</si>
  <si>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</si>
  <si>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</si>
  <si>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</si>
  <si>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</si>
  <si>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</si>
  <si>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</si>
  <si>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</si>
  <si>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</si>
  <si>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</si>
  <si>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</si>
  <si>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</si>
  <si>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</si>
  <si>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</si>
  <si>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</si>
  <si>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</si>
  <si>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</si>
  <si>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</si>
  <si>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</si>
  <si>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</si>
  <si>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</si>
  <si>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</si>
  <si>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</si>
  <si>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</si>
  <si>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</si>
  <si>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</si>
  <si>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</si>
  <si>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</si>
  <si>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</si>
  <si>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</si>
  <si>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</si>
  <si>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</si>
  <si>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</si>
  <si>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</si>
  <si>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hours per AI researcher</t>
  </si>
  <si>
    <t>cost per AI researcher</t>
  </si>
  <si>
    <t>1/cost per AI researcher</t>
  </si>
  <si>
    <t>annual rate at which vegetarians convert new vegetarians</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</si>
  <si>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</si>
  <si>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</si>
  <si>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</si>
  <si>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</si>
  <si>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</si>
  <si>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</si>
  <si>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</si>
  <si>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</si>
  <si>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</si>
  <si>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</si>
  <si>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</si>
  <si>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</si>
  <si>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</si>
  <si>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</si>
  <si>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</si>
  <si>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</si>
  <si>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</si>
  <si>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</si>
  <si>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</si>
  <si>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</si>
  <si>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</si>
  <si>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</si>
  <si>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</si>
  <si>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</si>
  <si>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</si>
  <si>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</si>
  <si>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</si>
  <si>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</si>
  <si>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</si>
  <si>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</si>
  <si>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</si>
  <si>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</si>
  <si>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</si>
  <si>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</si>
  <si>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</si>
  <si>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</si>
  <si>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</si>
  <si>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</si>
  <si>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</si>
  <si>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</si>
  <si>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</si>
  <si>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</si>
  <si>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</si>
  <si>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</si>
  <si>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</si>
  <si>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</si>
  <si>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</si>
  <si>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</si>
  <si>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</si>
  <si>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</si>
  <si>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</si>
  <si>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</si>
  <si>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</si>
  <si>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</si>
  <si>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</si>
  <si>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</si>
  <si>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</si>
  <si>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</si>
  <si>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</si>
  <si>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</si>
  <si>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</si>
  <si>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</si>
  <si>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</si>
  <si>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</si>
  <si>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</si>
  <si>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</si>
  <si>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</si>
  <si>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</si>
  <si>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</si>
  <si>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</si>
  <si>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</si>
  <si>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</si>
  <si>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</si>
  <si>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</si>
  <si>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</si>
  <si>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</si>
  <si>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</si>
  <si>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</si>
  <si>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</si>
  <si>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</si>
  <si>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</si>
  <si>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</si>
  <si>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</si>
  <si>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</si>
  <si>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</si>
  <si>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</si>
  <si>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</si>
  <si>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</si>
  <si>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</si>
  <si>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</si>
  <si>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</si>
  <si>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</si>
  <si>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</si>
  <si>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</si>
  <si>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scenarios prevented by making the FAI animal-friendly</t>
  </si>
  <si>
    <t>factory farming utility estimate</t>
  </si>
  <si>
    <t>implicitly correlated with P(AI-related extinction) on the AI Safety sheet</t>
  </si>
  <si>
    <t>center of distribution (median)</t>
  </si>
  <si>
    <t>scale (logarithmic base 10); this corresponds to standard deviation, not variance</t>
  </si>
  <si>
    <t>Outcomes in a column are conditional on outcomes to the left</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</si>
  <si>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</si>
  <si>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</si>
  <si>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</si>
  <si>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</si>
  <si>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</si>
  <si>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</si>
  <si>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</si>
  <si>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animal advocacy</t>
  </si>
  <si>
    <t>AI safety</t>
  </si>
  <si>
    <t>donations per EA</t>
  </si>
  <si>
    <t>Expected Donation Proportions</t>
  </si>
  <si>
    <t>animal advocacy utility</t>
  </si>
  <si>
    <t>global poverty utility</t>
  </si>
  <si>
    <t>AI safety utility</t>
  </si>
  <si>
    <t>cost to create 1 new EA</t>
  </si>
  <si>
    <t>global poverty (GiveDirectly-equivalent)</t>
  </si>
  <si>
    <t>this proportion is over 1.0 because it's converted into GiveDirectly equivalents, so like 0.5 to AMF is worth maybe 3.0 to GD</t>
  </si>
  <si>
    <t>animal advocacy utility/$1000</t>
  </si>
  <si>
    <t>AI safety utility/$1000</t>
  </si>
  <si>
    <t>global poverty utility/$1000</t>
  </si>
  <si>
    <t>TODO: this uses a fixed prior even though we should use different priors for different intervention categories</t>
  </si>
  <si>
    <t>TODO: mu too high, variance too low. don't know why</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</si>
  <si>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</si>
  <si>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</si>
  <si>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</si>
  <si>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</si>
  <si>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</si>
  <si>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</si>
  <si>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</si>
  <si>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</si>
  <si>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</si>
  <si>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</si>
  <si>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</si>
  <si>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</si>
  <si>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Model 3</t>
  </si>
  <si>
    <t>(assumes AGI is a binary outcome: friendly or unfriendly)</t>
  </si>
  <si>
    <t>bad scenarios averted by doubling total research</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</si>
  <si>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</si>
  <si>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</si>
  <si>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</si>
  <si>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</si>
  <si>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</si>
  <si>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</si>
  <si>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</si>
  <si>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</si>
  <si>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</si>
  <si>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</si>
  <si>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</si>
  <si>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</si>
  <si>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</si>
  <si>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</si>
  <si>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1 by definition</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</si>
  <si>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</si>
  <si>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</si>
  <si>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</si>
  <si>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</si>
  <si>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</si>
  <si>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days factory-farm suffering per $1000</t>
  </si>
  <si>
    <t>years factory-farm suffering per $1000</t>
  </si>
  <si>
    <t>Utiliy Estimates</t>
  </si>
  <si>
    <t>x-risk</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</si>
</sst>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3">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79646"/>
        <bgColor rgb="FF000000"/>
      </patternFill>
    </fill>
    <fill>
      <patternFill patternType="solid">
        <fgColor rgb="FFFCD5B4"/>
        <bgColor rgb="FF000000"/>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2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39">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0"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8" borderId="2" xfId="0" applyFill="1" applyBorder="1" applyAlignment="1">
      <alignment horizontal="center" vertical="center" wrapText="1"/>
    </xf>
    <xf numFmtId="11" fontId="0" fillId="0" borderId="2" xfId="0" applyNumberFormat="1" applyFill="1" applyBorder="1" applyAlignment="1">
      <alignment horizontal="center" vertical="center" wrapText="1"/>
    </xf>
    <xf numFmtId="11" fontId="0" fillId="8" borderId="3" xfId="0" applyNumberFormat="1" applyFill="1" applyBorder="1" applyAlignment="1">
      <alignment horizontal="center" vertical="center" wrapText="1"/>
    </xf>
    <xf numFmtId="0" fontId="0" fillId="8" borderId="3" xfId="0" applyFill="1" applyBorder="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5" fillId="21" borderId="0" xfId="0" applyFont="1" applyFill="1" applyAlignment="1">
      <alignment wrapText="1"/>
    </xf>
    <xf numFmtId="0" fontId="5" fillId="22" borderId="0" xfId="0" applyNumberFormat="1" applyFont="1" applyFill="1"/>
    <xf numFmtId="0" fontId="5" fillId="22" borderId="0" xfId="0" applyFont="1" applyFill="1"/>
    <xf numFmtId="0" fontId="0" fillId="8" borderId="1" xfId="0" applyFill="1" applyBorder="1" applyAlignment="1">
      <alignment horizontal="center" vertical="center" wrapText="1"/>
    </xf>
    <xf numFmtId="0" fontId="0" fillId="13" borderId="0" xfId="0" applyFont="1" applyFill="1"/>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0" fillId="11" borderId="0" xfId="0" applyFill="1" applyAlignment="1">
      <alignment wrapText="1"/>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cellXfs>
  <cellStyles count="20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C6" sqref="C6"/>
    </sheetView>
  </sheetViews>
  <sheetFormatPr baseColWidth="10" defaultRowHeight="15" x14ac:dyDescent="0"/>
  <cols>
    <col min="1" max="1" width="28.83203125" customWidth="1"/>
    <col min="2" max="5" width="12.1640625" bestFit="1" customWidth="1"/>
    <col min="11" max="11" width="11.83203125" bestFit="1" customWidth="1"/>
  </cols>
  <sheetData>
    <row r="1" spans="1:12" ht="30" customHeight="1">
      <c r="A1" s="6" t="s">
        <v>148</v>
      </c>
      <c r="G1" s="6" t="s">
        <v>150</v>
      </c>
    </row>
    <row r="2" spans="1:12" ht="30" customHeight="1">
      <c r="A2" s="44"/>
      <c r="B2" s="58" t="s">
        <v>116</v>
      </c>
      <c r="C2" s="58" t="s">
        <v>117</v>
      </c>
      <c r="D2" s="58" t="s">
        <v>149</v>
      </c>
      <c r="G2" s="44"/>
      <c r="H2" s="44" t="s">
        <v>125</v>
      </c>
      <c r="I2" s="44" t="s">
        <v>30</v>
      </c>
      <c r="J2" s="58" t="s">
        <v>116</v>
      </c>
      <c r="K2" s="58" t="s">
        <v>117</v>
      </c>
    </row>
    <row r="3" spans="1:12" ht="30" customHeight="1">
      <c r="A3" s="96" t="s">
        <v>118</v>
      </c>
      <c r="B3" s="97">
        <f>GiveDirectly!B30</f>
        <v>-44467983398432.242</v>
      </c>
      <c r="C3" s="97">
        <f>GiveDirectly!B31</f>
        <v>-1618.1812261460216</v>
      </c>
      <c r="D3" s="97">
        <f>C3/$C$3</f>
        <v>1</v>
      </c>
      <c r="G3" s="98" t="s">
        <v>118</v>
      </c>
      <c r="H3" s="99">
        <f>GiveDirectly!G3</f>
        <v>1</v>
      </c>
      <c r="I3" s="100">
        <f>GiveDirectly!H3</f>
        <v>6.25E-2</v>
      </c>
      <c r="J3" s="97">
        <f>ParetoPosterior(median,alpha,H3:I3)</f>
        <v>1.0718443947358864</v>
      </c>
      <c r="K3" s="97">
        <f>LognormPosterior(mu_global_poverty,sigma_global_poverty,H3:I3)</f>
        <v>1.1417331931971864</v>
      </c>
    </row>
    <row r="4" spans="1:12" ht="30" customHeight="1">
      <c r="A4" s="96" t="s">
        <v>184</v>
      </c>
      <c r="B4" s="97">
        <f>THL!B30</f>
        <v>9.1102005409653323E+25</v>
      </c>
      <c r="C4" s="97">
        <f>THL!B31</f>
        <v>8751.4844483578472</v>
      </c>
      <c r="D4" s="97">
        <f>C4/C3</f>
        <v>-5.4082227051916929</v>
      </c>
      <c r="G4" s="46" t="s">
        <v>123</v>
      </c>
      <c r="H4" s="101">
        <v>11</v>
      </c>
      <c r="I4" s="101">
        <f>0.5^2</f>
        <v>0.25</v>
      </c>
      <c r="J4" s="97">
        <f>ParetoPosterior(median,alpha,H4:I4)</f>
        <v>5.5189570936889352</v>
      </c>
      <c r="K4" s="97">
        <f>LognormPosterior(mu_global_poverty,sigma_global_poverty,H4:I4)</f>
        <v>4.6196376362437315</v>
      </c>
    </row>
    <row r="5" spans="1:12" ht="30" customHeight="1">
      <c r="A5" s="96" t="s">
        <v>119</v>
      </c>
      <c r="B5" s="97">
        <f>'AI Safety'!B11</f>
        <v>9.8288365834553962E+25</v>
      </c>
      <c r="C5" s="97">
        <f>'AI Safety'!B12</f>
        <v>5989.6979753533897</v>
      </c>
      <c r="D5" s="97">
        <f>C5/$C$3</f>
        <v>-3.7015001030625547</v>
      </c>
      <c r="G5" s="87" t="s">
        <v>184</v>
      </c>
      <c r="H5" s="102">
        <f>THL!I5</f>
        <v>7389.1812807644656</v>
      </c>
      <c r="I5" s="85">
        <f>THL!J5</f>
        <v>0.97174945155269876</v>
      </c>
      <c r="J5" s="97">
        <f>ParetoPosterior(median,alpha,H5:I5)</f>
        <v>84.123998152130596</v>
      </c>
      <c r="K5" s="97">
        <f>LognormPosterior(mu_factory_farming,sigma_factory_farming,H5:I5)</f>
        <v>65.450479468820603</v>
      </c>
    </row>
    <row r="6" spans="1:12" ht="30" customHeight="1">
      <c r="A6" s="96" t="s">
        <v>147</v>
      </c>
      <c r="B6" s="97">
        <f>'AI Targeted Values Spreading'!B23</f>
        <v>1.1522967453472645E+35</v>
      </c>
      <c r="C6" s="97">
        <f>'AI Targeted Values Spreading'!B24</f>
        <v>36595.579176049432</v>
      </c>
      <c r="D6" s="97">
        <f>C6/$C$3</f>
        <v>-22.615253832358526</v>
      </c>
      <c r="G6" s="52" t="s">
        <v>124</v>
      </c>
      <c r="H6" s="103">
        <v>22000</v>
      </c>
      <c r="I6" s="104">
        <v>0.5</v>
      </c>
      <c r="J6" s="97">
        <f>ParetoPosterior(median,alpha,H6:I6)</f>
        <v>1582.0302237467174</v>
      </c>
      <c r="K6" s="97">
        <f>LognormPosterior(mu_factory_farming,sigma_factory_farming,H6:I6)</f>
        <v>202.31262481934897</v>
      </c>
    </row>
    <row r="7" spans="1:12" ht="30" customHeight="1"/>
    <row r="8" spans="1:12">
      <c r="G8" s="3"/>
      <c r="H8" s="9"/>
      <c r="I8" s="3"/>
      <c r="K8" s="3"/>
      <c r="L8" s="3"/>
    </row>
    <row r="12" spans="1:12">
      <c r="A12" s="13"/>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13"/>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opLeftCell="A3" workbookViewId="0">
      <selection activeCell="K20" sqref="K20"/>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157</v>
      </c>
      <c r="C1" s="6" t="s">
        <v>81</v>
      </c>
      <c r="J1" s="6" t="s">
        <v>4</v>
      </c>
      <c r="M1" s="1"/>
    </row>
    <row r="2" spans="1:13" ht="30" customHeight="1">
      <c r="A2" s="24">
        <v>1</v>
      </c>
      <c r="B2" t="s">
        <v>158</v>
      </c>
      <c r="D2" s="5" t="s">
        <v>154</v>
      </c>
      <c r="E2" s="5" t="s">
        <v>155</v>
      </c>
      <c r="F2" s="5" t="s">
        <v>156</v>
      </c>
      <c r="G2" s="3"/>
    </row>
    <row r="3" spans="1:13" s="44" customFormat="1" ht="30" customHeight="1">
      <c r="C3" s="71" t="s">
        <v>82</v>
      </c>
      <c r="D3" s="72">
        <v>1</v>
      </c>
      <c r="E3" s="72">
        <v>10</v>
      </c>
      <c r="F3" s="121">
        <v>100</v>
      </c>
      <c r="G3" s="71" t="s">
        <v>82</v>
      </c>
      <c r="H3" s="73" t="s">
        <v>205</v>
      </c>
      <c r="I3" s="74"/>
      <c r="J3" s="71" t="s">
        <v>3</v>
      </c>
      <c r="K3" s="75">
        <v>1</v>
      </c>
    </row>
    <row r="4" spans="1:13" s="44" customFormat="1" ht="30" customHeight="1">
      <c r="C4" s="71" t="s">
        <v>83</v>
      </c>
      <c r="D4" s="72">
        <v>0.5</v>
      </c>
      <c r="E4" s="72">
        <f>sigma_global_poverty</f>
        <v>0.5</v>
      </c>
      <c r="F4" s="72">
        <f>sigma_global_poverty</f>
        <v>0.5</v>
      </c>
      <c r="G4" s="71" t="s">
        <v>83</v>
      </c>
      <c r="H4" s="73" t="s">
        <v>206</v>
      </c>
      <c r="I4" s="74"/>
      <c r="J4" s="71" t="s">
        <v>2</v>
      </c>
      <c r="K4" s="72">
        <v>1.5</v>
      </c>
    </row>
    <row r="5" spans="1:13" ht="30" customHeight="1">
      <c r="H5" s="115" t="s">
        <v>208</v>
      </c>
    </row>
    <row r="6" spans="1:13" ht="30" customHeight="1"/>
    <row r="7" spans="1:13" ht="30" customHeight="1">
      <c r="A7" s="76" t="s">
        <v>13</v>
      </c>
      <c r="B7" s="34"/>
      <c r="C7" s="34"/>
      <c r="D7" s="34" t="s">
        <v>207</v>
      </c>
      <c r="E7" s="34"/>
      <c r="F7" s="34"/>
      <c r="J7" s="6" t="s">
        <v>90</v>
      </c>
      <c r="L7" s="48" t="s">
        <v>65</v>
      </c>
    </row>
    <row r="8" spans="1:13" s="44" customFormat="1" ht="30" customHeight="1">
      <c r="A8" s="77" t="s">
        <v>5</v>
      </c>
      <c r="B8" s="78">
        <v>0.2</v>
      </c>
      <c r="C8" s="77" t="s">
        <v>12</v>
      </c>
      <c r="D8" s="78">
        <v>0.7</v>
      </c>
      <c r="E8" s="79"/>
      <c r="F8" s="79"/>
      <c r="J8" s="58" t="s">
        <v>92</v>
      </c>
      <c r="L8" s="66" t="s">
        <v>26</v>
      </c>
      <c r="M8" s="120">
        <v>20000000000</v>
      </c>
    </row>
    <row r="9" spans="1:13" s="44" customFormat="1" ht="30" customHeight="1">
      <c r="A9" s="77" t="s">
        <v>253</v>
      </c>
      <c r="B9" s="78">
        <v>0.4</v>
      </c>
      <c r="C9" s="77" t="s">
        <v>6</v>
      </c>
      <c r="D9" s="78">
        <v>0.8</v>
      </c>
      <c r="E9" s="77" t="s">
        <v>61</v>
      </c>
      <c r="F9" s="78">
        <v>0.3</v>
      </c>
      <c r="J9" s="59" t="s">
        <v>91</v>
      </c>
      <c r="L9" s="66" t="s">
        <v>97</v>
      </c>
      <c r="M9" s="92">
        <v>0.05</v>
      </c>
    </row>
    <row r="10" spans="1:13" s="44" customFormat="1" ht="30" customHeight="1">
      <c r="A10" s="80"/>
      <c r="B10" s="80"/>
      <c r="C10" s="80"/>
      <c r="D10" s="80"/>
      <c r="E10" s="77" t="s">
        <v>8</v>
      </c>
      <c r="F10" s="81">
        <v>0.4</v>
      </c>
      <c r="J10" s="60" t="s">
        <v>52</v>
      </c>
    </row>
    <row r="11" spans="1:13" s="44" customFormat="1" ht="30" customHeight="1">
      <c r="A11" s="79"/>
      <c r="B11" s="79"/>
      <c r="C11" s="79"/>
      <c r="D11" s="79"/>
      <c r="E11" s="77" t="s">
        <v>7</v>
      </c>
      <c r="F11" s="81">
        <v>0.3</v>
      </c>
      <c r="J11" s="61" t="s">
        <v>200</v>
      </c>
    </row>
    <row r="12" spans="1:13" s="44" customFormat="1" ht="30" customHeight="1">
      <c r="A12" s="77" t="s">
        <v>254</v>
      </c>
      <c r="B12" s="78">
        <v>0.4</v>
      </c>
      <c r="C12" s="77" t="s">
        <v>9</v>
      </c>
      <c r="D12" s="78">
        <v>0.05</v>
      </c>
      <c r="E12" s="80"/>
      <c r="F12" s="79"/>
      <c r="J12" s="44" t="s">
        <v>201</v>
      </c>
    </row>
    <row r="13" spans="1:13" s="44" customFormat="1" ht="30" customHeight="1">
      <c r="A13" s="79"/>
      <c r="B13" s="79"/>
      <c r="C13" s="77" t="s">
        <v>213</v>
      </c>
      <c r="D13" s="78">
        <v>0.64</v>
      </c>
      <c r="E13" s="79"/>
      <c r="F13" s="79"/>
      <c r="J13" s="62" t="s">
        <v>137</v>
      </c>
    </row>
    <row r="14" spans="1:13" s="44" customFormat="1" ht="30" customHeight="1">
      <c r="A14" s="79"/>
      <c r="B14" s="79"/>
      <c r="C14" s="77" t="s">
        <v>10</v>
      </c>
      <c r="D14" s="78">
        <v>0.3</v>
      </c>
      <c r="E14" s="79"/>
      <c r="F14" s="79"/>
    </row>
    <row r="15" spans="1:13" s="44" customFormat="1" ht="30" customHeight="1">
      <c r="A15" s="79"/>
      <c r="B15" s="79"/>
      <c r="C15" s="77" t="s">
        <v>11</v>
      </c>
      <c r="D15" s="78">
        <v>0.01</v>
      </c>
      <c r="E15" s="79"/>
      <c r="F15" s="79"/>
    </row>
    <row r="16" spans="1:13" ht="30" customHeight="1"/>
    <row r="17" spans="1:13" ht="30" customHeight="1"/>
    <row r="18" spans="1:13" ht="30" customHeight="1">
      <c r="A18" s="6" t="s">
        <v>37</v>
      </c>
    </row>
    <row r="19" spans="1:13" ht="30" customHeight="1">
      <c r="A19" s="6"/>
      <c r="B19" s="39" t="s">
        <v>241</v>
      </c>
      <c r="D19" s="39" t="s">
        <v>236</v>
      </c>
    </row>
    <row r="20" spans="1:13" ht="30" customHeight="1">
      <c r="B20" s="44" t="s">
        <v>0</v>
      </c>
      <c r="C20" s="44" t="s">
        <v>1</v>
      </c>
      <c r="D20" s="45" t="s">
        <v>0</v>
      </c>
      <c r="E20" s="44" t="s">
        <v>1</v>
      </c>
      <c r="F20" s="44" t="s">
        <v>60</v>
      </c>
      <c r="G20" s="116" t="s">
        <v>237</v>
      </c>
      <c r="H20" s="44" t="s">
        <v>239</v>
      </c>
      <c r="I20" s="44" t="s">
        <v>238</v>
      </c>
      <c r="J20" s="44" t="s">
        <v>240</v>
      </c>
      <c r="K20" s="44" t="s">
        <v>168</v>
      </c>
      <c r="L20" s="44" t="s">
        <v>170</v>
      </c>
      <c r="M20" s="44" t="s">
        <v>27</v>
      </c>
    </row>
    <row r="21" spans="1:13" ht="30" customHeight="1">
      <c r="A21" s="62" t="s">
        <v>256</v>
      </c>
      <c r="B21" s="118">
        <v>1</v>
      </c>
      <c r="C21" s="45">
        <v>1</v>
      </c>
      <c r="D21" s="118">
        <v>1</v>
      </c>
      <c r="E21" s="45">
        <v>1</v>
      </c>
      <c r="F21" s="92">
        <v>1</v>
      </c>
      <c r="G21" s="44">
        <f t="shared" ref="G21" si="0">GEOMEAN(B21,C21)</f>
        <v>1</v>
      </c>
      <c r="H21" s="44">
        <f t="shared" ref="H21" si="1">LogVariance(B21,C21)</f>
        <v>0</v>
      </c>
      <c r="I21" s="44">
        <f t="shared" ref="I21" si="2">GEOMEAN(D21,E21)</f>
        <v>1</v>
      </c>
      <c r="J21" s="44">
        <f t="shared" ref="J21" si="3">LogVariance(D21,E21)</f>
        <v>0</v>
      </c>
      <c r="K21" s="117">
        <f>G21*I21</f>
        <v>1</v>
      </c>
      <c r="L21" s="45">
        <f>H21+J21</f>
        <v>0</v>
      </c>
      <c r="M21" s="39" t="s">
        <v>259</v>
      </c>
    </row>
    <row r="22" spans="1:13" s="44" customFormat="1" ht="30" customHeight="1">
      <c r="A22" s="64" t="s">
        <v>255</v>
      </c>
      <c r="B22" s="65">
        <v>0.5</v>
      </c>
      <c r="C22" s="92">
        <v>0.8</v>
      </c>
      <c r="D22" s="118">
        <v>1</v>
      </c>
      <c r="E22" s="45">
        <v>1</v>
      </c>
      <c r="F22" s="92">
        <v>1</v>
      </c>
      <c r="G22" s="44">
        <f t="shared" ref="G22:G30" si="4">GEOMEAN(B22,C22)</f>
        <v>0.63245553203367588</v>
      </c>
      <c r="H22" s="44">
        <f t="shared" ref="H22:H30" si="5">LogVariance(B22,C22)</f>
        <v>7.9637834381320105E-2</v>
      </c>
      <c r="I22" s="44">
        <f t="shared" ref="I22:I30" si="6">GEOMEAN(D22,E22)</f>
        <v>1</v>
      </c>
      <c r="J22" s="44">
        <f t="shared" ref="J22:J30" si="7">LogVariance(D22,E22)</f>
        <v>0</v>
      </c>
      <c r="K22" s="117">
        <f>G22*I22</f>
        <v>0.63245553203367588</v>
      </c>
      <c r="L22" s="45">
        <f>H22+J22</f>
        <v>7.9637834381320105E-2</v>
      </c>
      <c r="M22" s="39" t="s">
        <v>257</v>
      </c>
    </row>
    <row r="23" spans="1:13" s="44" customFormat="1" ht="30" customHeight="1">
      <c r="A23" s="64" t="s">
        <v>38</v>
      </c>
      <c r="B23" s="65">
        <v>3</v>
      </c>
      <c r="C23" s="92">
        <v>10</v>
      </c>
      <c r="D23" s="65">
        <v>0.2</v>
      </c>
      <c r="E23" s="92">
        <v>1</v>
      </c>
      <c r="F23" s="92">
        <v>-1</v>
      </c>
      <c r="G23" s="44">
        <f t="shared" si="4"/>
        <v>5.4772255750516612</v>
      </c>
      <c r="H23" s="44">
        <f t="shared" si="5"/>
        <v>0.20400222641768539</v>
      </c>
      <c r="I23" s="44">
        <f t="shared" si="6"/>
        <v>0.44721359549995793</v>
      </c>
      <c r="J23" s="44">
        <f t="shared" si="7"/>
        <v>0.27270459618181209</v>
      </c>
      <c r="K23" s="117">
        <f t="shared" ref="K23:K30" si="8">G23*I23</f>
        <v>2.4494897427831779</v>
      </c>
      <c r="L23" s="45">
        <f t="shared" ref="L23:L30" si="9">H23+J23</f>
        <v>0.47670682259949748</v>
      </c>
      <c r="M23" s="39" t="s">
        <v>161</v>
      </c>
    </row>
    <row r="24" spans="1:13" s="44" customFormat="1" ht="30" customHeight="1">
      <c r="A24" s="66" t="s">
        <v>121</v>
      </c>
      <c r="B24" s="65">
        <v>0.2</v>
      </c>
      <c r="C24" s="92">
        <v>1.5</v>
      </c>
      <c r="D24" s="65">
        <v>0.1</v>
      </c>
      <c r="E24" s="92">
        <v>1</v>
      </c>
      <c r="F24" s="92">
        <v>1</v>
      </c>
      <c r="G24" s="44">
        <f t="shared" si="4"/>
        <v>0.54772255750516619</v>
      </c>
      <c r="H24" s="44">
        <f t="shared" si="5"/>
        <v>0.34140696594593872</v>
      </c>
      <c r="I24" s="44">
        <f t="shared" si="6"/>
        <v>0.31622776601683794</v>
      </c>
      <c r="J24" s="44">
        <f t="shared" si="7"/>
        <v>0.39015207303618948</v>
      </c>
      <c r="K24" s="117">
        <f t="shared" si="8"/>
        <v>0.17320508075688776</v>
      </c>
      <c r="L24" s="45">
        <f t="shared" si="9"/>
        <v>0.73155903898212826</v>
      </c>
      <c r="M24" s="39" t="s">
        <v>152</v>
      </c>
    </row>
    <row r="25" spans="1:13" s="44" customFormat="1" ht="30" customHeight="1">
      <c r="A25" s="64" t="s">
        <v>39</v>
      </c>
      <c r="B25" s="65">
        <v>0.5</v>
      </c>
      <c r="C25" s="92">
        <v>4</v>
      </c>
      <c r="D25" s="65">
        <v>0.05</v>
      </c>
      <c r="E25" s="92">
        <v>0.5</v>
      </c>
      <c r="F25" s="92">
        <v>-1</v>
      </c>
      <c r="G25" s="44">
        <f t="shared" si="4"/>
        <v>1.4142135623730949</v>
      </c>
      <c r="H25" s="44">
        <f t="shared" si="5"/>
        <v>0.35234243056313214</v>
      </c>
      <c r="I25" s="44">
        <f t="shared" si="6"/>
        <v>0.15811388300841897</v>
      </c>
      <c r="J25" s="44">
        <f t="shared" si="7"/>
        <v>0.39015207303618948</v>
      </c>
      <c r="K25" s="117">
        <f t="shared" si="8"/>
        <v>0.22360679774997896</v>
      </c>
      <c r="L25" s="45">
        <f t="shared" si="9"/>
        <v>0.74249450359932156</v>
      </c>
      <c r="M25" s="39" t="s">
        <v>151</v>
      </c>
    </row>
    <row r="26" spans="1:13" s="44" customFormat="1" ht="30" customHeight="1">
      <c r="A26" s="64" t="s">
        <v>40</v>
      </c>
      <c r="B26" s="65">
        <v>2</v>
      </c>
      <c r="C26" s="92">
        <v>8</v>
      </c>
      <c r="D26" s="65">
        <v>3.0000000000000001E-3</v>
      </c>
      <c r="E26" s="92">
        <v>0.1</v>
      </c>
      <c r="F26" s="92">
        <v>-1</v>
      </c>
      <c r="G26" s="44">
        <f t="shared" si="4"/>
        <v>4</v>
      </c>
      <c r="H26" s="44">
        <f t="shared" si="5"/>
        <v>0.23489495370875477</v>
      </c>
      <c r="I26" s="44">
        <f t="shared" si="6"/>
        <v>1.7320508075688773E-2</v>
      </c>
      <c r="J26" s="44">
        <f t="shared" si="7"/>
        <v>0.59415429945387477</v>
      </c>
      <c r="K26" s="117">
        <f t="shared" si="8"/>
        <v>6.9282032302755092E-2</v>
      </c>
      <c r="L26" s="45">
        <f t="shared" si="9"/>
        <v>0.82904925316262956</v>
      </c>
      <c r="M26" s="39" t="s">
        <v>153</v>
      </c>
    </row>
    <row r="27" spans="1:13" s="44" customFormat="1" ht="30" customHeight="1">
      <c r="A27" s="64" t="s">
        <v>42</v>
      </c>
      <c r="B27" s="65">
        <v>100</v>
      </c>
      <c r="C27" s="92">
        <v>10000</v>
      </c>
      <c r="D27" s="118">
        <f>D22</f>
        <v>1</v>
      </c>
      <c r="E27" s="45">
        <v>1</v>
      </c>
      <c r="F27" s="45">
        <v>1</v>
      </c>
      <c r="G27" s="44">
        <f t="shared" si="4"/>
        <v>1000</v>
      </c>
      <c r="H27" s="44">
        <f t="shared" si="5"/>
        <v>0.78030414607237897</v>
      </c>
      <c r="I27" s="44">
        <f t="shared" si="6"/>
        <v>1</v>
      </c>
      <c r="J27" s="44">
        <f t="shared" si="7"/>
        <v>0</v>
      </c>
      <c r="K27" s="117">
        <f t="shared" si="8"/>
        <v>1000</v>
      </c>
      <c r="L27" s="45">
        <f t="shared" si="9"/>
        <v>0.78030414607237897</v>
      </c>
      <c r="M27" s="39" t="s">
        <v>45</v>
      </c>
    </row>
    <row r="28" spans="1:13" s="44" customFormat="1" ht="30" customHeight="1">
      <c r="A28" s="64" t="s">
        <v>210</v>
      </c>
      <c r="B28" s="65">
        <v>1</v>
      </c>
      <c r="C28" s="92">
        <v>1</v>
      </c>
      <c r="D28" s="118">
        <v>1</v>
      </c>
      <c r="E28" s="45">
        <v>1</v>
      </c>
      <c r="F28" s="92">
        <v>1</v>
      </c>
      <c r="G28" s="44">
        <f t="shared" si="4"/>
        <v>1</v>
      </c>
      <c r="H28" s="44">
        <f t="shared" si="5"/>
        <v>0</v>
      </c>
      <c r="I28" s="44">
        <f t="shared" si="6"/>
        <v>1</v>
      </c>
      <c r="J28" s="44">
        <f t="shared" si="7"/>
        <v>0</v>
      </c>
      <c r="K28" s="117">
        <f t="shared" si="8"/>
        <v>1</v>
      </c>
      <c r="L28" s="45">
        <f t="shared" si="9"/>
        <v>0</v>
      </c>
    </row>
    <row r="29" spans="1:13" s="44" customFormat="1" ht="30" customHeight="1">
      <c r="A29" s="64" t="s">
        <v>43</v>
      </c>
      <c r="B29" s="65">
        <v>0.2</v>
      </c>
      <c r="C29" s="92">
        <v>4</v>
      </c>
      <c r="D29" s="65">
        <v>1E-3</v>
      </c>
      <c r="E29" s="92">
        <v>1</v>
      </c>
      <c r="F29" s="92">
        <v>-1</v>
      </c>
      <c r="G29" s="44">
        <f t="shared" si="4"/>
        <v>0.89442719099991586</v>
      </c>
      <c r="H29" s="44">
        <f t="shared" si="5"/>
        <v>0.50759954989056688</v>
      </c>
      <c r="I29" s="44">
        <f t="shared" si="6"/>
        <v>3.1622776601683791E-2</v>
      </c>
      <c r="J29" s="44">
        <f t="shared" si="7"/>
        <v>1.1704562191085683</v>
      </c>
      <c r="K29" s="117">
        <f t="shared" si="8"/>
        <v>2.8284271247461898E-2</v>
      </c>
      <c r="L29" s="45">
        <f t="shared" si="9"/>
        <v>1.6780557689991351</v>
      </c>
    </row>
    <row r="30" spans="1:13" s="44" customFormat="1" ht="30" customHeight="1">
      <c r="A30" s="64" t="s">
        <v>44</v>
      </c>
      <c r="B30" s="65">
        <v>100</v>
      </c>
      <c r="C30" s="92">
        <f>C27</f>
        <v>10000</v>
      </c>
      <c r="D30" s="118">
        <v>1</v>
      </c>
      <c r="E30" s="45">
        <v>1</v>
      </c>
      <c r="F30" s="45">
        <v>-1</v>
      </c>
      <c r="G30" s="44">
        <f t="shared" si="4"/>
        <v>1000</v>
      </c>
      <c r="H30" s="44">
        <f t="shared" si="5"/>
        <v>0.78030414607237897</v>
      </c>
      <c r="I30" s="44">
        <f t="shared" si="6"/>
        <v>1</v>
      </c>
      <c r="J30" s="44">
        <f t="shared" si="7"/>
        <v>0</v>
      </c>
      <c r="K30" s="117">
        <f t="shared" si="8"/>
        <v>1000</v>
      </c>
      <c r="L30" s="45">
        <f t="shared" si="9"/>
        <v>0.78030414607237897</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168</v>
      </c>
      <c r="L35" s="54" t="s">
        <v>169</v>
      </c>
      <c r="O35" s="54" t="s">
        <v>168</v>
      </c>
      <c r="P35" s="54" t="s">
        <v>169</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0">A37</f>
        <v>years of future</v>
      </c>
      <c r="K37" s="44">
        <f t="shared" ref="K37:K39" si="11">SQRT(B37*C37)</f>
        <v>316227766016.83789</v>
      </c>
      <c r="L37" s="49">
        <f t="shared" ref="L37:L39" si="12">LogVariance(B37,C37)</f>
        <v>0.39015207303618948</v>
      </c>
      <c r="M37" s="49"/>
      <c r="N37" s="55" t="str">
        <f t="shared" ref="N37:N41" si="13">E37</f>
        <v>years of future</v>
      </c>
      <c r="O37" s="44">
        <f t="shared" ref="O37:O41" si="14">SQRT(F37*G37)</f>
        <v>316227766016.83789</v>
      </c>
      <c r="P37" s="49">
        <f t="shared" ref="P37:P42" si="15">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0"/>
        <v>usable wattage</v>
      </c>
      <c r="K38" s="44">
        <f t="shared" si="11"/>
        <v>3.1622776601683796E+22</v>
      </c>
      <c r="L38" s="49">
        <f t="shared" si="12"/>
        <v>1.9507603651809475</v>
      </c>
      <c r="N38" s="55" t="str">
        <f t="shared" si="13"/>
        <v>humans per star</v>
      </c>
      <c r="O38" s="44">
        <f t="shared" si="14"/>
        <v>100000000000</v>
      </c>
      <c r="P38" s="49">
        <f t="shared" si="15"/>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1"/>
        <v>0.1</v>
      </c>
      <c r="L39" s="49">
        <f t="shared" si="12"/>
        <v>0</v>
      </c>
      <c r="N39" s="55" t="str">
        <f t="shared" si="13"/>
        <v>factory farmed animals per star</v>
      </c>
      <c r="O39" s="44">
        <f t="shared" si="14"/>
        <v>100000000000</v>
      </c>
      <c r="P39" s="49">
        <f t="shared" si="15"/>
        <v>0.78030414607237897</v>
      </c>
    </row>
    <row r="40" spans="1:16" s="44" customFormat="1" ht="30" customHeight="1">
      <c r="A40" s="55"/>
      <c r="B40" s="56"/>
      <c r="C40" s="56"/>
      <c r="E40" s="67" t="s">
        <v>19</v>
      </c>
      <c r="F40" s="68">
        <v>10000000000000</v>
      </c>
      <c r="G40" s="68">
        <v>1E+16</v>
      </c>
      <c r="H40" s="39" t="s">
        <v>34</v>
      </c>
      <c r="J40" s="55"/>
      <c r="L40" s="49"/>
      <c r="N40" s="55" t="str">
        <f t="shared" si="13"/>
        <v>wild vertebrates per star</v>
      </c>
      <c r="O40" s="44">
        <f t="shared" si="14"/>
        <v>316227766016837.94</v>
      </c>
      <c r="P40" s="49">
        <f t="shared" si="15"/>
        <v>1.1704562191085683</v>
      </c>
    </row>
    <row r="41" spans="1:16" s="44" customFormat="1" ht="30" customHeight="1">
      <c r="A41" s="55"/>
      <c r="B41" s="56"/>
      <c r="C41" s="56"/>
      <c r="E41" s="67" t="s">
        <v>54</v>
      </c>
      <c r="F41" s="68">
        <v>1E+17</v>
      </c>
      <c r="G41" s="68">
        <v>1E+21</v>
      </c>
      <c r="H41" s="39" t="s">
        <v>35</v>
      </c>
      <c r="J41" s="55"/>
      <c r="L41" s="49"/>
      <c r="N41" s="55" t="str">
        <f t="shared" si="13"/>
        <v>insects per star</v>
      </c>
      <c r="O41" s="44">
        <f t="shared" si="14"/>
        <v>1E+19</v>
      </c>
      <c r="P41" s="49">
        <f t="shared" si="15"/>
        <v>1.5606082921447579</v>
      </c>
    </row>
    <row r="42" spans="1:16" s="44" customFormat="1" ht="30" customHeight="1">
      <c r="E42" s="67" t="s">
        <v>58</v>
      </c>
      <c r="F42" s="68">
        <v>1E-3</v>
      </c>
      <c r="G42" s="68">
        <v>1</v>
      </c>
      <c r="H42" s="39"/>
      <c r="N42" s="55" t="str">
        <f>E42</f>
        <v>simulations per insect</v>
      </c>
      <c r="O42" s="44">
        <f>SQRT(F42*G42)</f>
        <v>3.1622776601683791E-2</v>
      </c>
      <c r="P42" s="49">
        <f t="shared" si="15"/>
        <v>1.1704562191085683</v>
      </c>
    </row>
    <row r="45" spans="1:16" ht="20">
      <c r="A45" s="6" t="s">
        <v>20</v>
      </c>
    </row>
    <row r="46" spans="1:16">
      <c r="A46">
        <v>1</v>
      </c>
      <c r="B46" t="s">
        <v>25</v>
      </c>
      <c r="C46" t="s">
        <v>21</v>
      </c>
    </row>
    <row r="47" spans="1:16">
      <c r="A47">
        <v>2</v>
      </c>
      <c r="B47" t="s">
        <v>129</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16" sqref="L16"/>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260</v>
      </c>
    </row>
    <row r="2" spans="1:18" ht="45">
      <c r="B2" s="123" t="s">
        <v>168</v>
      </c>
      <c r="C2" s="123" t="s">
        <v>169</v>
      </c>
      <c r="D2" s="5" t="s">
        <v>27</v>
      </c>
      <c r="E2" s="5"/>
      <c r="F2" s="5"/>
      <c r="G2" s="123" t="s">
        <v>168</v>
      </c>
      <c r="H2" s="123" t="s">
        <v>169</v>
      </c>
      <c r="I2" s="5" t="s">
        <v>27</v>
      </c>
      <c r="L2" s="3" t="s">
        <v>172</v>
      </c>
      <c r="M2" s="3" t="s">
        <v>170</v>
      </c>
      <c r="O2" t="s">
        <v>173</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198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192</v>
      </c>
      <c r="L4" s="14">
        <f>B11*O4</f>
        <v>6.3245553203367595E+46</v>
      </c>
      <c r="M4" s="14">
        <f>C11</f>
        <v>4.2916728033980842</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211</v>
      </c>
      <c r="L5" s="14">
        <f>B16*O5</f>
        <v>8.095430810031051E+44</v>
      </c>
      <c r="M5" s="14">
        <f>C16</f>
        <v>3.5113686573257055</v>
      </c>
      <c r="N5" t="s">
        <v>212</v>
      </c>
      <c r="O5">
        <f>p_computronium*p_ems</f>
        <v>0.25600000000000001</v>
      </c>
      <c r="Q5" s="3"/>
      <c r="R5" s="3"/>
    </row>
    <row r="6" spans="1:18">
      <c r="A6" s="5" t="s">
        <v>41</v>
      </c>
      <c r="B6" s="8">
        <f>VLOOKUP($A6,Globals!$J$36:$L$40,2,FALSE)</f>
        <v>0.1</v>
      </c>
      <c r="C6" s="8">
        <f>VLOOKUP($A6,Globals!$J$36:$L$40,3,FALSE)</f>
        <v>0</v>
      </c>
      <c r="D6" s="5"/>
      <c r="E6" s="5"/>
      <c r="F6" s="5"/>
      <c r="G6" s="5"/>
      <c r="H6" s="5"/>
      <c r="I6" s="5"/>
      <c r="K6" s="30" t="s">
        <v>164</v>
      </c>
      <c r="L6" s="31" t="str">
        <f>WriteArray(SumLognormDists(L3:M5))</f>
        <v>0,0,0,0,0,0,0,0,0,0,0,0,0,0,0,0,0,0,0,0,0,0,0,0,0,0,0,0,0,0,0,0,0,0,0,0,0,0,0,0,0,0,0,0,0,0,0,0,0,0,0,0,0,0,0,0,0,0,0,0,0,0,0,0,0,0,0,0,0,0,0,0,0,0,0,0,0,0,0,0,0,0,0,0,0,0,0,0,0,0,0,0,0,0,0,0,0,0,0,0,0,0,0,0,0,0,0,0,0,0,0,0,0,0,0,0,0,0,0,0,0,0,0,0,0,0,0,0,0,0,0,0,0,0,0,0,0,0,0,0,0,0,0,0,0,0,0,0,0,0,0,0,0,0,0,0,0,0,0,0,0,0,0,0,0,0,0,0,0,0,0,0,0,0,0,0,0,0,0,0,0,0,0,0,0,0,0,0,0,0,0,0,0,0,0,0,0,0,0,0,0,0,0,0,0,0,0,0,0,0,0,1.23516411460312E-322,3.15707947692557E-321,7.88084111681372E-320,1.95054152584249E-318,4.78797634000944E-317,1.16559722604372E-315,2.81413775238552E-314,6.7381793012417E-313,1.60007435625373E-311,3.76823677641869E-310,8.8010937234359E-309,2.03861670035639E-307,4.683116975574E-306,1.06692761785532E-304,2.41065720856358E-303,5.4017755900844E-302,1.20043381961969E-300,2.64569964568593E-299,5.78287116276246E-298,1.25356593825082E-296,2.6949553018122E-295,5.74588190253476E-294,1.21496173208875E-292,2.54782330716873E-291,5.29879168374033E-290,1.09291213516931E-288,2.23560227229167E-287,4.53528682733519E-286,9.12464395028377E-285,1.82065676073113E-283,3.60280903153035E-282,7.07058669703698E-281,1.37616572335691E-279,2.65636120182102E-278,5.08516043422845E-277,9.65435715295635E-276,1.81778814236689E-274,3.39441085111077E-273,6.28618006091856E-272,1.15454410534918E-270,2.10298209503613E-269,3.79893612018244E-268,6.80596654009609E-267,1.2092582688185E-265,2.13083486290297E-264,3.72376296678681E-263,6.4538044969179E-262,1.10930548319215E-260,1.8909851895636E-259,3.19688301846582E-258,5.36002787206371E-257,8.91269560240149E-256,1.46978178339139E-254,2.40380062674305E-253,3.89893381539128E-252,6.27184267157016E-251,1.00056742608585E-249,1.58306780095832E-248,2.48401755765831E-247,3.86555481962492E-246,5.96583285847941E-245,9.13129633666449E-244,1.38610440366537E-242,2.0867078098162E-241,3.11551303877341E-240,4.61317341206082E-239,6.77442291276658E-238,9.86613811138028E-237,1.42503155014974E-235,2.04128768734097E-234,2.89992284643482E-233,4.08574451732881E-232,5.70898037654971E-231,7.91131213511906E-230,1.08727940200231E-228,1.48196012872557E-227,2.00324765289954E-226,2.68556443802238E-225,3.5705849610637E-224,4.70810427311401E-223,6.15680969927805E-222,7.98487997840002E-221,1.02703231736786E-219,1.31009542932385E-218,1.65739074243487E-217,2.07945770996183E-216,2.58748913363914E-215,3.19308358549854E-214,3.90791764775333E-213,4.74333650545569E-212,5.70986629912276E-211,6.81665740195198E-210,8.07087415979567E-209,9.47705323752032E-208,1.10364590661865E-206,1.27464704195521E-205,1.4600036268442E-204,1.65852411868485E-203,1.86850202097008E-202,2.08770598023351E-201,2.31339153241806E-200,2.54233661230546E-199,2.77090175182193E-198,2.99511450269328E-197,3.21077611126604E-196,3.41358695278735E-195,3.59928581481371E-194,3.76379692205239E-193,3.90337772588872E-192,4.01476002917619E-191,4.09527703909177E-190,4.14296945988739E-189,4.15666473464374E-188,4.13602496166831E-187,4.08156075164855E-186,3.99461023213858E-185,3.87728440468417E-184,3.73238196988788E-183,3.56327841799648E-182,3.37379551841422E-181,3.16805824270201E-180,2.95034657139555E-179,2.72494955542508E-178,2.49602845803657E-177,2.2674948582593E-176,2.04290834517304E-175,1.82539698434256E-174,1.61760221162328E-173,1.42164831917555E-172,1.23913534487093E-171,1.07115303970208E-170,9.18312723431453E-170,7.80793274474125E-169,6.58397237511053E-168,5.50613049948265E-167,4.56679646103939E-166,3.75650143439754E-165,3.0645188946005E-164,2.47940791773125E-163,1.98948512392653E-162,1.58321734009793E-161,1.24953264641815E-160,9.78052133370084E-160,7.59248304987446E-159,5.84538591683474E-158,4.46323940024196E-157,3.37983046637153E-156,2.53832658438565E-155,1.89063649086713E-154,1.3966147971136E-153,1.02318324316706E-152,7.4342727147822E-152,5.35712724102999E-151,3.82854675116675E-150,2.71359221687375E-149,1.90749747415892E-148,1.32981808661157E-147,9.19452925757634E-147,6.30486637921295E-146,4.28777042971804E-145,2.89198836212722E-144,1.93451038219438E-143,1.28337988523316E-142,8.44401827393537E-142,5.5100178944281E-141,3.56588144421931E-140,2.28871110113475E-139,1.4568853603096E-138,9.19750966977419E-138,5.7587170913161E-137,3.57595461617034E-136,2.20226292777891E-135,1.34510877270406E-134,8.14810964457079E-134,4.89516914961348E-133,2.91668871340695E-132,1.72355108529317E-131,1.01011333696013E-130,5.87121634285902E-130,3.38452919634931E-129,1.93499934209788E-128,1.09717506587441E-127,6.16998013787561E-127,3.44115719812333E-126,1.90343632253765E-125,1.04420429002232E-124,5.68127830248315E-124,3.06563410108641E-123,1.64062162652706E-122,8.70784328830776E-122,4.58381454808121E-121,2.39308398406462E-120,1.23909190264611E-119,6.3630302481246E-119,3.240705479499E-118,1.63693135037945E-117,8.20043556774609E-117,4.07435769967094E-116,2.00769343718981E-115,9.81187240186938E-115,4.75579221694225E-114,2.28618085612757E-113,1.08997183634899E-112,5.1539144201701E-112,2.41699983599983E-111,1.12417466325638E-110,5.1857190723706E-110,2.37247951873598E-109,1.0765012239706E-108,4.84446068875234E-108,2.16219811155036E-107,9.57116853195276E-107,4.20198186419956E-106,1.82963061255594E-105,7.9011991147095E-105,3.38410051630598E-104,1.4375219444575E-103,6.05629499633953E-103,2.53058659021371E-102,1.04871472940408E-101,4.31038303792598E-101,1.75710230530872E-100,7.10397263682262E-100,2.84858332806642e-99,1.13287076515208e-98,4.46844059008182e-98,1.74805935930978e-97,6.78236773345351e-97,2.60994807971464e-96,9.96112058170964e-96,3.77060246646365e-95,1.41559803941229e-94,5.27103933461974e-94,1.94661522107222e-93,7.13004038062332e-93,2.59019436656929e-92,9.33257941357979e-92,3.33503582395587e-91,1.18203214719591e-90,4.1551677880393e-90,1.44870135045693e-89,5.00957320648901e-89,1.71812480016735e-88,5.84441933730218e-88,1.9717928805816e-87,6.59804199701405e-87,2.18979429717072e-86,7.20819705547669e-86,2.35334556390487e-85,7.62045899892657e-85,2.44744872000842e-84,7.79621485102759e-84,2.46315888407879e-83,7.71862964042914e-83,2.39898683944007e-82,7.39530637256364e-82,2.26113188403698e-81,6.85705813027439e-81,2.0624944978807e-80,6.15306686060748e-80,1.82068660902998e-79,5.3434822733406e-79,1.55546436441359e-78,4.4910015832272e-78,1.28610005457639e-77,3.65305065728513e-77,1.02916979777427e-76,2.87587370646766e-76,7.97085841768608e-76,2.1912603801299e-75,5.97499594228321e-75,1.6159843229195e-74,4.33504659136833e-74,1.153476433659e-73,3.04427080163539e-73,7.96927375690952e-73,2.06926667490094e-72,5.32939394233468e-72,1.36145803017073e-71,3.44982639480166e-71,8.67078253409458e-71,2.16166797176363e-70,5.34553209931775e-70,1.31119060141833e-69,3.1901813460431e-69,7.69912472634786e-69,1.84308608743689e-68,4.37653161821716e-68,1.03085283595799e-67,2.40850444719306e-67,5.58193172202512e-67,1.28324637580753e-66,2.92635009329265e-66,6.61965802202455e-66,1.48538924026688e-65,3.30630517497728e-65,7.30039113210502e-65,1.59901496589391e-64,3.47428076606659e-64,7.48835039247993e-64,1.60110292020471e-63,3.39599689035865e-63,7.14551396477312e-63,1.4914927556271e-62,3.08840162407797e-62,6.34417182922028e-62,1.29285070115362e-61,2.61371339687789e-61,5.2421293398318e-61,1.04304217236792e-60,2.05894490930963e-60,4.03218857962337e-60,7.8342045162927e-60,1.51012130974775e-59,2.88799694027085e-59,5.47967613779927e-59,1.03155372171803e-58,1.92669672860957e-58,3.57047020709087e-58,6.56499279221466e-58,1.19769540559936e-57,2.16804643532431e-57,3.89410720223772e-57,6.94019563943416e-57,1.22734788769782e-56,2.15379218740346e-56,3.75049335355082e-56,6.48082322312822e-56,1.11131756522005e-55,1.89113202827261e-55,3.19367727676892e-55,5.35249128704738e-55,8.90281521846869e-55,1.46965817901358e-54,2.40787811815991e-54,3.915560474633e-54,6.31985663951078e-54,1.01248237507184e-53,1.61008314151485e-53,2.54158067164656e-53,3.98262123236919e-53,6.19525150902225e-53,9.56730515627851e-53,1.46682254931424e-52,2.23274915436367e-52,3.37438364805574e-52,5.06360184344703e-52,7.54491318938583e-52,1.11634449463623e-51,1.64025677643802e-51,2.39340412301286e-51,3.46842593309458e-51,4.99209963720324e-51,7.13659979827063e-51,1.01339828385767e-50,1.42946565762424e-50,2.0030721470238e-50,2.78852049298085e-50,3.85683469702718e-50,5.30022290516529e-50,7.23751605324386e-50,9.82073393408407e-50,1.32429373794172e-49,1.77475277633774e-49,2.36391515129118e-49,3.12963560825308e-49,4.11861231300601e-49,5.3880372573897e-49,7.00744859998721e-49,9.06078378175118e-49,1.16486246184354e-48,1.48906161952661e-48,1.89280302225975e-48,2.39264305756609e-48,3.00783841507291e-48,3.76061441498125e-48,4.67642158124267e-48,5.78416969480841e-48,7.11642680462097e-48,8.70956900719191e-48,1.06038653274091e-47,1.28434808554716e-47,1.5476380540519e-47,1.8554115840281e-47,2.21314769083387e-47,2.62659942901108e-47,3.10172763037517e-47,3.64461714859732e-47,4.26137497332665e-47,4.95801010687505e-47,5.74029572622153e-47,6.61361487126035e-47,7.58279168886528e-47,8.65191109677352e-47,9.82413058035268e-47,1.11014886621378e-46,1.24847153472668e-46,1.3973050503471e-46,1.55640766372826e-46,1.72535728355731e-46,1.90353967148325e-46,2.09014010282729e-46,2.2841391101202e-46,2.48431284884822e-46,2.68923851785092e-46,2.89730513252553e-46,3.10672979082057e-46,3.31557939490795e-46,3.52179760171172e-46,3.72323658056556e-46,3.91769296438189e-46,4.1029472004653e-46,4.27680534708302e-46,4.43714223021677e-46,4.58194477871674e-46,4.70935430113854e-46,4.8177064579064e-46,4.90556772012776e-46,4.97176719120723e-46,5.01542279694179e-46,5.0359610194153e-46,5.03312955316011e-46,5.00700249045854e-46,4.95797788680527e-46,4.88676780715705e-46,4.79438119813618e-46,4.68210016060217e-46,4.55145040156393e-46,4.40416681616359e-46,4.24215528299751e-46,4.06745184489833e-46,3.88218049017126e-46,3.68851074604133e-46,3.48861624872263e-46,3.28463536699283e-46,3.07863483401856e-46,2.87257719228062e-46,2.66829268651768e-46,2.46745605779749e-46,2.27156850629486e-46,2.08194490885896e-46,1.89970620698684e-46,1.72577672733895e-46,1.56088606513891e-46,1.40557505402174e-46,1.26020526604749e-46,1.12497143322131e-46,9.99916156233546e-47,8.8494626543058e-47,7.79850220532869e-47,6.84315975948375e-47,5.97948793883272e-47,5.20288553828777e-47,4.50826180429306e-47,3.89018888447178e-47,3.34304020128195e-47,2.86111323808281e-47,2.43873590697048e-47,2.07035627621388e-47,1.75061595881102e-47,1.47440789577086e-47,1.2369196063313e-47,1.03366322481311e-47,8.60493805987545e-48,7.13617466095772e-48,5.89590945162172e-48,4.85314139134746e-48,3.98017069110455e-48,3.25242640628717e-48,2.64826409175977e-48,2.14874418004032e-48,1.73740019206014e-48,1.4000043540308e-48,1.12433672643897e-48,8.99962591188965e-49,7.18021617011162e-49,5.71031246996753e-49,4.52705831692058e-49,3.57792265196962e-49,2.81922262935757e-49,2.21480936781007e-49,1.7349096185144e-49,1.3551137392946e-49,1.05549870953939e-49,8.19874006901955e-50,6.3513784654781e-50,4.90731422163484e-50,3.7817926628955e-50,2.90704563942405e-50,2.22909122972381e-50,1.70508658315667e-50,1.3011503116622e-50,9.90580571888696e-51,7.52404306076293e-51,5.70201832127917e-51,4.31158966394077e-51,3.25306063797965e-51,2.44909752605472e-51,1.83988743072056e-51,1.37929941742403e-51,1.03185262941405e-51,7.70330611415119e-52,5.73910810622291e-52,4.26703049341308e-52,3.1661133858036e-52,2.34450335614159e-52,1.73261594981535e-52,1.27786015533562e-52,9.40579794383782e-53,6.90939874780926e-53,5.06544390651663e-53,3.7061856152738e-53,2.70625345063444e-53,1.97215119388669e-53,1.43430260984713e-53,1.0410420914667e-53,7.54085366578986e-54,5.45123676051961e-54,3.93268622625977e-54,2.83139560632131e-54,2.03435157431645e-54,1.45868932026853e-54,1.04377778833213e-54,7.45347620141878e-55,5.31144147346224e-55,3.77716390320153e-55,2.68050366948806e-55,1.89828512981128e-55,1.34152370718773e-55,9.46072934158239e-56,6.65790869541317e-56,4.67558217796038e-56,3.27654390524933e-56,2.29127188846993e-56,1.59887902039657e-56,1.11334825165359e-56,7.73608297360847e-57,5.36394327381333e-57,3.71123631308572e-57,2.56225834436354e-57,1.76520718676659e-57,1.21348830845039e-57,8.32417883463704e-58,5.69786216622028e-58,3.89176061598753e-58,2.65242383252823e-58,1.80385404818199e-58,1.22411058046195e-58,8.28895651821784e-59,5.60064765861694e-59,3.77602710088142e-59,2.54032770100366e-59,1.70530298578537e-59,1.14227309701644e-59,7.63474248444228e-60,5.09183575918385e-60,3.38851541013869e-60,2.25008641529144e-60,1.49088170540606e-60,9.85691608144347e-61,6.50268139931052e-61,4.28052580910422e-61,2.81160752914782e-61,1.84274371461216e-61,1.20511250399866e-61,7.8639805199335e-62,5.12046302861294e-62,3.32680858366973e-62,2.15674094750905e-62,1.39514574685524e-62,9.00518100767039e-63,5.79984576317764e-63,3.72727505384955e-63,2.39010688058228e-63,1.52930452389518e-63,9.76385441906652e-64,6.22012620146272e-64,3.95391739027323e-64,2.50787798410414e-64,1.58721427273968e-64,1.00233985237803e-64,6.31603687580626e-65,3.97122489849686e-65,2.49146290650526e-65,1.55967618336306e-65,9.74236699878185e-66,6.07217841149667e-66,3.77636983170772e-66,2.34344325887036e-66,1.45105630269468e-66,8.96528206083498e-67,5.52705135840421e-67,3.3999526586127e-67,2.08690196232838e-67,1.27814761793269e-67,7.81105609091621e-68,4.7630841830824e-68,2.89812093665761e-68,1.75952112544704e-68,1.06591405791393e-68,6.44317026432056e-69,3.88621416646035e-69,2.33885635566924e-69,1.40452689019276e-69,8.41601013303599e-70,5.0319013471063e-70,3.00197905477885e-70,1.78703420131061e-70,1.06147002209594e-70,6.29118216948873e-71,3.72054398757718e-71,2.19548400771147e-71,1.29271789712067e-71,7.59498449248105e-72,4.45245629997972e-72,2.60448632789435e-72,1.52017693404537e-72,8.8535171705799e-73,5.14502117341233e-73,2.98337698223197e-73,1.72615081500554e-73,9.96549726346011e-74,5.74075276221664e-74,3.29980551831327e-74,1.89259407679288e-74,1.08311916145147e-74,6.18507017177265e-75,3.52421708814764e-75,2.00368894869896e-75,1.13670450543481e-75,6.43449529753968e-76,3.63438575748266e-76,2.04831706514575e-76,1.15189520822699e-76,6.46365826098296e-77,3.61904037841974e-77,2.02189266551087e-77,1.12712580089128e-77,6.26954915608649e-78,3.47976454064818e-78,1.9271389563544e-78,1.06494168915744e-78,5.8720298194721e-79,3.2307273007843e-79,1.7736257134743e-79,9.71568166410594e-80,5.31048519282273e-80,2.89630806219412e-80,1.57617679503846e-80,8.5588365153477e-81,4.6373957277176e-81,2.50716669178085e-81,1.35251436532031e-81,7.28031530569775e-82,3.91028233557111e-82,2.09563512222183e-82,1.12065735552954e-82,5.97970347669517e-83,3.1837288746619e-83,1.69138365338859e-83,8.96598084577907e-84,4.7424538083271e-84,2.50298379206541e-84,1.31814318986924e-84,6.92654672295299e-85,3.63178868290878e-85,1.90008924124128e-85,9.91920924547943e-86,5.16689611428846e-86,2.68554251810161e-86,1.39278461403029e-86,7.20751431180432e-87,3.72165997088789e-87,1.91750936736204e-87,9.85797975940469e-88,5.05694202824395e-88,2.58843732017221e-88,1.32201674395645e-88,6.73729996010292e-89,3.42597694767715e-89,1.7383315569033e-89,8.80096749587349e-90,4.44608585559484e-90,2.24117050153815e-90,1.12725345578024e-90,5.65741292260799e-91,2.83311240617542e-91,1.41566129574757e-91,7.05837188439901e-92,3.51155390044804e-92,1.74318614990803e-92,8.63451243564239e-93,4.26757828846272e-93,2.10462536194928e-93,1.0356612502131e-93,5.08522624580352e-94,2.49145161479366e-94,1.21799150685804e-94,5.94135753013523e-95,2.89185650976036e-95,1.40448600984925e-95,6.80624722495251e-96,3.2911497804103e-96,1.58795137611498e-96,7.64498041947775e-97,3.67252854325814e-97,1.76036857526217e-97,8.41960388177858e-98,4.0181795316106e-98,1.91344789036479e-98,9.09187731517297e-99,4.31062376693669e-99,2.03927735380774e-99,9.62635999174508E-100,4.53416714843443E-100,2.13099572399769E-100,9.99349168661662E-101,4.67629131009324E-101,2.18341095489335E-101,1.01722971268226E-101,4.72881380680826E-102,2.19348675598123E-102,1.01523701537569E-102,4.68866815068172E-103,2.160633835904E-103,9.93487655156242E-104,4.55820026592279E-104,2.08676697114399E-104,9.53244111657751E-105,4.34494149771215E-105,1.97612021246721E-105,8.96793418424872E-106,4.06088872519984E-106,1.83484503591807E-106,8.27231985207943E-107,3.72138729125906E-107,1.67044448524419E-107,7.48184745020995E-108,3.34376136803381E-108,1.49111564785127E-108,6.63494007211326E-109,2.94586137690346E-109,1.30508029745251E-109,5.76914939086305E-110,2.54469632058229E-110,1.11997870099337E-110,4.91850582863695E-111,2.15529262140313E-111,9.42386202223219E-112,4.11150876611914E-112,1.78987683460978E-112,7.77489797765193E-113,3.36989116949015E-113,1.45742655131897E-113,6.28936940719354E-114,2.70817768626736E-114,1.16358156520529E-114,4.98845585845423E-115,2.133954033082E-115,9.10864154956208E-116,3.87946455480274E-116,1.64869222452695E-116,6.99128515644602E-117,2.95817639811692E-117,1.2489376105853E-117,5.26146935970656E-118,2.21168346992242E-118,9.27659344036509E-119,3.88243058716877E-119,1.62131910848428E-119,6.75589556670704E-120,2.80896921090407E-120,1.1653614705731E-120,4.8241850288421E-121,1.99267688424017E-121,8.21295482732537E-122,3.37762639935598E-122,1.38603249303009E-122,5.67524791588509E-123,2.31870708523353E-123,9.45271502608349E-124,3.8451816974402E-124,1.56072645752762E-124,6.32100805513972E-125,2.55443890417226E-125,1.03004054746863E-125,4.14441032609229E-126,1.6638753898011E-126,6.66543464125048E-127,2.66431626038398E-127,</v>
      </c>
      <c r="M6" s="31" t="s">
        <v>160</v>
      </c>
      <c r="Q6" s="3"/>
      <c r="R6" s="3"/>
    </row>
    <row r="7" spans="1:18">
      <c r="B7" s="5"/>
      <c r="C7" s="5"/>
      <c r="D7" s="5"/>
      <c r="E7" s="5"/>
      <c r="F7" s="10" t="s">
        <v>50</v>
      </c>
      <c r="G7" s="5"/>
      <c r="H7" s="5"/>
      <c r="I7" s="5"/>
      <c r="K7" s="3" t="s">
        <v>167</v>
      </c>
      <c r="L7" s="3">
        <f>STupidExcelMean(L6)</f>
        <v>5.5641796030385682E+51</v>
      </c>
      <c r="M7" s="3">
        <f>STupidExcelVariance(L6,L7)</f>
        <v>2.3369295285315731E+113</v>
      </c>
      <c r="N7" t="s">
        <v>162</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256</v>
      </c>
      <c r="G9" s="5">
        <f>VLOOKUP(F9,Globals!$A$21:$L$30,11,FALSE)</f>
        <v>1</v>
      </c>
      <c r="H9" s="5">
        <f>VLOOKUP(F9,Globals!$A$21:$L$30,12,FALSE)</f>
        <v>0</v>
      </c>
      <c r="I9" s="12" t="s">
        <v>258</v>
      </c>
      <c r="K9" s="15" t="s">
        <v>197</v>
      </c>
      <c r="L9" s="14">
        <f>G16*O9</f>
        <v>7.436128024718239E+33</v>
      </c>
      <c r="M9" s="14">
        <f>H16</f>
        <v>3.2077713338528238</v>
      </c>
      <c r="N9" t="s">
        <v>62</v>
      </c>
      <c r="O9">
        <f>p_biological*p_not_care_about_animals*p_factory_farming</f>
        <v>9.6000000000000016E-2</v>
      </c>
      <c r="Q9" s="3"/>
      <c r="R9" s="3"/>
    </row>
    <row r="10" spans="1:18">
      <c r="A10" s="5" t="s">
        <v>42</v>
      </c>
      <c r="B10" s="5">
        <f>VLOOKUP(A10,Globals!$A$21:$L$30,11,FALSE)</f>
        <v>1000</v>
      </c>
      <c r="C10" s="5">
        <f>VLOOKUP(A10,Globals!$A$21:$L$30,12,FALSE)</f>
        <v>0.78030414607237897</v>
      </c>
      <c r="D10" s="5"/>
      <c r="E10" s="5"/>
      <c r="F10" s="17" t="s">
        <v>52</v>
      </c>
      <c r="G10" s="124">
        <f>PRODUCT(G$3:G$4)*PRODUCT(G8:G9)</f>
        <v>3.1622776601683788E+34</v>
      </c>
      <c r="H10" s="124">
        <f>SUM(H$3:H$4)+SUM(H8:H9)</f>
        <v>2.7310645112533267</v>
      </c>
      <c r="I10" s="5"/>
      <c r="K10" s="15" t="s">
        <v>194</v>
      </c>
      <c r="L10" s="14">
        <f>G22*O10</f>
        <v>2.8621670111997308E+36</v>
      </c>
      <c r="M10" s="14">
        <f>H22</f>
        <v>3.8637110878888374</v>
      </c>
      <c r="N10" t="s">
        <v>73</v>
      </c>
      <c r="O10">
        <f>p_biological*p_not_care_about_animals*p_spread_was</f>
        <v>0.12800000000000003</v>
      </c>
      <c r="Q10" s="3"/>
      <c r="R10" s="3"/>
    </row>
    <row r="11" spans="1:18">
      <c r="A11" s="16" t="s">
        <v>52</v>
      </c>
      <c r="B11" s="124">
        <f>PRODUCT($B$3:$B$6)*B10</f>
        <v>3.1622776601683793E+48</v>
      </c>
      <c r="C11" s="124">
        <f>SUM(C$3:C$6)+C10</f>
        <v>4.2916728033980842</v>
      </c>
      <c r="D11" s="5"/>
      <c r="E11" s="5"/>
      <c r="F11" s="5"/>
      <c r="G11" s="5"/>
      <c r="H11" s="5"/>
      <c r="I11" s="5"/>
      <c r="K11" s="15" t="s">
        <v>195</v>
      </c>
      <c r="L11" s="14">
        <f>G28*O11</f>
        <v>2.8043394944264509E+40</v>
      </c>
      <c r="M11" s="14">
        <f>H28</f>
        <v>4.3404179104883349</v>
      </c>
      <c r="N11" t="s">
        <v>74</v>
      </c>
      <c r="O11">
        <f>p_biological*p_not_care_about_animals*p_spread_was</f>
        <v>0.12800000000000003</v>
      </c>
      <c r="Q11" s="3"/>
      <c r="R11" s="3"/>
    </row>
    <row r="12" spans="1:18">
      <c r="B12" s="8"/>
      <c r="C12" s="5"/>
      <c r="D12" s="5"/>
      <c r="E12" s="5"/>
      <c r="F12" s="5"/>
      <c r="G12" s="5"/>
      <c r="H12" s="5"/>
      <c r="I12" s="5"/>
      <c r="K12" s="15" t="s">
        <v>196</v>
      </c>
      <c r="L12" s="14">
        <f>G35*O12</f>
        <v>6.6510751010644866E+38</v>
      </c>
      <c r="M12" s="14">
        <f>H35</f>
        <v>5.5108741295969033</v>
      </c>
      <c r="N12" t="s">
        <v>75</v>
      </c>
      <c r="O12">
        <f>p_biological*p_not_care_about_animals*p_suffering_simulations</f>
        <v>9.6000000000000016E-2</v>
      </c>
      <c r="Q12" s="3"/>
      <c r="R12" s="3"/>
    </row>
    <row r="13" spans="1:18" ht="30">
      <c r="B13" s="5"/>
      <c r="C13" s="5"/>
      <c r="D13" s="5"/>
      <c r="E13" s="5"/>
      <c r="F13" s="10" t="s">
        <v>53</v>
      </c>
      <c r="G13" s="5"/>
      <c r="H13" s="5"/>
      <c r="I13" s="5"/>
      <c r="K13" s="15" t="s">
        <v>199</v>
      </c>
      <c r="L13" s="14">
        <f>B21*O13</f>
        <v>1.0733126291998991E+43</v>
      </c>
      <c r="M13" s="14">
        <f>C21</f>
        <v>5.189424426324841</v>
      </c>
      <c r="N13" t="s">
        <v>77</v>
      </c>
      <c r="O13">
        <f>p_computronium*p_paperclip</f>
        <v>0.12</v>
      </c>
      <c r="Q13" s="3"/>
      <c r="R13" s="3"/>
    </row>
    <row r="14" spans="1:18" ht="30">
      <c r="A14" s="10" t="s">
        <v>209</v>
      </c>
      <c r="B14" s="5"/>
      <c r="C14" s="5"/>
      <c r="D14" s="5"/>
      <c r="E14" s="5"/>
      <c r="F14" s="5" t="s">
        <v>18</v>
      </c>
      <c r="G14" s="5">
        <f>VLOOKUP($F14,Globals!$N$36:$P$42,2,FALSE)</f>
        <v>100000000000</v>
      </c>
      <c r="H14" s="5">
        <f>VLOOKUP($F14,Globals!$N$36:$P$42,3,FALSE)</f>
        <v>0.78030414607237897</v>
      </c>
      <c r="I14" s="5"/>
      <c r="K14" s="15" t="s">
        <v>193</v>
      </c>
      <c r="L14" s="14">
        <f>B26*O14</f>
        <v>1.2649110640673518E+46</v>
      </c>
      <c r="M14" s="14">
        <f>C26</f>
        <v>4.2916728033980842</v>
      </c>
      <c r="N14" t="s">
        <v>78</v>
      </c>
      <c r="O14">
        <f>p_computronium*p_dolorium</f>
        <v>4.0000000000000001E-3</v>
      </c>
    </row>
    <row r="15" spans="1:18" ht="30">
      <c r="A15" s="5" t="s">
        <v>210</v>
      </c>
      <c r="B15" s="5">
        <f>VLOOKUP(A15,Globals!$A$21:$L$30,11,FALSE)</f>
        <v>1</v>
      </c>
      <c r="C15" s="5">
        <f>VLOOKUP(A15,Globals!$A$21:$L$30,12,FALSE)</f>
        <v>0</v>
      </c>
      <c r="D15" s="5"/>
      <c r="E15" s="5"/>
      <c r="F15" s="5" t="s">
        <v>38</v>
      </c>
      <c r="G15" s="5">
        <f>VLOOKUP(F15,Globals!$A$21:$L$30,11,FALSE)</f>
        <v>2.4494897427831779</v>
      </c>
      <c r="H15" s="5">
        <f>VLOOKUP(F15,Globals!$A$21:$L$30,12,FALSE)</f>
        <v>0.47670682259949748</v>
      </c>
      <c r="I15" s="5"/>
      <c r="K15" s="30" t="s">
        <v>165</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9.88131291682493E-324,6.47225996052033E-322,3.79393009441493E-320,2.17450148310233E-318,1.22965745654083E-316,6.86255073895381E-315,3.7797714839095E-313,2.0545851821205E-311,1.10220278634255E-309,5.83549522419507E-308,3.04910870336372E-306,1.57234263363684E-304,8.00203937481022E-303,4.01914345327565E-301,1.99225892343803E-299,9.7462517367455E-298,4.70553665934216E-296,2.24212857510734E-294,1.05436700326732E-292,4.89331488899216E-291,2.24127276326558E-289,1.01313328201458E-287,4.5197966869858E-286,1.9899941264111E-284,8.64699880138915E-283,3.70817177922351E-281,1.56940584238412E-279,6.55528828067367E-278,2.70227517425661E-276,1.09938227453307E-274,4.41417362247568E-273,1.74916892607208E-271,6.84062681600445E-270,2.64023138257066E-268,1.005703979364E-266,3.78077282561713E-265,1.40272771683372E-263,5.13628014927461E-262,1.85612280977398E-260,6.61984075463771E-259,2.33008282963703E-257,8.09428168112476E-256,2.7750356102149E-254,9.38949547499244E-253,3.13544770669941E-251,1.033333801435E-249,3.36097777514533E-248,1.07888396910928E-246,3.41796884225216E-245,1.0686755806709E-243,3.29767816067462E-242,1.00428139405049E-240,3.01847445069039E-239,8.95374464880825E-238,2.62124245872227E-236,7.57347420086718E-235,2.15957729769232E-233,6.07754502350658E-232,1.68800461075892E-230,4.6270614817067E-229,1.25176642161588E-227,3.34216510382894E-226,8.80682305428439E-225,2.29032757771914E-223,5.87845356528804E-222,1.48907282419167E-220,3.72268543769445E-219,9.18511298677721E-218,2.23666339754965E-216,5.37532752223645E-215,1.27496309738888E-213,2.98455023765618E-212,6.89523358207727E-211,1.5722011155202E-209,3.53798889428906E-208,7.85767932886959E-207,1.72235168174759E-205,3.72596945065313E-204,7.95512304054436E-203,1.67627358486331E-201,3.48604931699294E-200,7.15505566568568E-199,1.44938450508853E-197,2.89764757741052E-196,5.71740707331585E-195,1.11338282611111E-193,2.13984358414236E-192,4.05893321328263E-191,7.59861444244115E-190,1.40394406019872E-188,2.56010842419327E-187,4.60744696774767E-186,8.18381942987059E-185,1.43464918978608E-183,2.48215938290638E-182,4.23846075952658E-181,7.14301420361056E-180,1.18809180364099E-178,1.95035614589769E-177,3.15990179902517E-176,5.05276726993668E-175,7.97409418160464E-174,1.24202431524874E-172,1.90930727210951E-171,2.8968023915006E-170,4.33770045211736E-169,6.41059325193601E-168,9.35050789923074E-167,1.3460798986434E-165,1.91251778432083E-164,2.68188088480522E-163,3.71170288770103E-162,5.06998886770242E-161,6.83504308971262E-160,9.09444775904765E-159,1.19429774805383E-157,1.54792703485717E-156,1.98011466599554E-155,2.49995721900054E-154,3.1151402097019E-153,3.83112054044933E-152,4.65026441627602E-151,5.57100458413215E-150,6.5870938507784E-149,7.68703911934075E-148,8.85379944818134E-147,1.0064821341912E-145,1.1292464137091E-144,1.25048387600895E-143,1.36670465402852E-142,1.47427646835848E-141,1.56960859255213E-140,1.64934866690608E-139,1.71057751733221E-138,1.75098627177123E-137,1.76902081489055E-136,1.7639809851378E-135,1.73606568730889E-134,1.68635986847296E-133,1.61676454577876E-132,1.52987617652879E-131,1.42882603885832E-130,1.31709346168584E-129,1.19830838793015E-128,1.07605876225507E-127,9.53716700880303E-127,8.34294607709814E-126,7.20338762605302E-125,6.13863904591451E-124,5.16328441180394E-123,4.28646543670022E-122,3.51230832809759E-121,2.84057777961955E-120,2.26747345601292E-119,1.78648739454269E-118,1.38925087002599E-117,1.06631409360089E-116,8.07819181820067E-116,6.04043922125861E-115,4.45809217447546E-114,3.24755544508028E-113,2.33502732692627E-112,1.65712815713768E-111,1.16077983353632E-110,8.02553793382789E-110,5.47683830971493E-109,3.68908029847631E-108,2.45267322102037E-107,1.60951732112379E-106,1.04252629760978E-105,6.66522505121559E-105,4.20610501622979E-104,2.61989558868412E-103,1.61074777958426E-102,9.77489088035701E-102,5.85515332928267E-101,3.46184636837313E-100,2.02032708344558e-99,1.16380762909578e-98,6.61740330038778e-98,3.71400256118951e-97,2.05753067128218e-96,1.12512642668783e-95,6.07307464799683e-95,3.23571030367443e-94,1.70171109532177e-93,8.83402693925377e-93,4.52678470648435e-92,2.28971154129723e-91,1.14322875604429e-90,5.63441202759872e-90,2.74112516258866e-89,1.31636304397849e-88,6.24008984846792e-88,2.9199552422035e-87,1.34875674074596e-86,6.1498579841541e-86,2.76804130391968e-85,1.229866907772e-84,5.39416022609422e-84,2.33545718438076e-83,9.98170068921246e-83,4.21137610952028e-82,1.75401264585403e-81,7.21162333197247e-81,2.92703194730938e-80,1.17278543325357e-79,4.63883549917821e-79,1.81134593998216e-78,6.98230227584149e-78,2.65707358077399e-77,9.98203687751964e-77,3.70210272486666e-76,1.35548467873519e-75,4.899602595991e-75,1.74843921121446e-74,6.15980700287517e-74,2.14246686997037e-73,7.35690648201636e-73,2.49410224162982e-72,8.34785840480661e-72,2.75855554719439e-71,8.99991477062839e-71,2.89900768093172e-70,9.21974875165661e-70,2.89502387720061e-69,8.97538949277405e-69,2.7474351847797e-68,8.30385349834058e-68,2.47807941399738e-67,7.30196098482854e-67,2.12450696573105e-66,6.10347240959097e-66,1.73141829889558e-65,4.84997433040221e-65,1.34151565683693e-64,3.66418674911652e-64,9.88307114676953e-64,2.63236362299631e-63,6.92383811519375e-63,1.79846791846542e-62,4.61340128238171e-62,1.16872084620376e-61,2.92401738831086e-61,7.22499600496292e-61,1.76316517958205e-60,4.24967473938402e-60,1.01166241382096e-59,2.37871863239769e-59,5.52444634087561e-59,1.26731262921909e-58,2.87170347502802e-58,6.42788644425745e-58,1.42128758600625e-57,3.10451494487294e-57,6.69910702851154e-57,1.42812194595896e-56,3.00782974225251e-56,6.25886648460249e-56,1.28679114213102e-55,2.61400494811397e-55,5.24695495225409e-55,1.04070605883043e-54,2.03979491085382e-54,3.95094604832207e-54,7.56294655485099e-54,1.43079080568632e-53,2.67532754875178e-53,4.94441297799132e-53,9.03257206670244e-53,1.63113443741963e-52,2.91187784637631e-52,5.13908532987045e-52,8.96711540739638e-52,1.54703339310297e-51,2.63908353014552e-51,4.45184876436422e-51,7.42659193171666e-51,1.22526340536675e-50,1.99935412213717e-50,3.22701299570613e-50,5.15221001787649e-50,8.13767049651259e-50,1.2716069768489e-49,1.96600766835886e-49,3.0076751279495e-49,4.55328246399305e-49,6.82183721474e-49,1.01157224743317e-48,1.48473000351615e-48,2.15719698228054e-48,3.10285171553405e-48,4.41874247615125e-48,6.23075567780943e-48,8.70012160429996e-48,1.20307018069247e-47,1.64769308052344e-47,2.235219765704e-47,3.00373526821834e-47,3.99889151888572e-47,5.274644559806e-47,6.89384381071309e-47,8.9285998049885e-47,1.14603502847311e-46,1.45795418974243e-46,1.83848471395343e-46,2.29818446578706e-46,2.84811062731701e-46,3.49956564406832e-46,4.26377990877397e-46,5.15153420338372e-46,6.17272890209584e-46,7.33591116486517e-46,8.64777555657641e-46,1.01126574073954e-45,1.17320414623066e-45,1.35041106377688e-45,1.54233607317825e-45,1.74803065051307e-45,1.96613025393986e-45,2.19484986625737e-45,2.43199446151848e-45,2.67498522283365e-45,2.9209016028893e-45,3.16653852957697e-45,3.40847726451913e-45,3.64316767279627e-45,3.86701900712215e-45,4.0764957931996e-45,4.26821506046821e-45,4.43904101791361e-45,4.58617333871525e-45,4.7072254868671e-45,4.80028997644234e-45,4.8639880706341e-45,4.89750216404808e-45,4.90058990222066e-45,4.87357992804807e-45,4.8173499571581e-45,4.73328862836269e-45,4.62324321291603e-45,4.48945576787333e-45,4.33449066510744e-45,4.1611566099533e-45,3.97242628396491e-45,3.77135661634138e-45,3.56101242758557e-45,3.34439582222307e-45,3.12438326399481e-45,2.90367177741346e-45,2.68473521393583e-45,2.46979102684173e-45,2.26077753998518e-45,2.05934129081772e-45,1.86683369101047e-45,1.68431598665075e-45,1.51257131714402e-45,1.35212256572448e-45,1.20325465909935e-45,1.06604000050009e-45,9.40365798585027e-46,8.25962172495686e-46,7.22430058991914e-46,6.29268109603763e-46,5.45897933863206e-46,4.71687210136116e-46,4.05970341302488e-46,3.48066473266562e-46,2.9729481650236e-46,2.52987312640309e-46,2.14498768951072e-46,1.81214644091573e-46,1.52556710118988e-46,1.27986840627808e-46,1.07009185362019e-46,8.91709903919797e-47,7.40623125005093e-47,6.13148592255282e-47,5.06001642502252e-47,4.16272834149904e-47,3.41401711271116e-47,2.7914871620873e-47,2.27566353225626e-47,1.84970481747914e-47,1.49912416041768e-47,1.21152331062865e-47,9.76343224109846e-48,7.84633412729194e-48,6.28841215179696e-48,5.02621337038549e-48,4.00665372937421e-48,3.18550553660805e-48,2.5260663009098e-48,1.99799590334561e-48,1.57630783965723e-48,1.24049978263246e-48,9.7380878260951e-49,7.6257690569784e-49,5.95713879085547e-49,4.64244270167693e-49,3.6092779083134e-49,2.79942427703264e-49,2.16621206541768e-49,1.67234470182583e-49,1.28810561072323e-49,9.8988736483146e-50,7.5898998703487e-50,5.80642906303425e-50,4.43211897967623e-50,3.37558341713689e-50,2.56523360743656e-50,1.94513923759238e-50,1.47171864553769e-50,1.11110070504562e-50,8.37028784426477e-51,6.29200583683131e-51,4.71957219635521e-51,3.53251183271263e-51,2.6383622812332e-51,1.96633297279502e-51,1.46235640536667e-51,1.08523642653168e-51,8.03658626824382e-52,5.93876151521636e-52,4.37923112688824e-52,3.22238945026044e-52,2.36611935075911e-52,1.73369955504809e-52,1.26762137605866e-52,9.24876225271191e-53,6.73373034511891e-53,4.89221419391138e-53,3.54676444319737e-53,2.56587677004459e-53,1.85231640100372e-53,1.33435008284868e-53,9.59177332376671e-54,6.8802111564295e-54,4.92467505631442e-54,3.51743063271413e-54,2.50694519621437e-54,1.78293151356177e-54,1.26530199812931e-54,8.96030172859256e-55,6.33168339693799e-55,4.46460546149675e-55,3.14132999805615e-55,2.20551429946642e-55,1.5451523887058e-55,1.08018262339414e-55,7.53506173347321e-56,5.2449283128154e-56,3.64296326650988e-56,2.52482874523559e-56,1.74610513106796e-56,1.20495168883669e-56,8.29715386743981e-57,5.70096559077314e-57,3.90865184873399e-57,2.67401845405682e-57,1.82540915822655e-57,1.24340914093494e-57,8.45133864924458e-58,5.7318418992397e-58,3.87900019087673e-58,2.61940086617534e-58,1.76498242367669e-58,1.18668309575361e-58,7.96131478003845e-59,5.32954623994721e-59,3.56000670969446e-59,2.3728282185625e-59,1.57810701318284e-59,1.04727575986016e-59,6.9348950887707e-60,4.58218673844954e-60,3.0210612452371e-60,1.98746712661348e-60,1.30464960610775e-60,8.54557261763998e-61,5.58523750251077e-61,3.64246318619265e-61,2.37029067220367e-61,1.53907868155168e-61,9.9717800642826e-62,6.44669455621169e-62,4.15866480476073e-62,2.67684393782219e-62,1.71927123339179e-62,1.10183826913199e-62,7.04601113946158e-63,4.49594228246499e-63,2.8625295121178e-63,1.8185740156224e-63,1.1528257700095e-63,7.29202221802768e-64,4.60239440578719e-64,2.89848568018307e-64,1.8214191471291e-64,1.14208910423034e-64,7.14564396316448e-65,4.46101822976269e-65,2.77893129602548e-65,1.72731983044998e-65,1.07131897731309e-65,6.63003592902294e-66,4.0941520490678e-66,2.52268493639646e-66,1.55100423000398e-66,9.5151104852695e-67,5.82459239008302e-67,3.55768962906127e-67,2.16830994510466e-67,1.31863749394613e-67,8.00166204641453e-68,4.8449097158367e-68,2.9271288866287e-68,1.76460965916133e-68,1.06146599399632e-68,6.37109562610733e-69,3.81568703928193e-69,2.28024722635134e-69,1.35969554187054e-69,8.09006372735302e-70,4.80300156160638e-70,2.84527347200604e-70,1.68184430903485e-70,9.91968865538471e-71,5.83795519524018e-71,3.42826139591853e-71,2.00880390683342e-71,1.17449614944661e-71,6.85197989159657e-72,3.98869643797213e-72,2.3168414179509e-72,1.34280220093072e-72,7.76565673526056e-73,4.48120426861809e-73,2.58024946563145e-73,1.48244659136279e-73,8.49858882598005e-74,4.86144060187703e-74,2.77481194249003e-74,1.58034728224632e-74,8.98094266682329e-75,5.09262536995523e-75,2.88145575279554e-75,1.62679416971831e-75,9.16439274786408e-76,5.1513993644298e-76,2.88933033561432e-76,1.61703579887778e-76,9.03009964894909e-77,5.03171383391637e-77,2.7976270606291e-77,1.55208040488808e-77,8.59189846704465e-78,4.7458564411424e-78,2.6157161601775e-78,1.43852432550966e-78,7.89395053608203e-79,4.32237266444461e-79,2.36156908047223e-79,1.28744819440684e-79,7.00341010076468e-80,3.8013693390917e-80,2.05883393588916e-80,1.11263659395059e-80,5.99979155792897e-81,3.22826977433864e-81,1.73322261032546e-81,9.28516822676692e-82,4.96336427129552e-82,2.64736307064128e-82,1.40897045833804e-82,7.48240716795384e-83,3.96489693535782e-83,2.09639749386453e-83,1.10602915761979e-83,5.82251732233812e-84,3.05848480651122e-84,1.60307281629524e-84,8.38400672965656e-85,4.37523614267106e-85,2.2782582793199e-85,1.18373930312688e-85,6.13706755741272e-86,3.17480858225361e-86,1.63880045143248e-86,8.44085769719228e-87,4.33809589330356e-87,2.22466118753558e-87,1.13836325623113e-87,5.81232950613761e-88,2.96122945851513e-88,1.50538119944628e-88,7.63613554462983e-89,3.86503660378842e-89,1.95203036709733e-89,9.83722589551637e-90,4.94665911749656e-90,2.48201694457384e-90,1.24265646425657e-90,6.20799242933225e-91,3.09460489369403e-91,1.53926488025872e-91,7.63969174658525e-92,3.78349219135536e-92,1.86966845064702e-92,9.2191597392583e-93,4.53600271927968e-93,2.22695147701951e-93,1.09094775648801e-93,5.33277410238818e-94,2.601110210196e-94,1.26596286723136e-94,6.14808917779117e-95,2.97931672799754e-95,1.44062479193387e-95,6.95093412343087e-96,3.34652402212201e-96,1.60769490767124e-96,7.70677522819267e-97,3.68639266577692e-97,1.75950635823898e-97,8.37994106650277e-98,3.98247009993806e-98,1.88853965565904e-98,8.93639466845785e-99,4.21950860456573e-99,1.98804133331222e-99,9.34660028492841E-100,4.38477618642522E-100,2.05261503363344E-100,9.58814858499388E-101,4.46920308195283E-101,2.07871268953353E-101,9.64781355769363E-102,4.46821914921791E-102,2.06496306649832E-102,9.52277594643086E-103,4.38217344073963E-103,2.01229482992276E-103,9.2208535393383E-104,4.21628142079684E-104,1.92383839220948E-104,8.75971101542526E-105,3.98010863135283E-105,1.80462050489512E-105,8.16515871676763E-106,3.68666124669537E-106,1.66109278439356E-106,7.4687672479395E-107,3.35120339645037E-107,1.50055551879391E-107,6.70510380074554E-108,2.98995044082783E-108,1.33054808712363E-108,5.90892509862217E-109,2.61879271070727E-109,1.15827606683312E-109,5.11263928905765E-110,2.25218640515316E-110,9.90133687497211E-111,4.34428300456677E-111,1.90231236765865E-111,8.3136154798663E-112,3.62616536690516E-112,1.57855714003306E-112,6.85857319292946E-113,2.97422657134003E-113,1.28732278012435E-113,5.56135524847032E-114,2.39806287084979E-114,1.03213030970474E-114,4.43414788215782E-115,1.90149623484181E-115,8.13951927475571E-116,3.47799316077097E-116,1.48352349022811E-116,6.31691867794477E-117,2.68516565318453E-117,1.13946756314427E-117,4.82734616471656E-118,2.04174438904654E-118,8.62168106325386E-119,3.63489377199628E-119,1.53007432956561E-119,6.43082235607101E-120,2.69877134018495E-120,1.130899252968E-120,4.73208859271382E-121,1.97727003742862E-121,8.25042757045663E-122,3.43793414451853E-122,1.43068028913753E-122,5.94599970599326E-123,2.468071061647E-123,1.02318468875369E-123,4.23669224928435E-124,1.75222137843298E-124,7.23856589821135E-125,2.9869608093435E-125,1.23120796358142E-125,5.06954676945643E-126,2.08522536469571E-126,8.56826041138668E-127,3.51719962129177E-127,1.44236173327494E-127,5.90923741921016E-128,2.41866165493864E-128,9.89032696234378E-129,4.04056844738343E-129,</v>
      </c>
      <c r="M15" s="31" t="s">
        <v>160</v>
      </c>
    </row>
    <row r="16" spans="1:18">
      <c r="A16" s="16" t="s">
        <v>52</v>
      </c>
      <c r="B16" s="124">
        <f>PRODUCT($B$3:$B$6)*B15</f>
        <v>3.1622776601683795E+45</v>
      </c>
      <c r="C16" s="124">
        <f>SUM(C$3:C$6)+C15</f>
        <v>3.5113686573257055</v>
      </c>
      <c r="D16" s="5"/>
      <c r="E16" s="5"/>
      <c r="F16" s="17" t="s">
        <v>52</v>
      </c>
      <c r="G16" s="124">
        <f>PRODUCT(G$3:G$4)*PRODUCT(G14:G15)</f>
        <v>7.7459666924148311E+34</v>
      </c>
      <c r="H16" s="124">
        <f>SUM(H$3:H$4)+SUM(H14:H15)</f>
        <v>3.2077713338528238</v>
      </c>
      <c r="I16" s="5"/>
      <c r="K16" s="3" t="s">
        <v>166</v>
      </c>
      <c r="L16" s="3">
        <f>STupidExcelMean(L15)</f>
        <v>1.1282272245434404E+51</v>
      </c>
      <c r="M16" s="3">
        <f>STupidExcelVariance(L15,L16)</f>
        <v>9.4983220177166506E+111</v>
      </c>
      <c r="N16" s="7" t="s">
        <v>162</v>
      </c>
    </row>
    <row r="17" spans="1:23">
      <c r="B17" s="5"/>
      <c r="C17" s="5"/>
      <c r="D17" s="5"/>
      <c r="E17" s="5"/>
      <c r="F17" s="5"/>
      <c r="G17" s="5"/>
      <c r="H17" s="5"/>
      <c r="I17" s="5"/>
    </row>
    <row r="18" spans="1:23">
      <c r="B18" s="5"/>
      <c r="C18" s="5"/>
      <c r="D18" s="5"/>
      <c r="E18" s="5"/>
      <c r="F18" s="5"/>
      <c r="G18" s="5"/>
      <c r="H18" s="5"/>
      <c r="I18" s="5"/>
      <c r="K18" s="3" t="s">
        <v>163</v>
      </c>
      <c r="L18" s="3">
        <f>L7-L16</f>
        <v>4.4359523784951278E+51</v>
      </c>
      <c r="M18">
        <f>DifferenceVariance(L7:M7,L16:M16)</f>
        <v>2.4319127487087396E+113</v>
      </c>
    </row>
    <row r="19" spans="1:23" ht="30">
      <c r="A19" s="10" t="s">
        <v>48</v>
      </c>
      <c r="B19" s="5"/>
      <c r="C19" s="5"/>
      <c r="D19" s="5"/>
      <c r="E19" s="5"/>
      <c r="F19" s="10" t="s">
        <v>55</v>
      </c>
      <c r="G19" s="5"/>
      <c r="H19" s="5"/>
      <c r="I19" s="5"/>
      <c r="K19" s="27" t="s">
        <v>110</v>
      </c>
      <c r="L19" s="19">
        <f>EXP(MuFromParams(L18,M18))</f>
        <v>3.9902467787458276E+46</v>
      </c>
      <c r="M19" s="19">
        <f>(SigmaFromParams(L18,M18) / LN(10))^2</f>
        <v>4.3828887235322176</v>
      </c>
      <c r="S19" s="3"/>
      <c r="T19" s="3"/>
      <c r="U19" s="3"/>
      <c r="V19" s="3"/>
      <c r="W19" s="3"/>
    </row>
    <row r="20" spans="1:23">
      <c r="A20" s="5" t="s">
        <v>43</v>
      </c>
      <c r="B20" s="5">
        <f>VLOOKUP(A20,Globals!$A$21:$L$30,11,FALSE)</f>
        <v>2.8284271247461898E-2</v>
      </c>
      <c r="C20" s="5">
        <f>VLOOKUP(A20,Globals!$A$21:$L$30,12,FALSE)</f>
        <v>1.6780557689991351</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24">
        <f>PRODUCT($B$3:$B$6)*B20</f>
        <v>8.9442719099991589E+43</v>
      </c>
      <c r="C21" s="124">
        <f>SUM(C$3:C$6)+C20</f>
        <v>5.189424426324841</v>
      </c>
      <c r="D21" s="5"/>
      <c r="E21" s="5"/>
      <c r="F21" s="5" t="s">
        <v>39</v>
      </c>
      <c r="G21" s="5">
        <f>VLOOKUP(F21,Globals!$A$21:$L$30,11,FALSE)</f>
        <v>0.22360679774997896</v>
      </c>
      <c r="H21" s="5">
        <f>VLOOKUP(F21,Globals!$A$21:$L$30,12,FALSE)</f>
        <v>0.74249450359932156</v>
      </c>
      <c r="I21" s="5"/>
      <c r="L21" s="3"/>
      <c r="M21" s="3"/>
      <c r="N21" s="28"/>
      <c r="S21" s="8"/>
      <c r="T21" s="3"/>
      <c r="U21" s="3"/>
      <c r="V21" s="3"/>
      <c r="W21" s="3"/>
    </row>
    <row r="22" spans="1:23">
      <c r="B22" s="5"/>
      <c r="C22" s="5"/>
      <c r="D22" s="5"/>
      <c r="E22" s="5"/>
      <c r="F22" s="17" t="s">
        <v>52</v>
      </c>
      <c r="G22" s="124">
        <f>PRODUCT(G$3:G$4)*PRODUCT(G20:G21)</f>
        <v>2.236067977499789E+37</v>
      </c>
      <c r="H22" s="124">
        <f>SUM(H$3:H$4)+SUM(H20:H21)</f>
        <v>3.8637110878888374</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0.78030414607237897</v>
      </c>
      <c r="D25" s="5"/>
      <c r="E25" s="5"/>
      <c r="F25" s="10" t="s">
        <v>56</v>
      </c>
      <c r="G25" s="5"/>
      <c r="H25" s="5"/>
      <c r="I25" s="5"/>
      <c r="M25" s="28"/>
      <c r="S25" s="8"/>
      <c r="T25" s="3"/>
      <c r="U25" s="3"/>
      <c r="V25" s="3"/>
      <c r="W25" s="3"/>
    </row>
    <row r="26" spans="1:23">
      <c r="A26" s="16" t="s">
        <v>52</v>
      </c>
      <c r="B26" s="124">
        <f>PRODUCT($B$3:$B$6)*B25</f>
        <v>3.1622776601683793E+48</v>
      </c>
      <c r="C26" s="124">
        <f>SUM(C$3:C$6)+C25</f>
        <v>4.2916728033980842</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6.9282032302755092E-2</v>
      </c>
      <c r="H27" s="5">
        <f>VLOOKUP(F27,Globals!$A$21:$L$30,12,FALSE)</f>
        <v>0.82904925316262956</v>
      </c>
      <c r="I27" s="5"/>
      <c r="M27" s="28"/>
      <c r="S27" s="3"/>
      <c r="T27" s="3"/>
      <c r="U27" s="3"/>
      <c r="V27" s="3"/>
      <c r="W27" s="3"/>
    </row>
    <row r="28" spans="1:23">
      <c r="B28" s="5"/>
      <c r="C28" s="5"/>
      <c r="D28" s="5"/>
      <c r="E28" s="5"/>
      <c r="F28" s="17" t="s">
        <v>52</v>
      </c>
      <c r="G28" s="124">
        <f>PRODUCT(G$3:G$4)*PRODUCT(G26:G27)</f>
        <v>2.1908902300206641E+41</v>
      </c>
      <c r="H28" s="124">
        <f>SUM(H$3:H$4)+SUM(H26:H27)</f>
        <v>4.3404179104883349</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6.9282032302755092E-2</v>
      </c>
      <c r="H34" s="5">
        <f>VLOOKUP(F34,Globals!$A$21:$L$30,12,FALSE)</f>
        <v>0.82904925316262956</v>
      </c>
      <c r="I34" s="5"/>
      <c r="S34" s="8"/>
      <c r="T34" s="3"/>
      <c r="U34" s="3"/>
      <c r="V34" s="3"/>
      <c r="W34" s="3"/>
    </row>
    <row r="35" spans="1:23">
      <c r="A35" s="8"/>
      <c r="B35" s="8"/>
      <c r="C35" s="8"/>
      <c r="D35" s="5"/>
      <c r="E35" s="5"/>
      <c r="F35" s="16" t="s">
        <v>52</v>
      </c>
      <c r="G35" s="124">
        <f>PRODUCT(G$3:G$4)*PRODUCT(G32:G34)</f>
        <v>6.9282032302755059E+39</v>
      </c>
      <c r="H35" s="124">
        <f>SUM(H$3:H$4)+SUM(H32:H34)</f>
        <v>5.5108741295969033</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D8" sqref="D8"/>
    </sheetView>
  </sheetViews>
  <sheetFormatPr baseColWidth="10" defaultRowHeight="15" x14ac:dyDescent="0"/>
  <cols>
    <col min="1" max="1" width="21.6640625" customWidth="1"/>
    <col min="2" max="2" width="12.83203125" bestFit="1" customWidth="1"/>
    <col min="3" max="3" width="12.1640625" bestFit="1" customWidth="1"/>
    <col min="4" max="4" width="10.83203125" style="115"/>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127</v>
      </c>
      <c r="B1" s="82"/>
      <c r="C1" s="82"/>
      <c r="D1" s="132"/>
      <c r="F1" s="1" t="s">
        <v>63</v>
      </c>
    </row>
    <row r="2" spans="1:16">
      <c r="A2" s="74"/>
      <c r="B2" s="74" t="s">
        <v>0</v>
      </c>
      <c r="C2" s="74" t="s">
        <v>1</v>
      </c>
      <c r="D2" s="132"/>
      <c r="G2" s="7" t="s">
        <v>168</v>
      </c>
      <c r="H2" s="7" t="s">
        <v>169</v>
      </c>
      <c r="I2" t="s">
        <v>171</v>
      </c>
    </row>
    <row r="3" spans="1:16" ht="30">
      <c r="A3" s="42" t="s">
        <v>99</v>
      </c>
      <c r="B3" s="50">
        <v>50000000000</v>
      </c>
      <c r="C3" s="50">
        <v>1000000000000</v>
      </c>
      <c r="D3" s="132" t="s">
        <v>176</v>
      </c>
      <c r="F3" s="15" t="s">
        <v>52</v>
      </c>
      <c r="G3" s="14">
        <v>1</v>
      </c>
      <c r="H3" s="14">
        <f>I3^2</f>
        <v>6.25E-2</v>
      </c>
      <c r="I3">
        <v>0.25</v>
      </c>
    </row>
    <row r="4" spans="1:16">
      <c r="A4" s="46" t="s">
        <v>93</v>
      </c>
      <c r="B4" s="47">
        <v>0.1</v>
      </c>
      <c r="C4" s="47">
        <v>0.5</v>
      </c>
      <c r="D4" s="132" t="s">
        <v>204</v>
      </c>
      <c r="F4" s="18" t="s">
        <v>80</v>
      </c>
      <c r="G4" s="19">
        <f>ParetoPosterior(median,alpha,G3:H3)</f>
        <v>1.0718443947358864</v>
      </c>
      <c r="H4" s="3"/>
    </row>
    <row r="5" spans="1:16" ht="45">
      <c r="A5" s="46" t="s">
        <v>94</v>
      </c>
      <c r="B5" s="47">
        <v>5.0000000000000001E-3</v>
      </c>
      <c r="C5" s="47">
        <v>0.2</v>
      </c>
      <c r="D5" s="132"/>
      <c r="F5" s="18" t="s">
        <v>87</v>
      </c>
      <c r="G5" s="19">
        <f>LognormPosterior(mu_global_poverty,sigma_global_poverty,G3:H3)</f>
        <v>1.1417331931971864</v>
      </c>
      <c r="H5" s="3"/>
    </row>
    <row r="6" spans="1:16" ht="45">
      <c r="A6" s="46" t="s">
        <v>95</v>
      </c>
      <c r="B6" s="47">
        <f>B5*1.01</f>
        <v>5.0499999999999998E-3</v>
      </c>
      <c r="C6" s="47">
        <f>C5*1.01</f>
        <v>0.20200000000000001</v>
      </c>
      <c r="D6" s="132"/>
    </row>
    <row r="7" spans="1:16" ht="30">
      <c r="A7" s="129" t="s">
        <v>89</v>
      </c>
      <c r="B7" s="119">
        <f>1000/C3*interest_rate</f>
        <v>5.0000000000000008E-11</v>
      </c>
      <c r="C7" s="119">
        <f>1000/B3*interest_rate</f>
        <v>1.0000000000000001E-9</v>
      </c>
      <c r="D7" s="132"/>
    </row>
    <row r="8" spans="1:16" ht="30">
      <c r="A8" s="91" t="s">
        <v>265</v>
      </c>
      <c r="B8" s="65">
        <v>1.21</v>
      </c>
      <c r="C8" s="65">
        <v>192</v>
      </c>
      <c r="D8" s="133" t="s">
        <v>264</v>
      </c>
      <c r="F8" s="1" t="s">
        <v>88</v>
      </c>
      <c r="K8" s="1" t="s">
        <v>96</v>
      </c>
    </row>
    <row r="9" spans="1:16" ht="30">
      <c r="A9" s="131" t="s">
        <v>266</v>
      </c>
      <c r="B9" s="44">
        <f>B8/365</f>
        <v>3.3150684931506848E-3</v>
      </c>
      <c r="C9" s="44">
        <f>C8/365</f>
        <v>0.52602739726027392</v>
      </c>
      <c r="G9" t="s">
        <v>168</v>
      </c>
      <c r="H9" t="s">
        <v>170</v>
      </c>
      <c r="J9" s="13"/>
      <c r="L9" s="7" t="s">
        <v>168</v>
      </c>
      <c r="M9" s="7" t="s">
        <v>170</v>
      </c>
      <c r="N9" s="13"/>
      <c r="O9" s="3"/>
      <c r="P9" s="3"/>
    </row>
    <row r="10" spans="1:16">
      <c r="A10" s="131"/>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31"/>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31"/>
      <c r="F12" t="s">
        <v>89</v>
      </c>
      <c r="G12">
        <f>GEOMEAN($B$7,$C$7)</f>
        <v>2.2360679774997899E-10</v>
      </c>
      <c r="H12">
        <f>LogVariance($B$7,$C$7)</f>
        <v>0.50759954989056688</v>
      </c>
      <c r="J12" s="3"/>
      <c r="K12" t="s">
        <v>89</v>
      </c>
      <c r="L12">
        <f>GEOMEAN($B$7,$C$7)</f>
        <v>2.2360679774997899E-10</v>
      </c>
      <c r="M12">
        <f>LogVariance($B$7,$C$7)</f>
        <v>0.50759954989056688</v>
      </c>
      <c r="N12" s="3"/>
      <c r="O12" s="3"/>
      <c r="P12" s="3"/>
    </row>
    <row r="13" spans="1:16">
      <c r="A13" s="115"/>
      <c r="F13" t="s">
        <v>110</v>
      </c>
      <c r="G13">
        <f>VLOOKUP(F13,'EV of Far Future'!$K$18:$M$19,2,FALSE)</f>
        <v>3.9902467787458276E+46</v>
      </c>
      <c r="H13">
        <f>VLOOKUP(F13,'EV of Far Future'!$K$18:$M$19,3,FALSE)</f>
        <v>4.3828887235322176</v>
      </c>
      <c r="J13" s="3"/>
      <c r="K13" t="s">
        <v>110</v>
      </c>
      <c r="L13">
        <f>VLOOKUP(K13,'EV of Far Future'!$K$18:$M$19,2,FALSE)</f>
        <v>3.9902467787458276E+46</v>
      </c>
      <c r="M13">
        <f>VLOOKUP(K13,'EV of Far Future'!$K$18:$M$19,3,FALSE)</f>
        <v>4.3828887235322176</v>
      </c>
      <c r="N13" s="3"/>
      <c r="O13" s="3"/>
      <c r="P13" s="3"/>
    </row>
    <row r="14" spans="1:16">
      <c r="A14" s="115"/>
      <c r="F14" s="15" t="s">
        <v>52</v>
      </c>
      <c r="G14" s="14">
        <f>PRODUCT(G10:G13)</f>
        <v>6.3091341234933842E+34</v>
      </c>
      <c r="H14" s="14">
        <f>SUM(H10:H13)</f>
        <v>5.7882398963495412</v>
      </c>
      <c r="J14" s="3"/>
      <c r="K14" s="15" t="s">
        <v>52</v>
      </c>
      <c r="L14" s="14">
        <f>PRODUCT(L10:L13)</f>
        <v>6.3722254647283185E+34</v>
      </c>
      <c r="M14" s="14">
        <f>SUM(M10:M13)</f>
        <v>5.7882398963495412</v>
      </c>
      <c r="N14" s="3"/>
      <c r="O14" s="3"/>
      <c r="P14" s="3"/>
    </row>
    <row r="15" spans="1:16">
      <c r="F15" s="3" t="s">
        <v>167</v>
      </c>
      <c r="G15">
        <f>meanFromParams(G14:H14)</f>
        <v>2.9102293077802168E+41</v>
      </c>
      <c r="H15">
        <f>VarianceFromParams(G14:H14)</f>
        <v>1.8020603037769572E+96</v>
      </c>
      <c r="J15" s="3"/>
      <c r="K15" s="3"/>
      <c r="L15" s="3"/>
      <c r="M15" s="3"/>
      <c r="N15" s="3"/>
      <c r="O15" s="3"/>
      <c r="P15" s="3"/>
    </row>
    <row r="16" spans="1:16">
      <c r="J16" s="3"/>
      <c r="K16" s="130"/>
      <c r="L16" s="130"/>
      <c r="M16" s="130"/>
      <c r="N16" s="3"/>
      <c r="O16" s="3"/>
      <c r="P16" s="3"/>
    </row>
    <row r="17" spans="1:16">
      <c r="J17" s="3"/>
      <c r="K17" s="134" t="s">
        <v>263</v>
      </c>
      <c r="L17" s="130"/>
      <c r="M17" s="130"/>
      <c r="N17" s="3"/>
      <c r="O17" s="3"/>
      <c r="P17" s="3"/>
    </row>
    <row r="18" spans="1:16">
      <c r="J18" s="3"/>
      <c r="K18" s="12"/>
      <c r="L18" s="130" t="s">
        <v>168</v>
      </c>
      <c r="M18" s="130" t="s">
        <v>170</v>
      </c>
      <c r="O18" s="3"/>
      <c r="P18" s="3"/>
    </row>
    <row r="19" spans="1:16">
      <c r="J19" s="3"/>
      <c r="K19" s="115" t="s">
        <v>266</v>
      </c>
      <c r="L19" s="130">
        <f>GEOMEAN(B9,C9)</f>
        <v>4.1759033168783891E-2</v>
      </c>
      <c r="M19" s="130">
        <f>LogVariance(B9,C9)</f>
        <v>0.85853582389873684</v>
      </c>
      <c r="N19" s="3"/>
      <c r="O19" s="3"/>
      <c r="P19" s="3"/>
    </row>
    <row r="20" spans="1:16">
      <c r="J20" s="13"/>
      <c r="K20" s="130" t="s">
        <v>38</v>
      </c>
      <c r="L20">
        <f>VLOOKUP(K20,Globals!$A$22:$L$30,11,FALSE)</f>
        <v>2.4494897427831779</v>
      </c>
      <c r="M20">
        <f>VLOOKUP(K20,Globals!$A$22:$L$30,12,FALSE)</f>
        <v>0.47670682259949748</v>
      </c>
      <c r="N20" s="13"/>
      <c r="O20" s="3"/>
      <c r="P20" s="3"/>
    </row>
    <row r="21" spans="1:16">
      <c r="J21" s="3"/>
      <c r="K21" s="136" t="s">
        <v>52</v>
      </c>
      <c r="L21" s="135">
        <f>PRODUCT(L19:L20)</f>
        <v>0.10228832341547865</v>
      </c>
      <c r="M21" s="135">
        <f>SUM(M19:M20)</f>
        <v>1.3352426464982343</v>
      </c>
      <c r="N21" s="3"/>
      <c r="O21" s="3"/>
      <c r="P21" s="3"/>
    </row>
    <row r="22" spans="1:16" ht="20">
      <c r="A22" s="32" t="s">
        <v>59</v>
      </c>
      <c r="J22" s="3"/>
      <c r="K22" s="130"/>
      <c r="L22" s="130"/>
      <c r="M22" s="130"/>
      <c r="N22" s="3"/>
      <c r="O22" s="3"/>
      <c r="P22" s="3"/>
    </row>
    <row r="23" spans="1:16">
      <c r="A23" s="22" t="s">
        <v>177</v>
      </c>
      <c r="B23" s="3"/>
      <c r="C23" s="3"/>
      <c r="J23" s="3"/>
      <c r="N23" s="3"/>
      <c r="O23" s="3"/>
      <c r="P23" s="3"/>
    </row>
    <row r="24" spans="1:16" ht="30">
      <c r="A24" s="5" t="s">
        <v>174</v>
      </c>
      <c r="B24">
        <f>G15-L28</f>
        <v>-4.1319076918686541E+39</v>
      </c>
      <c r="C24">
        <f>DifferenceVariance(G15:H15,L28:M28)</f>
        <v>3.6479824948976226E+96</v>
      </c>
      <c r="J24" s="3"/>
      <c r="K24" t="s">
        <v>267</v>
      </c>
      <c r="N24" s="3"/>
      <c r="O24" s="3"/>
      <c r="P24" s="3"/>
    </row>
    <row r="25" spans="1:16">
      <c r="A25" s="16" t="s">
        <v>175</v>
      </c>
      <c r="B25" s="14">
        <f>EXP(MuFromParams(ABS(B24),C24))</f>
        <v>8.9387100185912191E+30</v>
      </c>
      <c r="C25" s="14">
        <f>(SigmaFromParams(B24,C24) / LN(10))^2</f>
        <v>7.526215459762386</v>
      </c>
      <c r="K25" s="12" t="s">
        <v>268</v>
      </c>
      <c r="L25" s="12">
        <f>L14</f>
        <v>6.3722254647283185E+34</v>
      </c>
      <c r="M25" s="12">
        <f>M14</f>
        <v>5.7882398963495412</v>
      </c>
    </row>
    <row r="26" spans="1:16">
      <c r="A26" s="36" t="s">
        <v>80</v>
      </c>
      <c r="B26" s="19">
        <f>ParetoPosterior(median,alpha,B25:C25)*SIGN(B24)</f>
        <v>-44467983398433.312</v>
      </c>
      <c r="K26" s="12" t="s">
        <v>155</v>
      </c>
      <c r="L26" s="12">
        <f>L21</f>
        <v>0.10228832341547865</v>
      </c>
      <c r="M26" s="12">
        <f>M21</f>
        <v>1.3352426464982343</v>
      </c>
    </row>
    <row r="27" spans="1:16">
      <c r="A27" s="36" t="s">
        <v>87</v>
      </c>
      <c r="B27" s="19">
        <f>LognormPosterior(mu_far_future,sigma_far_future,B25:C25)*SIGN(B24)</f>
        <v>-1619.3229593392189</v>
      </c>
      <c r="K27" s="138" t="s">
        <v>180</v>
      </c>
      <c r="L27" s="137" t="str">
        <f>WriteArray(SumLognormDists(L25:M26))</f>
        <v>0,0,0,0,4.20950782391937E-148,1.1952271763885E-146,1.05557324290275E-145,9.8384821358232E-145,7.55287664884001E-144,5.52247529528076E-143,3.9449187410465E-142,2.8138539365627E-141,1.96710459050911E-140,1.35919689088763E-139,9.29971974953605E-139,6.30532935654887E-138,4.23762847373194E-137,2.82335846366424E-136,1.8649094734368E-135,1.22125537100191E-134,7.92895124549798E-134,5.10372314541838E-133,3.25702693360376E-132,2.06071978023228E-131,1.29264781916293E-130,8.03906381730899E-130,4.95672689018987E-129,3.03004467278144E-128,1.83640248419606E-127,1.10344778275235E-126,6.57356642183488E-126,3.88254022424229E-125,2.27350964381669E-124,1.3199086075991E-123,7.59726796772645E-123,4.33548669709747E-122,2.45293144982883E-121,1.37594293461279E-120,7.65214540766595E-120,4.21923888564559E-119,2.30650001074924E-118,1.25009089920823E-117,6.71736366609491E-117,3.57870267686585E-116,1.89026297287769E-115,9.89894833081153E-115,5.13956644149949E-114,2.64566525138365E-113,1.35025151883362E-112,6.83228899185641E-112,3.42759863298408E-111,1.70485045465802E-110,8.40728246081703E-110,4.11053585920999E-109,1.9925771221566E-108,9.57648616735517E-108,4.56322665490971E-107,2.15582337084461E-106,1.00978769019303E-105,4.68946416634162E-105,2.1592012683243E-104,9.85689886765802E-104,4.46133944908318E-103,2.00202071511405E-102,8.90739566618342E-102,3.92927442269446E-101,1.71851763064387E-100,7.45205794664545E-100,3.2039051859087e-99,1.36573016775994e-98,5.77208335069077e-98,2.41870761657943e-97,1.00488854720991e-96,4.13939471881338e-96,1.69060012513109e-95,6.845903458721e-95,2.74857243356084e-94,1.09413494037215e-93,4.31839766773748e-93,1.6899085461655e-92,6.55682200890123e-92,2.52240040758666e-91,9.62112687366291e-91,3.63856381640407e-90,1.36435401815346e-89,5.07245356951854e-89,1.86983783502199e-88,6.83416744106037e-88,2.47664678801069e-87,8.89898184094389e-87,3.17040968772217e-86,1.11992857871712e-85,3.92252958504381e-85,1.36221043221474e-84,4.69056753208423e-84,1.6014411208504e-83,5.42128397371522e-83,1.81970159235297e-82,6.05628499954941e-82,1.99858145111652e-81,6.53955451041108e-81,2.12171292209508e-80,6.82556559170989e-80,2.17723693636184e-79,6.88635281368852e-79,2.1596875074165e-78,6.71602370975088e-78,2.07087943551325e-77,6.33170072791882e-77,1.91959955141705e-76,5.77068506221114e-76,1.72017411256428e-75,5.08449265087998e-75,1.49023568211331e-74,4.33108195205098e-74,1.24817076124273e-73,3.56689133397681e-73,1.01075569136655e-72,2.84017559957183e-72,7.91387473098636e-72,2.18665619883904e-71,5.99130786882245e-71,1.62785261139854e-70,4.3859474929123e-70,1.1718427808188e-69,3.10481403477653e-69,8.15764860350337e-69,2.12549688003483e-68,5.49193054605062e-68,1.40721932060609e-67,3.57580583139167e-67,9.01082904800171e-67,2.25184065182967e-66,5.58079600672066e-66,1.37165169930989e-65,3.34337028821726e-65,8.08205675043927e-65,1.93758190055298e-64,4.60683967714989e-64,1.08631360166093e-63,2.54050934016339e-63,5.89256455009909e-63,1.35553438768106e-62,3.09274552616789e-62,6.99858552237715e-62,1.57077488974809e-61,3.49671746384837e-61,7.72068018527372e-61,1.6908485739468e-60,3.67294061050661e-60,7.91387618983069e-60,1.69136403003605e-59,3.58561777890859e-59,7.54009421756402e-59,1.57283259460366e-58,3.25453177756955e-58,6.68039962738737e-58,1.36029218564789e-57,2.74780578988593e-57,5.506460230939e-57,1.09471367614477e-56,2.15913321808715e-56,4.22492380930167e-56,8.20217397401265e-56,1.5798660741861e-55,3.01928276986016e-55,5.72520496482025e-55,1.0771943600062e-54,2.01106215050183e-54,3.7256196146656e-54,6.84899694827127e-54,1.24946875161993e-53,2.26208560370518e-53,4.06437617134933e-53,7.24764335033592e-53,1.28273071184677e-52,2.25334955069051e-52,3.92912329727845e-52,6.80075983100805e-52,1.16851879173429e-51,1.99321169735301e-51,3.37547472212615e-51,5.67551899943989e-51,9.47529180860388e-51,1.57081267691917e-50,2.5860152408957e-50,4.22809171339224e-50,6.86590625863406e-50,1.10745694119004e-49,1.77446985160625e-49,2.82463601756976e-49,4.46734853111973e-49,7.02059951566983e-49,1.09643110816692e-48,1.70184234286208e-48,2.62565997141767e-48,4.0270916816942e-48,6.14092028983592e-48,9.31154336872257e-48,1.40415736958807e-47,2.10609347492119e-47,3.14247036867182e-47,4.66511481077204e-47,6.89157952074235e-47,1.01323402307167e-46,1.48287963995284e-46,2.16062204986647e-46,3.1347346964053e-46,4.52944017718503e-46,6.51902482117601e-46,9.3473234803183e-46,1.33545641943772e-45,1.90142824065337e-45,2.69839889131521e-45,3.81745923153187e-45,5.3845352228483e-45,7.57335293944751e-45,1.06231109660814e-44,1.48625284308361e-44,2.07425131558958e-44,2.88804641357161e-44,4.01202487560552e-44,5.56132606675056e-44,7.69277776994786e-44,1.06196242965496e-43,1.46313272373137e-43,2.01201390718091e-43,2.76167032197657e-43,3.78376619723372e-43,5.17492092585915e-43,7.06517771695708e-43,9.62926823771453e-43,1.31015695439079e-42,1.77959279526202e-42,2.41318863977556e-42,3.26693213750942e-42,4.4154103672147e-42,5.95781830016754e-42,8.02585104163839e-42,1.07940517430986e-41,1.44933547472039e-41,1.94287785151013e-41,2.60024979926519e-41,3.47438774031486e-41,4.6348492223364e-41,6.17287386237896e-41,8.20793515676467e-41,1.08962068507529e-40,1.44414833253885e-40,1.91092395001891e-40,2.52446996080255e-40,3.32960151850618e-40,4.38439422103962e-40,5.7639769636589e-40,7.56537038792212e-40,9.9136477355093e-40,1.29697649719192e-39,1.6940493951759e-39,2.20909999765308e-39,2.87607379776534e-39,3.73835053370683e-39,4.85126907791189e-39,6.28530059378814e-39,8.13002888449042e-39,1.04991338317926e-38,1.35366188925449e-38,1.74245784343298e-38,2.23928672063357e-38,2.87311147689341e-38,3.68036249734062e-38,4.70678177986568e-38,6.00970117741745e-38,7.66085142419278e-38,9.7498188954026e-38,1.23882911913778e-37,1.57152613828923e-37,1.99033948999571e-37,2.51668035042187e-37,3.17705186019382e-37,4.00420125249617e-37,5.03851826899813e-37,6.32972912811805e-37,7.93894440253342e-37,9.94112976936827e-37,1.24280809355402e-36,1.55119983555466e-36,1.93297739190672e-36,2.40481208883805e-36,2.98697003366569e-36,3.70404225330898e-36,4.58581305245634e-36,5.66829059905077e-36,6.99492747403154e-36,8.61806314501775e-36,1.06006250890594e-35,1.30181306488625e-35,1.59610377124963e-35,1.95374990116493e-35,2.38765822908513e-35,2.91320268612019e-35,3.54866161657807e-35,4.31572559945312e-35,5.24008589323321e-35,6.35211475352589e-35,7.68765016261199e-35,9.2888988987184e-35,1.12054733595328e-34,1.34955791362308e-34,1.6227372005731e-34,1.94805047619418e-34,2.33478861302514e-34,2.79376758886412e-34,3.33755422348658e-34,3.98072093688882e-34,4.74013251751253e-34,5.63526807566255e-34,6.6885815353967e-34,7.9259041830212e-34,9.37689293682059e-34,1.10755281249696e-33,1.30606646502411e-33,1.53766404739879e-33,1.8073946360139e-33,2.12099607741791e-33,2.48497537232913e-33,2.90669631425134e-33,3.39447471680204e-33,3.95768152822403e-33,4.60685408561836e-33,5.35381570417412e-33,6.21180372707506e-33,7.19560607887668e-33,8.32170626807985e-33,9.60843667260025e-33,1.10761398141936e-32,1.27473371841666e-32,1.46469050226073e-32,1.68022562768732e-32,1.92435277724138e-32,2.2003771420775e-32,2.5119148066698e-32,2.86291223399779e-32,3.2576656629819e-32,3.70084020421262e-32,4.19748839360496e-32,4.75306793684056e-32,5.37345835069556e-32,6.06497618100865e-32,6.83438845159053e-32,7.6889239743234e-32,8.63628212860569e-32,9.68463869875522e-32,1.08426483416286e-31,1.21194432441915e-31,1.35246275227586e-31,1.50682669127788e-31,1.67608733010563e-31,1.86133836617857e-31,2.06371329743934e-31,2.28438207254316e-31,2.52454706292027e-31,2.78543832427791e-31,3.06830812009487e-31,3.37442468555533e-31,3.70506521717427e-31,4.06150808107553e-31,4.44502424147107e-31,4.8568679203101e-31,5.29826650926263e-31,5.77040976608786e-31,6.27443833891883e-31,6.81143167394614e-31,7.38239537427097e-31,7.98824809016368e-31,8.62980803342943e-31,9.30777922086832e-31,1.00227375637118e-30,1.07751169312133e-30,1.15651953270476e-30,1.23930813266069e-30,1.32587009314479e-30,1.41617850038259e-30,1.51018574492341e-30,1.60782243179555e-30,1.7089963997646e-30,1.813591866775e-30,1.92146871829595e-30,2.03246195468753e-30,2.14638131284493e-30,2.26301107626316e-30,2.3821100862963e-30,2.50341196576593e-30,2.6266255642167e-30,2.7514356320341e-30,2.87750372835267e-30,3.0044693652134e-30,3.13195138780643e-30,3.25954958788863e-30,3.38684654463417e-30,3.51340968429396e-30,3.63879354715038e-30,3.7625422473991e-30,3.8841921088124e-30,4.0032744563844e-30,4.11931854167138e-30,4.2318545772601e-30,4.34041685376902e-30,4.44454691104496e-30,4.54379673379808e-30,4.63773194084975e-30,4.72593493647696e-30,4.80800799204271e-30,4.88357622621581e-30,4.9522904526175e-30,5.01382986468105e-30,5.06790452887211e-30,5.11425765917642e-30,5.15266764789839e-30,5.18294983030279e-30,5.20495796344085e-30,5.21858540258942e-30,5.22376596206261e-30,5.22047445067265e-30,5.20872687577914e-30,5.18858031361347e-30,5.16013244734841e-30,5.1235207781445e-30,5.07892151808842e-30,5.02654817749581e-30,4.96664986242488e-30,4.89950930139417e-30,4.8254406231722e-30,4.74478691006958e-30,4.65791755338208e-30,4.56522543947913e-30,4.46712399648217e-30,4.36404413252073e-30,4.25643109717945e-30,4.14474129795721e-30,4.02943910335535e-30,3.91099366360774e-30,3.78987577907999e-30,3.66655484502032e-30,3.54149589967285e-30,3.41515680079483e-30,3.28798555339373e-30,3.16041780905398e-30,3.03287455460333e-30,2.90576000511475e-30,2.77945971339908e-30,2.65433890525732e-30,2.53074104687498e-30,2.40898664789414e-30,2.28937230093009e-30,2.17216995564686e-30,2.05762642299935e-30,1.94596310291971e-30,1.83737592659641e-30,1.73203550258452e-30,1.63008745431378e-30,1.53165293513466e-30,1.43682930587175e-30,1.34569095893745e-30,1.25829027239839e-30,1.17465867697365e-30,1.09480781877013e-30,1.01873080061324e-30,9.46403485095074e-31,8.77785842919928e-31,8.12823330758982e-31,7.51448283611542e-31,6.93581307587046e-31,6.39132660048511e-31,5.88003605171256e-31,5.40087734148836e-31,4.95272240499597e-31,4.53439142171597e-31,4.14466443391799e-31,3.78229230439454e-31,3.44600696727676e-31,3.13453093736737e-31,2.84658605445545e-31,2.58090144943414e-31,2.33622072864211e-31,2.11130838162706e-31,1.90495542543682e-31,1.71598430555259e-31,1.54325307967546e-31,1.38565891576515e-31,1.24214094002466e-31,1.11168247395466e-31,9.93312702206259e-32,8.86107814786643e-32,7.89191668275979e-32,7.01736011153433e-32,6.22960318171166e-32,5.52131278023047e-32,4.88561977397288e-32,4.3161082294629e-32,3.80680240818383e-32,3.35215191238464e-32,2.9470153325799e-32,2.58664272276013e-32,2.26665720314352e-32,1.98303596359111e-32,1.73209091400527e-32,1.51044920151168e-32,1.31503378831621e-32,1.14304425910774e-32,9.91938002974333e-33,8.59411892198144e-33,7.43384559133451e-33,6.41979352753024e-33,5.53508038434695e-33,4.76455288183839e-33,4.09463993751047e-33,3.51321421984953e-33,3.00946220214253e-33,2.57376269418995e-33,2.19757374353499e-33,1.87332772535396e-33,1.59433438022593e-33,1.35469151062691e-33,1.14920300914888e-33,9.733038630913e-34,8.22991760189065e-34,6.94764907827625e-34,5.85565672193117e-34,4.92729643501458e-34,4.1393973788939e-34,3.4718495493816e-34,2.90723421407279e-34,2.43049365918584e-34,2.02863685453904e-34,1.69047782082832e-34,1.40640366854963e-34,1.16816946868884e-34,9.6871730821785e-35,8.02017075563895e-35,6.62926710134224e-35,5.47069833708893e-35,4.50728858499738e-35,3.70751835718335e-35,3.04471468726861e-35,2.49634865671925e-35,2.04342747572292e-35,1.6699695900227e-35,1.36255249809594e-35,1.10992407896498e-35,9.02669252544537e-36,7.32924725435907e-36,5.94135419796054e-36,4.80846946135458e-36,3.88529167729686e-36,3.13426520031279e-36,2.52431298354896e-36,2.02976616450081e-36,1.62946172521943e-36,1.30598342779667e-36,1.04502460430437e-36,8.34854346786255e-37,6.65871239448542e-37,5.30231041028669e-37,4.21536696639257e-37,3.3458076843232e-37,2.65131853560353e-37,2.09757833688705e-37,1.65679897634032e-37,1.30652219946607e-37,1.02862983443455e-37,8.08531206715004e-38,6.34497338563536e-38,4.97116490496975e-38,3.88849802252517e-38,3.03669337715714e-38,2.36763826065068e-38,1.8429990189042e-38,1.43228751383087e-38,1.11129831320368e-38,8.60847954243603e-39,6.65759842413367e-39,5.14048489001301e-39,3.96265192018812e-39,3.04974207539985e-39,2.34334182886854e-39,1.79764332073888e-39,1.37678698991747e-39,1.05275019071401e-39,8.03672765589739e-40,6.12531632395229e-40,4.66093599181508e-40,3.54089544823962e-40,2.68564382750632e-40,2.03366341108356e-40,1.53746444713406e-40,1.16045000806421e-40,8.74466420684694e-41,6.57892879711006e-41,4.94154303877783e-41,3.70565791883623e-41,2.77436384724231e-41,2.07375217582616e-41,1.54755338740071e-41,1.15300123657931e-41,8.57648343765497e-42,6.36918818515323e-42,4.72230741648126e-42,3.49558428264736e-42,2.5833345214286e-42,1.9060613033626e-42,1.40406892860099e-42,1.03260765515746e-42,7.58189209514561e-43,5.55795729599535e-43,4.0676929171993e-43,2.97218925805286e-43,2.16820383668568e-43,1.57913443605059e-43,1.14824205022696e-43,8.33572037587504e-44,6.04154723612559e-44,4.37168196966658e-44,3.15823391440879e-44,2.27790376603292e-44,1.64029439057336e-44,1.17924372554686e-44,8.46409824992889e-45,6.06531226766494e-45,4.33931304094992e-45,3.0994465074628e-45,2.2102563987906e-45,1.57360785597008e-45,1.11852506572151e-45,7.93761945454654e-46,5.62380397874852e-46,3.97800589673621e-46,2.80928640684563e-46,1.98071486255385e-46,1.39425833783552e-46,9.79850655689271e-47,6.87498685601532e-47,4.81591933643791e-47,3.36807600583178e-47,2.35168912103161e-47,1.63935603618087e-47,1.1409378962286e-47,7.92767931658589e-48,5.49952891983246e-48,3.80890598867091e-48,2.63372462442126e-48,1.81817558793419e-48,1.25313144445791e-48,8.62288870045975e-49,5.92385310374554e-49,4.06304028195215e-49,2.78223188126899e-49,1.90208913564254e-49,1.29826621180017e-49,8.84691778328788e-50,6.01887848495291e-50,4.08822233881164e-50,2.77235464841466e-50,1.87697467096766e-50,1.2687129872775e-50,8.56177294791766e-51,5.76845321598348e-51,3.8801667545968e-51,2.60577404067934e-51,1.74710281512934e-51,1.16948733002995e-51,7.81570081222066e-52,5.21477624362961e-52,3.47375174578015e-52,2.31024067021616e-52,1.53394934878898e-52,1.01685765193211e-52,6.72983862068728e-53,4.44676815127992e-53,2.93345661976508e-53,1.93201369816256e-53,1.27038711340035e-53,8.33983206297386e-54,5.46605350553164e-54,3.57672704842808e-54,2.33664677845302e-54,1.52403760064317e-54,9.92415741653315e-55,6.451889997984e-55,4.18770047673753e-55,2.71368613632558e-55,1.75565415153551e-55,1.13400159917016e-55,7.31280029664765e-56,4.70813717074132e-56,3.02628516340638e-56,1.94207472983465e-56,1.24427785889335e-56,7.95910357679164e-57,5.08283822234563e-57,3.24073683216837e-57,2.06289246897318e-57,1.31100625277275e-57,8.31817940738186e-58,5.26922993448904e-58,3.33243252871114e-58,2.1041220478937e-58,1.32640404151844e-58,8.347877995601e-59,5.24531648595407e-59,3.29050570952255e-59,2.06086217109224e-59,1.28863699019314e-59,8.04465802249213e-60,5.01394918065449e-60,3.11994986951859e-60,1.93825383279495e-60,1.2021787147324e-60,7.44428110827123e-61,4.60226733223207e-61,2.8406404488568e-61,1.75047550951552e-61,1.07693913368097e-61,6.61487475116612e-62,4.05646225935791e-62,2.48352537290901e-62,1.51804662377105e-62,9.26396629998917e-63,5.64422307808073e-63,3.43326021683428e-63,2.08499308733373e-63,1.26414783463085e-63,7.65220256814905e-64,4.62455978702199e-64,2.79029220687833e-64,1.68083205231533e-64,1.01086766204444e-64,6.06959388181729e-65,3.63848266688864e-65,2.17759110957887e-65,1.3011510200731e-65,7.76201407009193e-66,4.62292121448973e-66,2.74886812828978e-66,1.6318741653316e-66,9.67196631953132e-67,5.72319088794894e-67,3.38109236114031e-67,1.99421135619404e-67,1.1743043858726e-67,6.90375750149915e-68,4.05215193375336e-68,2.37454968176902e-68,1.38922358520998e-68,8.1144368067275e-69,4.73194800975541e-69,2.75497012456365e-69,1.60136071569445e-69,9.29301833985244e-70,5.38418241842913e-70,3.11442648683416e-70,1.79858824309141e-70,1.03700479270826e-70,5.96932361939084e-71,3.43055852146353e-71,1.96833895540005e-71,1.12753567151556e-71,6.44846044916158e-72,3.68194365265723e-72,2.09890886898973e-72,1.19455286650109e-72,6.78754175463581e-73,3.85048114457551e-73,2.18078491899154e-73,1.23312191664627e-73,6.96136724582776e-74,3.92354304577186e-74,2.20778940670519e-74,1.24031562862761e-74,6.9566817229403e-75,3.89553759370577e-75,2.17785024294023e-75,1.21558119515771e-75,6.77384540160997e-76,3.7686164156373e-76,2.09326367853729e-76,1.16081039206965e-76,6.42678815247546e-77,3.55240136876939e-77,1.96040327963275e-77,1.08010048078805e-77,5.94125572443451e-78,3.2627791579266e-78,1.78892634766016e-78,9.79247764709833e-79,5.35165446013029e-79,2.91997334955016e-79,1.59061494299096e-79,8.65060687152775e-80,4.69703115663982e-80,2.54621840724075e-80,1.37804440844149e-80,7.44605295272524e-81,4.01683853633724e-81,2.16340573531104e-81,1.16328713691124e-81,6.24498245267037e-82,3.34711678963545e-82,1.7910423600898e-82,9.5683311209196e-83,5.10342670642112e-83,2.71758361388848e-83,1.44477193176159e-83,7.66851062700751e-84,4.0636668771264e-84,2.14991119751232e-84,1.13558145533355e-84,5.98840837360377e-85,3.15282505854841e-85,1.65723343099414e-85,8.69686732989256e-86,4.55656271036316e-86,2.38345636622653e-86,1.24472211898477e-86,6.4898245483623e-87,3.37822718124333e-87,1.75565870978709e-87,9.10933525970139e-88,4.71876798508442e-88,2.44042749718665e-88,1.26008123024226e-88,6.49570842952209e-89,3.34310371485836e-89,1.71778388814738e-89,8.81216351537895e-90,4.51327624929078e-90,2.30779184079118e-90,1.17813944783376e-90,6.00471098911109e-91,3.05550408202837e-91,1.55227611319992e-91,7.87318448728466e-92,3.9868255153625e-92,2.0155769230096e-92,1.01734176261565e-92,5.12660333778497e-93,2.57921714034476e-93,1.29551201142868e-93,6.49666284528746e-94,3.25262923597247e-94,1.6258262865615e-94,8.11351546031343e-95,4.04240053249185e-95,2.01078188560534e-95,9.98587058211082e-96,4.95110628824801e-96,2.45083409512988e-96,1.21121411859654e-96,5.97617467818486e-97,2.94388600408982e-97,1.44781823433051e-97,7.10890061176296e-98,3.48486685896798e-98,1.70555325866495e-98,8.33373579812019e-99,4.06545836653557e-99,1.98004315192165e-99,9.62797911855852E-100,4.67402436099434E-100,2.26538567971299E-100,1.09619717231355E-100,5.29578751489089E-101,2.5542757054988E-101,1.22998649025132E-101,5.91327746090424E-102,2.8382557125285E-102,1.36009777859761E-102,6.50704918275947E-103,3.10808863040736E-103,1.48217009804978E-103,7.056641385882E-104,3.35423429337422E-104,1.59178383332219E-104,7.54171526329602E-105,3.56739764319423E-105,1.68472204145082E-105,7.94328860159625E-106,3.739105967826E-106,1.75723786233862E-106,8.24496237968886E-107,3.86226574114875E-107,1.80630453676973E-107,8.43402998888445E-108,3.93164825230547E-108,1.82982484183281E-108,8.50236469799379E-109,3.94425774597768E-109,1.82677976362685E-109,8.44699902917661E-110,3.89954596514829E-110,1.79730172368654E-110,8.27033849578368E-111,3.79945168924609E-111,1.74266502765043E-111,7.97998825311597E-112,3.64826129503411E-112,1.66519449601069E-112,7.58821006688932E-113,3.45230431279562E-113,1.56810140469095E-113,7.11106362202591E-114,3.21951410405301E-114,1.45526286431749E-114,6.56731593554403E-115,2.95889612631791E-115,1.33096573947689E-115,5.97722192569297E-116,2.67995333983658E-116,1.1996386013896E-116,5.36128603541404E-117,2.3921195045786E-117,1.0655948511502E-117,4.73910904653677E-118,2.10424661769574E-118,9.32807267466771E-119,4.1284074355008E-119,1.82418352658812E-119,8.0472937517351E-120,3.5442677852849E-120,1.55847036106446E-120,6.84172973641798E-121,2.99866968527061E-121,1.31215968776283E-121,5.73244769212941E-122,2.5002812106034E-122,1.08876201635964E-122,4.73339134775752E-123,2.05450504147501E-123,8.90302017142809E-124,3.85179221223237E-124,1.663733232154E-124,7.17463611947278E-125,3.08895381561174E-125,1.32775607691433E-125,5.69797484885181E-126,2.44128287899264E-126,1.04426574041354E-126,4.45963486779026E-127,1.90144129621666E-127,8.09397556002346E-128,3.43982384634038E-128,1.45950593183904E-128,6.18259606730351E-129,2.61475636904493E-129,1.10404540127147E-129,4.6541243642212E-130,1.95877423249136E-130,8.2304982684226E-131,3.45273479036658E-131,1.44609112623521E-131,6.0467699865941E-132,2.52433264542275E-132,1.05211949076516E-132,4.37803163872939E-133,1.81881309677539E-133,7.54384223078607E-134,3.12386652190501E-134,1.29148000856416E-134,5.33062650426878E-135,2.19666670803888E-135,9.03744004439134E-136,3.71212026125816E-136,1.52227807840117E-136,6.23248578269495E-137,2.54755721759673E-137,1.03963752043335E-137,4.23579847755881E-138,1.72299486220036E-138,6.99726017415518E-139,2.8370527412277E-139,1.14842369355587E-139,4.64122075714018E-140,1.87265448526434E-140,7.54359617609191E-141,3.03385315105748E-141,1.21816474633659E-141,4.88329370311629E-142,1.95440700889114E-142,7.80930751344153E-143,3.11533952682692E-143,1.24077659687697E-143,4.93375010554848E-144,1.95864645735514E-144,7.7630127847345E-145,3.07184924815191E-145,1.21357003218536E-145,4.78657794652961E-146,1.8848672777622E-146,7.41023125893241E-147,2.90856045932542E-147,1.13977670678882E-147,4.45919850727161E-148,</v>
      </c>
      <c r="M27" s="137" t="s">
        <v>160</v>
      </c>
    </row>
    <row r="28" spans="1:16">
      <c r="A28" s="5"/>
      <c r="K28" s="7" t="s">
        <v>166</v>
      </c>
      <c r="L28" s="7">
        <f>STupidExcelMean(L27)</f>
        <v>2.9515483846989033E+41</v>
      </c>
      <c r="M28" s="7">
        <f>STupidExcelVariance(L27,L28)</f>
        <v>1.8459221911206657E+96</v>
      </c>
    </row>
    <row r="29" spans="1:16">
      <c r="A29" s="5"/>
    </row>
    <row r="30" spans="1:16">
      <c r="A30" s="33" t="s">
        <v>85</v>
      </c>
      <c r="B30" s="4">
        <f>B26+G4</f>
        <v>-44467983398432.242</v>
      </c>
    </row>
    <row r="31" spans="1:16">
      <c r="A31" s="33" t="s">
        <v>86</v>
      </c>
      <c r="B31" s="4">
        <f>B27+G5</f>
        <v>-1618.1812261460216</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I3" sqref="I3"/>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127</v>
      </c>
      <c r="H1" s="1" t="s">
        <v>63</v>
      </c>
      <c r="M1" s="1" t="s">
        <v>79</v>
      </c>
    </row>
    <row r="2" spans="1:15">
      <c r="A2" s="57"/>
      <c r="B2" s="44" t="s">
        <v>0</v>
      </c>
      <c r="C2" s="44" t="s">
        <v>1</v>
      </c>
      <c r="D2" s="54" t="s">
        <v>168</v>
      </c>
      <c r="E2" s="54" t="s">
        <v>170</v>
      </c>
      <c r="F2" t="s">
        <v>27</v>
      </c>
      <c r="I2" s="7" t="s">
        <v>168</v>
      </c>
      <c r="J2" s="7" t="s">
        <v>169</v>
      </c>
      <c r="N2" s="7" t="s">
        <v>168</v>
      </c>
      <c r="O2" s="7" t="s">
        <v>170</v>
      </c>
    </row>
    <row r="3" spans="1:15" ht="30">
      <c r="A3" s="42" t="s">
        <v>122</v>
      </c>
      <c r="B3" s="43">
        <v>0.7</v>
      </c>
      <c r="C3" s="83">
        <v>13</v>
      </c>
      <c r="D3" s="74"/>
      <c r="E3" s="74"/>
      <c r="F3" s="7" t="s">
        <v>126</v>
      </c>
      <c r="G3" s="7"/>
      <c r="H3" t="s">
        <v>68</v>
      </c>
      <c r="I3">
        <f>D5</f>
        <v>3016.620625799671</v>
      </c>
      <c r="J3">
        <f>E5</f>
        <v>0.49504262895320128</v>
      </c>
      <c r="M3" s="3" t="s">
        <v>188</v>
      </c>
      <c r="N3" s="25">
        <f>VLOOKUP(M3,$A$14:$E$17,4,FALSE)</f>
        <v>4.4721359549995794E-2</v>
      </c>
      <c r="O3" s="25">
        <f>VLOOKUP(M3,$A$14:$E$17,5,FALSE)</f>
        <v>0.50759954989056688</v>
      </c>
    </row>
    <row r="4" spans="1:15" ht="30">
      <c r="A4" s="46" t="s">
        <v>159</v>
      </c>
      <c r="B4" s="47">
        <v>3</v>
      </c>
      <c r="C4" s="84">
        <v>4</v>
      </c>
      <c r="D4" s="74">
        <f>GEOMEAN(B4,C4)</f>
        <v>3.4641016151377548</v>
      </c>
      <c r="E4" s="74">
        <f>LogVariance(B4,C4)</f>
        <v>4.8745107090250664E-2</v>
      </c>
      <c r="F4" t="s">
        <v>230</v>
      </c>
      <c r="H4" t="s">
        <v>38</v>
      </c>
      <c r="I4">
        <f>VLOOKUP($H4,Globals!$A$22:$L$30,11,FALSE)</f>
        <v>2.4494897427831779</v>
      </c>
      <c r="J4">
        <f>VLOOKUP($H4,Globals!$A$22:$L$30,12,FALSE)</f>
        <v>0.47670682259949748</v>
      </c>
      <c r="M4" s="3" t="s">
        <v>196</v>
      </c>
      <c r="N4">
        <f>VLOOKUP($M4,'EV of Far Future'!$K$3:$N$14,2,FALSE)</f>
        <v>6.6510751010644866E+38</v>
      </c>
      <c r="O4">
        <f>VLOOKUP($M4,'EV of Far Future'!$K$3:$N$14,3,FALSE)</f>
        <v>5.5108741295969033</v>
      </c>
    </row>
    <row r="5" spans="1:15" ht="30">
      <c r="A5" s="85" t="s">
        <v>68</v>
      </c>
      <c r="B5" s="86">
        <f>B3*1000</f>
        <v>700</v>
      </c>
      <c r="C5" s="86">
        <f>C3*1000</f>
        <v>13000</v>
      </c>
      <c r="D5" s="74">
        <f>GEOMEAN(B5,C5)</f>
        <v>3016.620625799671</v>
      </c>
      <c r="E5" s="74">
        <f>LogVariance(B5,C5)</f>
        <v>0.49504262895320128</v>
      </c>
      <c r="H5" s="15" t="s">
        <v>52</v>
      </c>
      <c r="I5" s="14">
        <f>PRODUCT(I3:I4)</f>
        <v>7389.1812807644656</v>
      </c>
      <c r="J5" s="14">
        <f>SUM(J3:J4)</f>
        <v>0.97174945155269876</v>
      </c>
      <c r="M5" s="3" t="s">
        <v>66</v>
      </c>
      <c r="N5">
        <f>1/factory_farmed_animals</f>
        <v>5.0000000000000002E-11</v>
      </c>
      <c r="O5">
        <v>0</v>
      </c>
    </row>
    <row r="6" spans="1:15" ht="30">
      <c r="A6" s="85" t="s">
        <v>67</v>
      </c>
      <c r="B6" s="86"/>
      <c r="C6" s="86"/>
      <c r="D6" s="74">
        <f>PRODUCT(D4:D5)</f>
        <v>10449.880382090505</v>
      </c>
      <c r="E6" s="74">
        <f>SUM(E4:E5)</f>
        <v>0.54378773604345199</v>
      </c>
      <c r="H6" s="18" t="s">
        <v>80</v>
      </c>
      <c r="I6" s="19">
        <f>ParetoPosterior(median,alpha,I5:J5)</f>
        <v>84.123998152130596</v>
      </c>
      <c r="M6" s="3" t="s">
        <v>98</v>
      </c>
      <c r="N6">
        <f>$D$12</f>
        <v>778.36106764849467</v>
      </c>
      <c r="O6">
        <f>$E$12</f>
        <v>0.55699674606152716</v>
      </c>
    </row>
    <row r="7" spans="1:15" ht="45">
      <c r="A7" s="46" t="s">
        <v>107</v>
      </c>
      <c r="B7" s="47">
        <v>5.0000000000000001E-3</v>
      </c>
      <c r="C7" s="47">
        <v>0.03</v>
      </c>
      <c r="D7" s="74">
        <f>GEOMEAN(B7,C7)</f>
        <v>1.2247448713915889E-2</v>
      </c>
      <c r="E7" s="74">
        <f>LogVariance(B7,C7)</f>
        <v>0.30359732347288149</v>
      </c>
      <c r="H7" s="18" t="s">
        <v>69</v>
      </c>
      <c r="I7" s="20">
        <f>LognormPosterior(mu_factory_farming,sigma_factory_farming,I5:J5)</f>
        <v>65.450479468820603</v>
      </c>
      <c r="M7" s="15" t="s">
        <v>52</v>
      </c>
      <c r="N7" s="14">
        <f>PRODUCT(N3:N6)</f>
        <v>1.157598509698116E+30</v>
      </c>
      <c r="O7" s="14">
        <f>SUM(O3:O6)</f>
        <v>6.5754704255489971</v>
      </c>
    </row>
    <row r="8" spans="1:15" ht="30">
      <c r="A8" s="85" t="s">
        <v>261</v>
      </c>
      <c r="B8" s="125"/>
      <c r="C8" s="125"/>
      <c r="D8">
        <f>D6*interest_rate</f>
        <v>522.49401910452525</v>
      </c>
      <c r="E8">
        <f>E6</f>
        <v>0.54378773604345199</v>
      </c>
      <c r="I8" s="21"/>
    </row>
    <row r="9" spans="1:15" ht="30">
      <c r="A9" s="126" t="s">
        <v>262</v>
      </c>
      <c r="B9" s="125"/>
      <c r="C9" s="125"/>
      <c r="D9">
        <f>D6*D7</f>
        <v>127.98437404620924</v>
      </c>
      <c r="E9">
        <f>E6+E7</f>
        <v>0.84738505951633347</v>
      </c>
      <c r="I9" s="2"/>
    </row>
    <row r="10" spans="1:15">
      <c r="A10" s="128" t="s">
        <v>180</v>
      </c>
      <c r="D10" s="127" t="str">
        <f>WriteArray(SumLognormDists(D8:E9))</f>
        <v>0,0,0,0,5.29662331042868E-293,1.34510720368964E-289,6.29778739139962E-287,3.38710416551508E-284,1.43040617324106E-281,5.77984181470295E-279,2.26711531471151E-276,8.64780643741464E-274,3.20498267651421E-271,1.15457947123543E-268,4.0431232163893E-266,1.376279675357E-263,4.55400200915725E-261,1.46479432522791E-258,4.57991150359909E-256,1.39198523255035E-253,4.11253277460306E-251,1.18108571963555E-248,3.29724234278414E-246,8.9478320497236E-244,2.36038251300883E-241,6.0526375421905E-239,1.50870651740656E-236,3.65563472093407E-234,8.61031138548315E-232,1.97139236006789E-229,4.38758496756202E-227,9.49240770331796E-225,1.99629957192008E-222,4.08106627671065E-220,8.10998971403935E-218,1.5666276952141E-215,2.94178045428905E-213,5.36974671293768E-211,9.52788600036335E-209,1.64338242555985E-206,2.75537165613756E-204,4.490775313336E-202,7.11479169339027E-200,1.09572837392219E-197,1.64037679439724E-195,2.38717607470344E-193,3.37695718999215E-191,4.6437310968982E-189,6.20739125529626E-187,8.065882108439E-185,1.01881530309288E-182,1.25095024788071E-180,1.49308920086569E-178,1.73233852242564E-176,1.95380500867427E-174,2.14205825907425E-172,2.28288009936884E-170,2.36503107696795E-168,2.38173090257683E-166,2.33158250702956E-164,2.21876502415568E-162,2.0524587239648E-160,1.84561165896347E-158,1.61327783570835E-156,1.37082222885101E-154,1.13228673717511E-152,9.0914927904543E-151,7.09606624560822E-149,5.38398695310181E-147,3.97094987675118E-145,2.84701055527894E-143,1.98421265376674E-141,1.34428706894299E-139,8.85320869733705E-138,5.66779935184908E-136,3.52722796872937E-134,2.13382159080553E-132,1.25484017281463E-130,7.17339389618395E-129,3.98627381798813E-127,2.15335676597491E-125,1.13076276614014E-123,5.7721006623842E-122,2.86420053705033E-120,1.38159363020603E-118,6.47835657043792E-117,2.9529578888951E-115,1.30845200853167E-113,5.6359449816265E-112,2.35984979823038E-110,9.60529971114249E-109,3.80055217661541E-107,1.4618135372916E-105,5.46571582592657E-104,1.98660807827497E-102,7.01920172457505E-101,2.41087076358951e-99,8.0495411465858e-98,2.61264029164218e-96,8.24327400215484e-95,2.5283185813477e-93,7.53834714070325e-92,2.18490763282898e-90,6.15606202140123e-89,1.68611113577146e-87,4.48934589280584e-86,1.16196745261979e-84,2.92360874662408e-83,7.15087706760211e-82,1.70025682164363e-80,3.92993426067605e-79,8.83022947682146e-78,1.92874603343304e-76,4.09538625316045e-75,8.4534089596198e-74,1.69623692229484e-72,3.30871382390164e-71,6.27408516714132e-70,1.15653979772359e-68,2.07247924586783e-67,3.61027024356733e-66,6.1137775698994e-65,1.00646912076031e-63,1.6106926686333e-62,2.50580247623553e-61,3.78968786819751e-60,5.57163997346636e-59,7.96317389561639e-58,1.10640331794886e-56,1.49439509331227e-55,1.96219733287229e-54,2.50464291889469e-53,3.10796030039794e-52,3.74914508138237e-51,4.39659860133366e-50,5.01221667462586e-49,5.5548454891175e-48,5.98472157307487e-47,6.26825202335559e-46,6.38234400122593e-45,6.31751051672381e-44,6.07917309691848e-43,5.68691321189589e-42,5.1718158227645e-41,4.5724049296758e-40,3.92990768028348e-39,3.28365038522666e-38,2.66728402861323e-37,2.10630047069383e-36,1.61700377294822e-35,1.20681960632939e-34,8.7561923139507e-34,6.17633521953902e-33,4.2353578799362e-32,2.82354125474028e-31,1.82997032983409e-30,1.15303103190166e-29,7.06295054559967e-29,4.20611148659691e-28,2.43515214686312e-27,1.3706400913099e-26,7.50022194219047e-26,3.99006107736017e-25,2.06367429416548e-24,1.03767280483871e-23,5.0726970357897e-23,2.41089457757455e-22,1.11398661854785e-21,5.00432955675794e-21,2.18563574759202e-20,9.28063031239499e-20,3.83130643412664e-19,1.53775813468625e-18,6.00071483202527e-18,2.27663771301379e-17,8.39775322021963e-17,3.01170824720369e-16,1.05013652514344e-15,3.56011712716589e-15,1.17346777053869e-14,3.76070469873874e-14,1.1718214762407e-13,3.55018464910951e-13,1.04578153874177e-12,2.99526314301035e-12,8.34135492175335e-12,2.25865368081444e-11,5.9467290188986e-11,1.52239156720351e-10,3.78964747662529e-10,9.17276459729904e-10,2.15891594787886e-09,4.94095206156926e-09,1.09958972306026e-08,2.37958872925915e-08,5.00761353620985e-08,1.02476499376452e-07,2.03934034172618e-07,3.94670789473442e-07,7.42794293976843e-07,1.35956352703184e-06,2.42012372576917e-06,4.18979945980481e-06,7.05468788140085e-06,1.15532311582323e-05,1.84027779490343e-05,2.85122723156429e-05,4.29698906940218e-05,6.29937433683262e-05,8.98358272955756e-05,0.000124635158837091,0.000168225594909027,0.000220916283428741,0.000282275646346993,0.000350959871520447,0.00042463029812792,0.000499997832058134,0.000573015637882092,0.000639215709744085,0.000694155362829557,0.000733913078835934,0.000755556601468123,0.000757504939373053,0.000739721550790537,0.000703705587937486,0.000652284991078287,0.000589250793303489,0.000518898074528371,0.000445550197299228,0.000373137968321996,0.000304887003350422,0.00024314054572163,0.000189318035690181,0.000143987691557253,0.000107017853095873,7.77677590757644e-05,5.52823565706683e-05,3.84648223156141e-05,2.62115074785349e-05,1.75042949372191e-05,1.14631707257419e-05,7.36651911597236e-06,4.64847268278649e-06,2.88230997102436e-06,1.75727806733285e-06,1.05411424382196e-06,6.22512254703137e-07,3.62136216478192e-07,2.07632066549313e-07,1.17390660463625e-07,6.54775398519245e-08,3.60463180410579e-08,1.95938300352402e-08,1.0520617830124e-08,5.58209361473229e-09,2.92790620451634e-09,1.51877438819097e-09,7.79434653757731e-10,3.95906364854688e-10,1.99116455080617e-10,9.91962904695698e-11,4.89689432463157e-11,2.39625528251052e-11,1.1626900625564e-11,5.59527636396822e-12,2.6710801156629e-12,1.2650614826614e-12,5.94452143958841e-13,2.77136929363911e-13,1.28176593081512e-13,5.88032048239023e-14,2.67542891320006e-14,1.20696369047321e-14,5.39762333866625e-15,2.39228745573018e-15,1.0505605437518e-15,4.57007429531974e-16,1.96889674189869e-16,8.39905622376033e-17,3.54702836243042e-17,1.48269938997374e-17,6.13383955910149e-18,2.51100610393687e-18,1.0170737308759e-18,4.07574527198784e-19,1.61576702138877e-19,6.33636958608128e-20,2.45793408884323e-20,9.43083359225831e-21,3.57903334347113e-21,1.34340160619424e-21,4.98725410306522e-22,1.83115734097784e-22,6.64956070231179e-23,2.38813690752892e-23,8.48244969863898e-24,2.97972906790273e-24,1.0351990791293e-24,3.55681479595895e-25,1.20861481199507e-25,4.06165593593798e-26,1.34991486443344e-26,4.43708015011759e-27,1.44236620751463e-27,4.63704146106938e-28,1.47432576493497e-28,4.63588730309943e-29,1.44164773800374e-29,4.43376083800119e-30,1.34856586310481e-30,4.05656864390389e-31,1.20679152113124e-31,3.55052368630332e-32,1.03309275249325e-32,2.97284966201558e-33,8.46044699291467e-34,2.38122480186661e-34,6.6281787429541e-35,1.82462974631267e-35,4.96754733678881e-36,1.33750680981242e-36,3.56153087249135e-37,9.37916440196845e-38,2.44274597953534e-38,6.29186201195422e-39,1.60275372638313e-39,4.03776579437741e-40,1.00600972136863e-40,2.47884832313677e-41,6.0406608559508e-42,1.45581328053636e-42,3.46987335216193e-43,8.17915227833764e-44,1.90673214222842e-44,4.39600122571727e-45,1.00233442304316e-45,2.26023819530494e-46,5.04060304388203e-47,1.11172534935977e-47,2.42493020470583e-48,5.23103590743811e-49,1.11599662891389e-49,2.35464146577273e-50,4.91330151450602e-51,1.01393185655925e-51,2.0693351927804e-52,4.17676117007528e-53,8.33748691183221e-54,1.64595292898607e-54,3.21355975950205e-55,6.20500410795725e-56,1.18490761270439e-56,2.23776063366419e-57,4.17954968993756e-58,7.7202627207166e-59,1.41033209702701e-59,2.54798826599502e-60,4.55260719981921e-61,8.04469645082912e-62,1.40587227308944e-62,2.42979029694678e-63,4.153157915223e-64,7.02060952896658e-65,1.17370219638201e-65,1.94056296549704e-66,3.17310383475307e-67,5.13130172692228e-68,8.20649188681062e-69,1.29799870738122e-69,2.03038173977057e-70,3.14099945753617e-71,4.80556822481498e-72,7.2712379440643e-73,1.08807464351373e-73,1.61025904008476e-74,2.35678261463481e-75,3.41137945158165e-76,4.88345574012544e-77,6.91371075485349e-78,9.68014538566243e-79,1.34041499399998e-79,1.8356226081173e-80,2.48607509072632e-81,3.32990474156073e-82,4.41099028226205e-83,5.77865964169213e-84,7.48694863723481e-85,9.59332848373354e-86,1.21568343892557e-86,1.52355595484636e-87,1.88835238443866e-88,2.31469832032428e-89,2.80603107002703e-90,3.36416492054801e-91,3.98886009252728e-92,4.67742737771062e-93,5.42440398341663e-94,6.22133693660797e-95,7.05670792454164e-96,7.91602734578799e-97,8.78211566357417e-98,9.63557736864548e-99,1.04554578773702e-99,1.12200577937101E-100,1.19078636919147E-101,1.24985415667712E-102,1.2973929886185E-103,1.33189650026054E-104,1.3522473293702E-105,1.35777719646451E-106,1.34830334554651E-107,1.32413857361168E-108,1.28607408117356E-109,1.23533645532508E-110,1.17352204763895E-111,1.10251364306665E-112,1.02438548197579E-113,9.41303299053875E-115,8.55426047413722E-116,7.68815416159488E-117,6.83358214812793E-118,6.00705321703874E-119,5.22229333957996E-120,4.49001476977803E-121,3.81786880010167E-122,3.21056120602976E-123,2.67010064066542E-124,2.19614510517932E-125,1.78641006078918E-126,1.43710335627397E-127,1.14335626243411E-128,8.9962573290246E-130,7.00049722275132E-131,5.38744226784739E-132,4.10037044363559E-133,3.08638630291755E-134,2.29754589257082E-135,1.69147206819105E-136,1.23155039983173E-137,8.86801199860889E-139,6.31519954885041E-140,4.4476910014348E-141,3.09791045551936E-142,2.13397750380421E-143,1.45377613985705E-144,9.79471852663097E-146,6.52639126823361E-147,4.30071810541312E-148,2.80282234424813E-149,1.80649551773799E-150,1.15150261642968E-151,7.25904842092722E-153,4.52565226293306E-154,2.79041881932931E-155,1.7015484782144E-156,1.02613850650606E-157,6.12004149470616E-159,3.60985262485664E-160,2.10577177584751E-161,1.21484215218313E-162,6.93130689001815E-164,3.91108385153814E-165,2.18255828137374E-166,1.20454019164095E-167,6.5745111319394E-169,3.54888852638561E-170,1.89455830152917E-171,1.00025404039438E-172,5.22275168325582E-174,2.69696409435163E-175,1.3773289465767E-176,6.95643783894999E-178,3.4747444188565E-179,1.71650687339519E-180,8.38600179569278E-182,4.05182872312651E-183,1.93612739504934E-184,9.14962942330405E-186,4.2762176613104E-187,1.9765273331492E-188,9.03509180282118E-190,4.0845953468163E-191,1.82621636545343E-192,8.07499283989481E-194,3.53117129109481E-195,1.52715158582422E-196,6.53179030018227E-198,2.76292466202962E-199,1.15582630964135E-200,4.78192579313003E-202,1.95658992222612E-203,7.91741693463418E-205,3.16850168599829E-206,1.25403914396765E-207,4.90856975126894E-209,1.90013984089457E-210,7.27449558854611E-212,2.75427264707642E-213,1.03133010897728E-214,3.81922450403932E-216,1.39874775599368E-217,5.06629344515233E-219,1.81479679097097E-220,6.42913266919047E-222,2.25249324068397E-223,7.80479191085644E-225,2.67452021067159E-226,9.06394294614361E-228,3.03791183427107E-229,1.00697778975038E-230,3.30104421339844E-232,1.07021125551802E-233,3.4314242066838E-235,1.08809303555765E-236,3.41227774740444E-238,1.05830157112216E-239,3.24609504130873E-241,9.84690493397364E-243,2.9540985700132E-244,8.76469773271799E-246,2.57179073547816E-247,7.46313049177786E-249,2.14187028876982E-250,6.07927824478323E-252,1.70646584166785E-253,4.73728923213475E-255,1.30061550265224E-256,3.53146311790176E-258,9.48303049227655E-260,2.51840946331543E-261,6.61442751706213E-263,1.7180860208978E-264,4.41351157855788E-266,1.12127040581583E-267,2.81723563275466E-269,7.00039763214598E-271,1.72031893371165E-272,4.18101718496657E-274,1.00494353239918E-275,2.38884565120801E-277,5.61592428292654E-279,1.30569313616752E-280,3.00225600334629E-282,6.82717517314619E-284,1.53539843638266E-285,3.41497764646993E-287,7.51175405302108E-289,1.63411109312743E-290,3.51567337432252E-292,7.4803545887205E-294,1.57406467892672E-295,3.27574197575392E-297,6.74191886061164E-299,1.37228425526546E-300,2.7624305171567E-302,5.49952738741815E-304,1.08279464349542E-305,2.1084026416846E-307,4.06020281683847E-309,7.73265489303903E-311,1.45645225259136E-312,2.71300502651156E-314,4.9979472237598E-316,9.10581759779959E-318,1.64059438358044E-319,2.91498731046335E-321,1.97626258336499E-323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0" s="127" t="s">
        <v>160</v>
      </c>
      <c r="H10" s="13" t="s">
        <v>64</v>
      </c>
      <c r="M10" s="1" t="s">
        <v>185</v>
      </c>
    </row>
    <row r="11" spans="1:15">
      <c r="A11" s="3" t="s">
        <v>163</v>
      </c>
      <c r="D11" s="3">
        <f>STupidExcelMean(D10)</f>
        <v>3407.5897817391692</v>
      </c>
      <c r="E11" s="3">
        <f>STupidExcelVariance(D10,D11)</f>
        <v>210938034.78704423</v>
      </c>
      <c r="I11" s="7" t="s">
        <v>168</v>
      </c>
      <c r="J11" s="7" t="s">
        <v>169</v>
      </c>
      <c r="M11" s="3" t="s">
        <v>189</v>
      </c>
      <c r="N11" s="25">
        <f>VLOOKUP(M11,$A$14:$E$17,4,FALSE)</f>
        <v>2.2360679774997897E-2</v>
      </c>
      <c r="O11" s="25">
        <f>VLOOKUP(M11,$A$14:$E$17,5,FALSE)</f>
        <v>0.27270459618181209</v>
      </c>
    </row>
    <row r="12" spans="1:15" ht="30">
      <c r="A12" s="126" t="s">
        <v>98</v>
      </c>
      <c r="B12" s="125"/>
      <c r="C12" s="125"/>
      <c r="D12" s="3">
        <f>EXP(MuFromParams(ABS(D11),E11))</f>
        <v>778.36106764849467</v>
      </c>
      <c r="E12" s="3">
        <f>(SigmaFromParams(D11,E11) / LN(10))^2</f>
        <v>0.55699674606152716</v>
      </c>
      <c r="H12" s="3" t="s">
        <v>70</v>
      </c>
      <c r="I12">
        <v>1</v>
      </c>
      <c r="J12">
        <v>0</v>
      </c>
      <c r="M12" s="3" t="s">
        <v>192</v>
      </c>
      <c r="N12">
        <f>VLOOKUP($M12,'EV of Far Future'!$K$3:$N$14,2,FALSE)</f>
        <v>6.3245553203367595E+46</v>
      </c>
      <c r="O12">
        <f>VLOOKUP($M12,'EV of Far Future'!$K$3:$N$14,3,FALSE)</f>
        <v>4.2916728033980842</v>
      </c>
    </row>
    <row r="13" spans="1:15">
      <c r="A13" s="126"/>
      <c r="B13" s="125"/>
      <c r="C13" s="125"/>
      <c r="H13" s="3" t="s">
        <v>197</v>
      </c>
      <c r="I13">
        <f>VLOOKUP($H13,'EV of Far Future'!$K$3:$N$14,2,FALSE)</f>
        <v>7.436128024718239E+33</v>
      </c>
      <c r="J13">
        <f>VLOOKUP($H13,'EV of Far Future'!$K$3:$N$14,3,FALSE)</f>
        <v>3.2077713338528238</v>
      </c>
      <c r="M13" s="3" t="s">
        <v>66</v>
      </c>
      <c r="N13">
        <f>1/factory_farmed_animals</f>
        <v>5.0000000000000002E-11</v>
      </c>
      <c r="O13">
        <v>0</v>
      </c>
    </row>
    <row r="14" spans="1:15" ht="45">
      <c r="A14" s="46" t="s">
        <v>187</v>
      </c>
      <c r="B14" s="47">
        <v>0.01</v>
      </c>
      <c r="C14" s="47">
        <v>0.2</v>
      </c>
      <c r="D14" s="74">
        <f>GEOMEAN(B14,C14)</f>
        <v>4.4721359549995794E-2</v>
      </c>
      <c r="E14" s="74">
        <f>LogVariance(B14,C14)</f>
        <v>0.50759954989056688</v>
      </c>
      <c r="F14" t="s">
        <v>190</v>
      </c>
      <c r="H14" s="3" t="s">
        <v>66</v>
      </c>
      <c r="I14">
        <f>1/factory_farmed_animals</f>
        <v>5.0000000000000002E-11</v>
      </c>
      <c r="J14">
        <v>0</v>
      </c>
      <c r="M14" s="3" t="s">
        <v>98</v>
      </c>
      <c r="N14">
        <f>$D$12</f>
        <v>778.36106764849467</v>
      </c>
      <c r="O14">
        <f>$E$12</f>
        <v>0.55699674606152716</v>
      </c>
    </row>
    <row r="15" spans="1:15" ht="30">
      <c r="A15" s="46" t="s">
        <v>141</v>
      </c>
      <c r="B15" s="47">
        <v>5.0000000000000001E-3</v>
      </c>
      <c r="C15" s="47">
        <v>0.1</v>
      </c>
      <c r="D15" s="74">
        <f>GEOMEAN(B15,C15)</f>
        <v>2.2360679774997897E-2</v>
      </c>
      <c r="E15" s="74">
        <f>LogVariance(B15,C15)</f>
        <v>0.50759954989056688</v>
      </c>
      <c r="H15" s="3" t="s">
        <v>98</v>
      </c>
      <c r="I15">
        <f>$D$12</f>
        <v>778.36106764849467</v>
      </c>
      <c r="J15">
        <f>$E$12</f>
        <v>0.55699674606152716</v>
      </c>
      <c r="M15" s="15" t="s">
        <v>52</v>
      </c>
      <c r="N15" s="14">
        <f>PRODUCT(N11:N14)</f>
        <v>5.5038438914585175E+37</v>
      </c>
      <c r="O15" s="14">
        <f>SUM(O11:O14)</f>
        <v>5.1213741456414237</v>
      </c>
    </row>
    <row r="16" spans="1:15" ht="30">
      <c r="A16" s="46" t="s">
        <v>188</v>
      </c>
      <c r="B16" s="47">
        <v>0.01</v>
      </c>
      <c r="C16" s="47">
        <v>0.2</v>
      </c>
      <c r="D16" s="74">
        <f>GEOMEAN(B16,C16)</f>
        <v>4.4721359549995794E-2</v>
      </c>
      <c r="E16" s="74">
        <f>LogVariance(B16,C16)</f>
        <v>0.50759954989056688</v>
      </c>
      <c r="H16" s="15" t="s">
        <v>52</v>
      </c>
      <c r="I16" s="14">
        <f>PRODUCT(I12:I15)</f>
        <v>2.8939962742452905E+26</v>
      </c>
      <c r="J16" s="14">
        <f>SUM(J12:J15)</f>
        <v>3.7647680799143508</v>
      </c>
    </row>
    <row r="17" spans="1:15">
      <c r="A17" s="52" t="s">
        <v>189</v>
      </c>
      <c r="B17" s="51">
        <v>0.01</v>
      </c>
      <c r="C17" s="51">
        <v>0.05</v>
      </c>
      <c r="D17" s="74">
        <f>GEOMEAN(B17,C17)</f>
        <v>2.2360679774997897E-2</v>
      </c>
      <c r="E17" s="74">
        <f>LogVariance(B17,C17)</f>
        <v>0.27270459618181209</v>
      </c>
    </row>
    <row r="18" spans="1:15">
      <c r="A18" s="35"/>
      <c r="B18" s="34"/>
      <c r="C18" s="34"/>
      <c r="D18" s="34"/>
      <c r="E18" s="34"/>
      <c r="M18" t="s">
        <v>178</v>
      </c>
    </row>
    <row r="19" spans="1:15">
      <c r="M19" t="s">
        <v>179</v>
      </c>
      <c r="N19">
        <f>I16</f>
        <v>2.8939962742452905E+26</v>
      </c>
      <c r="O19">
        <f>J16</f>
        <v>3.7647680799143508</v>
      </c>
    </row>
    <row r="20" spans="1:15">
      <c r="H20" s="1" t="s">
        <v>71</v>
      </c>
      <c r="N20">
        <f>I26</f>
        <v>4.9815108329503655E+27</v>
      </c>
      <c r="O20">
        <f>J26</f>
        <v>4.9283073838409317</v>
      </c>
    </row>
    <row r="21" spans="1:15">
      <c r="I21" s="7" t="s">
        <v>168</v>
      </c>
      <c r="J21" s="7" t="s">
        <v>170</v>
      </c>
      <c r="N21">
        <f>I35</f>
        <v>2.440431937775042E+31</v>
      </c>
      <c r="O21">
        <f>J35</f>
        <v>5.4050142064404287</v>
      </c>
    </row>
    <row r="22" spans="1:15" ht="20">
      <c r="A22" s="32" t="s">
        <v>59</v>
      </c>
      <c r="H22" s="3" t="s">
        <v>187</v>
      </c>
      <c r="I22" s="25">
        <f>VLOOKUP(H22,$A$14:$E$17,4,FALSE)</f>
        <v>4.4721359549995794E-2</v>
      </c>
      <c r="J22" s="25">
        <f>VLOOKUP(H22,$A$14:$E$17,5,FALSE)</f>
        <v>0.50759954989056688</v>
      </c>
      <c r="M22" s="3"/>
      <c r="N22" s="3">
        <f>N7</f>
        <v>1.157598509698116E+30</v>
      </c>
      <c r="O22" s="3">
        <f>O7</f>
        <v>6.5754704255489971</v>
      </c>
    </row>
    <row r="23" spans="1:15">
      <c r="A23" s="10" t="s">
        <v>181</v>
      </c>
      <c r="B23" t="s">
        <v>168</v>
      </c>
      <c r="C23" t="s">
        <v>170</v>
      </c>
      <c r="H23" s="3" t="s">
        <v>194</v>
      </c>
      <c r="I23">
        <f>VLOOKUP($H23,'EV of Far Future'!$K$3:$N$14,2,FALSE)</f>
        <v>2.8621670111997308E+36</v>
      </c>
      <c r="J23">
        <f>VLOOKUP($H23,'EV of Far Future'!$K$3:$N$14,3,FALSE)</f>
        <v>3.8637110878888374</v>
      </c>
      <c r="N23">
        <f>N15</f>
        <v>5.5038438914585175E+37</v>
      </c>
      <c r="O23">
        <f>O15</f>
        <v>5.1213741456414237</v>
      </c>
    </row>
    <row r="24" spans="1:15">
      <c r="A24" s="8" t="s">
        <v>163</v>
      </c>
      <c r="B24">
        <f>N25</f>
        <v>4.3789514298905533E+43</v>
      </c>
      <c r="C24">
        <f>O25</f>
        <v>1.1766168142546888E+99</v>
      </c>
      <c r="H24" s="3" t="s">
        <v>66</v>
      </c>
      <c r="I24">
        <f>1/factory_farmed_animals</f>
        <v>5.0000000000000002E-11</v>
      </c>
      <c r="J24">
        <v>0</v>
      </c>
      <c r="M24" s="30" t="s">
        <v>180</v>
      </c>
      <c r="N24" s="31" t="str">
        <f>WriteArray(SumLognormDists(N19:O23))</f>
        <v>0,0,0,0,0,0,0,0,0,0,0,0,0,0,0,0,0,0,0,0,0,0,0,0,0,0,0,0,0,0,0,0,0,0,0,0,0,0,0,0,0,0,0,0,0,0,0,0,0,0,0,0,0,0,0,0,0,0,0,0,0,0,0,0,0,0,0,0,0,0,0,0,0,0,0,0,0,0,0,0,0,0,0,0,0,0,0,0,0,0,0,0,0,0,0,0,0,0,0,0,0,0,0,0,0,0,0,0,0,0,0,0,0,0,0,0,0,0,0,0,0,0,0,0,0,0,0,0,1.6889161726919E-315,5.92997233720346E-314,1.87285040250245E-312,5.8462044969119E-311,1.80774313745486E-309,5.5376696260134E-308,1.68052806218921E-306,5.05234506564957E-305,1.50476538998918E-303,4.43989993742713E-302,1.29779535754786E-300,3.75809661735381E-299,1.07809840560951E-297,3.0639216160373E-296,8.62632326137426E-295,2.40603912813211E-293,6.64826878321978E-292,1.81988282895416E-290,4.93522899166676E-289,1.32586791595461E-287,3.52876173497459E-286,9.30408308288908E-285,2.43026730740529E-283,6.28874203261789E-282,1.61214030828077E-280,4.09422084998716E-279,1.03007564306231E-277,2.56741719693047E-276,6.33947511080952E-275,1.55074266777183E-273,3.7579915970403E-272,9.02197375189231E-271,2.14573978590557E-269,5.05571219174988E-268,1.18009638617357E-266,2.72886795783671E-265,6.25140337138778E-264,1.41873910178059E-262,3.18975719484636E-261,7.10465250588603E-260,1.56768297463373E-258,3.42691936431079E-257,7.42129730762221E-256,1.59215789556502E-254,3.38394158955483E-253,7.12508515959775E-252,1.48623607643967E-250,3.07125684425587E-249,6.28745855371586E-248,1.27516050875105E-246,2.56203675888383E-245,5.09960694950753E-244,1.00558540331795E-242,1.96441023938518E-241,3.80168784214147E-240,7.28872927344562E-239,1.38438967282909E-237,2.6049303396999E-236,4.85584901971541E-235,8.96738055638798E-234,1.64058017225975E-232,2.97345120669413E-231,5.33894863612916E-230,9.49690966283961E-229,1.67355726947902E-227,2.92166641405696E-226,5.05303756164754E-225,8.65777600338996E-224,1.46957635927307E-222,2.47121216993411E-221,4.11680266733048E-220,6.79426183764646E-219,1.11085352460091E-217,1.79930040870639E-216,2.88724075745412E-215,4.58981137290625E-214,7.22835161441482E-213,1.1277591912262E-211,1.74311577105743E-210,2.66912504753911E-209,4.04896965072305E-208,6.08489537987674E-207,9.05930299558769E-206,1.3361942948881E-204,1.9524399388376E-203,2.8263053400885E-202,4.05316129483892E-201,5.75840480910653E-200,8.10483320627616E-199,1.13010720435964E-197,1.56109368200569E-196,2.13634869020656E-195,2.89633806409123E-194,3.89009669521773E-193,5.17613583861471E-192,6.82315363630182E-191,8.91043581791221E-190,1.15278189716374E-188,1.47750803339723E-187,1.87606185022637E-186,2.35993015402279E-185,2.94093849312779E-184,3.63084432571232E-183,4.44083166715395E-182,5.38091449837518E-181,6.45926454292312E-180,7.68148800295878E-179,9.04988480452849E-178,1.05627320146367E-176,1.22136394436483E-175,1.39910291197977E-174,1.58777904985796E-173,1.78511593340158E-172,1.98828597839937E-171,2.19395366307935E-170,2.39834879925138E-169,2.59736895471391E-168,2.78670804511709E-167,2.96200604697273E-166,3.11901291586686E-165,3.25375830414751E-164,3.36271771792441E-163,3.44296545195924E-162,3.49230505613163E-161,3.50936921749105E-160,3.49368271902387E-159,3.4456844289846E-158,3.36670690066553E-157,3.2589149060644E-156,3.12520686044646E-155,2.96908540183132E-154,2.79450518633204E-153,2.60570711402076E-152,2.40704864005758E-151,2.20283954887973E-150,1.99719163647941E-149,1.79388927336756E-148,1.59628596505892E-147,1.40722996622174E-146,1.22901992041391E-145,1.06338955620197E-144,9.11518809708599E-144,7.74067461138118E-143,6.51226522239188E-142,5.42782202686286E-141,4.481872865601E-140,3.66635105056072E-139,2.97131917007923E-138,2.38564313478632E-137,1.89759155272324E-136,1.49534449924348E-135,1.16740409254599E-134,9.02906497512122E-134,6.91840749157895E-133,5.25183984486543E-132,3.94965325523876E-131,2.94271914388345E-130,2.17210691051898E-129,1.58838695201107E-128,1.15073242420138E-127,8.25915304421189E-127,5.87272955429161E-126,4.13702377798719E-125,2.88721926161027E-124,1.99625243335801E-123,1.36739914942276E-122,9.27939200851629E-122,6.23861702313198E-121,4.15529573759274E-120,2.7419566462711E-119,1.79252197759255E-118,1.160950987364E-117,7.4491892191739E-117,4.73532824608088E-116,2.98220418315398E-115,1.86067751081679E-114,1.15014219744891E-113,7.04334422265389E-113,4.27320268670093E-112,2.5684761294532E-111,1.52948527566087E-110,9.0232514411194E-110,5.27386590051323E-109,3.05382147939969E-108,1.75189078195715E-107,9.95679379474747E-107,5.60636527900329E-106,3.12746856498366E-105,1.72844075773172E-104,9.46381690630901E-104,5.13367951364017E-103,2.75893889096824E-102,1.4689487076736E-101,7.74859079387977E-101,4.04940013595369E-100,2.09657723156672e-99,1.07543354980968e-98,5.46523932185842e-98,2.75161726422652e-97,1.37252562158899e-96,6.78276624744053e-96,3.3208370325491e-95,1.61080501807653e-94,7.74093573889532e-94,3.68552545885418e-93,1.73844609124761e-92,8.1241755620954e-92,3.76143913996352e-91,1.7253843769238e-90,7.84106741823375e-90,3.530388090598e-89,1.57480970711154e-88,6.95973229157161e-88,3.04730733903921e-87,1.32190338257045e-86,5.68124310994564e-86,2.41906599518239e-85,1.02050051954634e-84,4.26520992933701e-84,1.7661588722497e-83,7.24572443997906e-83,2.9450798608883e-82,1.18597651902051e-81,4.73172399233349e-81,1.87037019063581e-80,7.32489095525055e-80,2.84210917910785e-79,1.09256414213635e-78,4.16121660385552e-78,1.57022363728199e-77,5.87044648269304e-77,2.17445201988393e-76,7.979914731811e-76,2.9014631769084e-75,1.04521815720611e-74,3.73051328489941e-74,1.31917589474517e-73,4.62178794832471e-73,1.60432095213193e-72,5.51756145200697e-72,1.88008963719853e-71,6.3472582940722e-71,2.12310185670747e-70,7.03612183877854e-70,2.31033295669341e-69,7.51614852468758e-69,2.4226828646415e-68,7.73711605349182e-68,2.44818312301213e-67,7.67523832456474e-67,2.38409731513075e-66,7.33738328842357e-66,2.23740474410836e-65,6.75981871553456e-65,2.02354906617007e-64,6.00180249029115e-64,1.76376219079435e-63,5.1355841826025e-63,1.48160462213901e-62,4.23514831477853e-62,1.19949919516882e-61,3.36610434115604e-61,9.3595018025071e-61,2.57855700305094e-60,7.03883719237867e-60,1.9038233518308e-59,5.10217471063819e-59,1.3548411724341e-58,3.56473543892443e-58,9.29337775430033e-58,2.40064972535556e-57,6.14461272613745e-57,1.55837645977295e-56,3.91619279464088e-56,9.75149699940602e-56,2.4060011417734e-55,5.88219600976094e-55,1.42496482977606e-54,3.42051661673063e-54,8.13587257627628e-54,1.91753574838514e-53,4.47828550398659e-53,1.03636133503978e-52,2.3765334987314e-52,5.40022997060432e-52,1.21595771225582e-51,2.71309489618755e-51,5.99866012815089e-51,1.31428279594432e-50,2.85345674965488e-50,6.1390950530129e-50,1.30885272378181e-49,2.76524372468149e-49,5.78942187618671e-49,1.20115528074083e-48,2.4696101769793e-48,5.03183239744562e-48,1.01600478391122e-47,2.03301499834421e-47,4.03147696455169e-47,7.92264489769746e-47,1.54298733254624e-46,2.97813627172202e-46,5.69666663380299e-46,1.07992900836321e-45,2.02895321733698e-45,3.77794548446366e-45,6.97189302436699e-45,1.27515158630448e-44,2.31149971348561e-44,4.15290329015984e-44,7.39504674311612e-44,1.30516831988396e-43,2.2831485196227e-43,3.95867252986291e-43,6.80328551939925e-43,1.15890453232344e-42,1.95678368247221e-42,3.27499574085079e-42,5.43323171217718e-42,8.93495399421731e-42,1.45653293684373e-41,2.35369259756007e-41,3.77040871693603e-41,5.9874854601352e-41,9.42597422273131e-41,1.47110083719105e-40,2.27615615027044e-40,3.49151890098689e-40,5.30993413135371e-40,8.00638125807461e-40,1.19692286822967e-39,1.77414686984307e-39,2.60745975021243e-39,3.79980956374036e-39,5.49078169439064e-39,7.86768630085308e-39,1.11792646970777e-38,1.57523765219086e-38,2.20119918431984e-38,3.05047369502109e-38,4.19261210936029e-38,5.71513963616324e-38,7.72697687807551e-38,1.03621383400412e-37,1.37836151935717e-37,1.81873086699117e-37,2.3805836413818e-37,3.09119887940444e-37,3.98215685614852e-37,5.0895309089512e-37,6.4539537977849e-37,8.12052385903473e-37,1.01385166609307e-36,1.25608705930564e-36,1.54434201261631e-36,1.8843858527757e-36,2.28204225955643e-36,2.74303052398049e-36,3.27278170352387e-36,3.8762334469055e-36,4.55760896124029e-36,5.32018722570594e-36,6.16607300014136e-36,7.09597631459326e-36,8.10901184561644e-36,9.20252879438475e-36,1.03719815153904e-35,1.16108501731344e-35,1.29106191387795e-35,1.42608187329037e-35,1.56491333689599e-35,1.70615762854215e-35,1.84827280309574e-35,1.98960328609033e-35,2.12841443931842e-35,2.26293094267954e-35,2.39137768932664e-35,2.51202176060341e-35,2.6232139868639e-35,2.7234286129299e-35,2.81129967096858e-35,2.88565281290198e-35,2.94553155925041e-35,2.99021716877704e-35,3.01924160871543e-35,3.03239339314483e-35,3.02971634185837e-35,3.01150157965783e-35,2.97827333419846e-35,2.93076928966499e-35,2.86991640698581e-35,2.79680322533955e-35,2.71264971369406e-35,2.6187757470424e-35,2.51656924413894e-35,2.40745492792854e-35,2.29286456375803e-35,2.17420940178211e-35,2.05285540679874e-35,1.9301017088479e-35,1.80716255839598e-35,1.68515292698038e-35,1.56507776286374e-35,1.44782479539085e-35,1.33416068398192e-35,1.22473022949326e-35,1.1200583074312e-35,1.02055414370314e-35,9.2651753296521e-36,8.38146595343514e-36,7.55546677127752e-36,6.78740022494559e-36,6.07675873858047e-36,5.4224069555358e-36,4.82268256868808e-36,4.27549353795958e-36,3.7784099242082e-36,3.32874899023639e-36,2.92365261502645e-36,2.5601564271477e-36,2.23525038130566e-36,1.94593077461212e-36,1.68924392509737e-36,1.4623219149744e-36,1.2624109374818e-36,1.0868928822373e-36,9.33300854201458e-37,7.99329350342266e-37,6.82839820870383e-37,5.8186232341468e-37,4.94593943443183e-37,4.19394606965049e-37,3.54780855982358e-37,2.99418096697012e-37,2.52111767987728e-37,2.11797815497297e-37,1.77532796650761e-37,1.48483885436909e-37,1.23918993790891e-37,1.0319717951843e-37,8.57594692045769e-38,7.11201885095725e-38,5.88588615366938e-38,4.86127152843189e-38,4.00698041885546e-38,3.29627529816789e-38,2.70631030601381e-38,2.21762377899257e-38,1.81368552031501e-38,1.48049519079277e-38,1.20622793287497e-38,9.80923224030818e-39,7.96212962146793e-39,6.45084884817597e-39,5.21677591760027e-39,4.21103654372479e-39,3.39297541686407e-39,2.7288535390619e-39,2.19073622621888e-39,1.75554702334507e-39,1.40426535022402e-39,1.12124813747333e-39,8.93657998535425e-40,7.10982594256504e-40,5.64631775311951e-40,4.47600832734496e-40,3.54189752333774e-40,2.79769762717956e-40,2.20589699302541e-40,1.73615790021745e-40,1.36399415136951e-40,1.06968216472813e-40,8.3736643305952e-41,6.54326351770401e-41,5.10376675762684e-41,3.97378354105047e-41,3.08840311411428e-41,2.39595983051798e-41,1.85541147081356e-41,1.43421899405148e-41,1.10663552298284e-41,8.52328544426116e-42,6.55272806011698e-42,5.02862621015761e-42,3.85201609551203e-42,2.94535611970122e-42,2.2480086967918e-42,1.71264801671087e-42,1.30241000213313e-42,9.88635854079184e-43,7.49089297106016e-43,5.66551023945308e-43,4.27712843994366e-43,3.22309444240512e-43,2.42438126728723e-43,1.82026933674581e-43,1.36419656075025e-43,1.02052711892852e-43,7.62040777002371e-44,5.67986105851317e-44,4.22574073924368e-44,3.13814807817473e-44,2.32621200531651e-44,1.72119577601251e-44,1.2712068529322e-44,9.37145497758705e-45,6.89608403398658e-45,5.06527096325333e-45,3.7137044401627e-45,2.71779326587619e-45,1.98531692568197e-45,1.44759656521337e-45,1.05358468221468e-45,7.65412405117811e-46,5.55041729138218e-46,4.01753635327337e-46,2.90267218566743e-46,2.09334169532471e-46,1.50690604954516e-46,1.08276975571803e-46,7.76586639417597e-47,5.55965118238651e-47,3.97291233453207e-47,2.83383269271692e-47,2.01763776218709e-47,1.43389033923949e-47,1.01716735645618e-47,7.20232325754325e-48,5.09045394724863e-48,3.59123737425672e-48,2.52892178456559e-48,1.77758492998449e-48,1.24717957709148e-48,8.73436391033332e-49,6.10572484538305e-49,4.26036515301451e-49,2.96729046950445e-49,2.06289411908356e-49,1.43152009110179e-49,9.9156591001811e-50,6.85566129879362e-50,4.73130278759422e-50,3.259235571141e-50,2.24106461461859e-50,1.53814267056448e-50,1.05376185970032e-50,7.20596157240301e-51,4.91863977706567e-51,3.35121044781923e-51,2.27909270778013e-51,1.54712672089027e-51,1.04831882971879e-51,7.09029800929475e-52,4.78673289406438e-52,3.22565191334182e-52,2.16969858876629e-52,1.45674961790551e-52,9.76279159033498e-53,6.53080508938474e-53,4.36076842828046e-53,2.90645045845048e-53,1.93359903978265e-53,1.28402510675487e-53,8.51107085489304e-54,5.6311681082471e-54,3.7189160520564e-54,2.45153361783368e-54,1.61310607412899e-54,1.05947715126146e-54,6.94582534602781e-55,4.54527032030018e-55,2.96892461262428e-55,1.93571857506796e-55,1.25976303096368e-55,8.18350016392527e-56,5.306313754967e-56,3.43439584330595e-56,2.21876531422557e-56,1.43079027609301e-56,9.20967247699432e-57,5.91719641042419e-57,3.79482172482055e-57,2.42923967114985e-57,1.55221882082749e-57,9.90008945129723e-58,6.30273265208172e-58,4.0051819120602e-58,2.54050000425068e-58,1.60849511799962e-58,1.01653863087868e-58,6.41256265041361e-59,4.03778274759518e-59,2.53780277645183e-59,1.59212213925636e-59,9.9700764376028e-60,6.23195326130557e-60,3.88824372928755e-60,2.42151055335703e-60,1.50529924936017e-60,9.34034498360649e-61,5.78504287763014e-61,3.57646385590107e-61,2.20701198518116e-61,1.35943715610003e-61,8.35828495353644e-62,5.12954452047313e-62,3.14227381834854e-62,1.92137813072726e-62,1.17269548368682e-62,7.14432586019651e-63,4.3445104914149e-63,2.6370844549442e-63,1.59775733510892e-63,9.66276003357693e-64,5.83304278061648e-64,3.51473609872066e-64,2.11394593155107e-64,1.26910811574211e-64,7.60513557517426e-65,4.54903096094192e-65,2.71602909391162e-65,1.6186521774442e-65,9.62889047552709e-66,5.71745230988805e-66,3.38869473339338e-66,2.00477638306392e-66,1.18386728751458e-66,6.97820455739614e-67,4.10570711044339e-67,2.41121438783841e-67,1.41347223175718e-67,8.27070115076499e-68,4.83059879841666e-68,2.81619810809733e-68,1.63881159764618e-68,9.51915608569327e-69,5.51914063012019e-69,3.19409673877863e-69,1.84513549482831e-69,1.06392754886055e-69,6.12349599889314e-70,3.51795609696773e-70,2.01736733781487e-70,1.15473717596494e-70,6.59758362311312e-71,3.76261906865293e-71,2.1419000139862e-71,1.21705926869727e-71,6.90284077067602e-72,3.90793719833285e-72,2.20836517115678e-72,1.24565505654238e-72,7.01339491962784e-73,3.94150776481139e-73,2.21105767613423e-73,1.23805902208437e-73,6.91968333237401e-74,3.86042112862344e-74,2.14974397572745e-74,1.19492979502416e-74,6.62981840146647e-75,3.67167699299071e-75,2.02969553609053e-75,1.11995588943053e-75,6.16842845823473e-76,3.39118700455422e-76,1.86094072180678e-76,1.01933499049218e-76,5.57320372027322e-77,3.04156076423087e-77,1.65688233998108e-77,9.00928724252766e-78,4.88981908616609e-78,2.64910237458282e-78,1.43254504039301e-78,7.73252658560721e-79,4.16618116518595e-79,2.24056977687199e-79,1.20276945011736e-79,6.44480671105567e-80,3.4469977332631e-80,1.84024519224998e-80,9.80649878084143e-81,5.2162195018112e-81,2.76949975610046e-81,1.46774428119612e-81,7.76431337299763e-82,4.09976824256085e-82,2.16082278889816e-82,1.13679613617286e-82,5.96966030737049e-83,3.12910576205525e-83,1.63717256546058e-83,8.55012113121474e-84,4.45711325361244e-84,2.31920246742738e-84,1.2045567128348e-84,6.2448129276235e-85,3.23158219521073e-85,1.66922381908133e-85,8.60632084869524e-86,4.42918770060637e-86,2.27527675860851e-86,1.16666983468529e-86,5.97125063060782e-87,3.05060673192381e-87,1.55564587373413e-87,7.91842579772521e-88,4.02319010335391e-88,2.040355533378e-88,1.03286780129736e-88,5.21899908358019e-89,2.63228734107109e-89,1.32520468553647e-89,6.65941719592498e-90,3.34035847807582e-90,1.67245146358884e-90,8.35829243949186e-91,4.16951167563945e-91,2.07613896509569e-91,1.03188485272384e-91,5.11928900926394e-92,2.5350799017875e-92,1.25307552932233e-92,6.18253293613029e-93,3.04480315724169e-93,1.49677181585364e-93,7.3443872044319e-94,3.5971547920159e-94,1.7585968098924e-94,8.58177311076021e-95,4.18014520853539e-95,2.03240053944016e-95,9.86349497186977e-96,4.77810782989385e-96,2.31038660684697e-96,1.11510808105337e-96,5.37220851424355e-97,2.58340414138171e-97,1.24003925924336e-97,5.94130860887363e-98,2.84140003115005e-98,1.35639519682108e-98,6.46314200991384e-99,3.07400625336925e-99,1.45938335210404e-99,6.91572350782355E-100,3.27121770947416E-100,1.54448917430089E-100,7.27886863201376E-101,3.42410037393693E-101,1.60780244855413E-101,7.53568050792178E-102,3.52546057030194E-102,1.64631463613043E-102,7.67385183212299E-103,3.57040574615194E-103,1.65815577939973E-103,7.68664241577229E-104,3.55673591301893E-104,1.6427450039471E-104,7.57342419777296E-105,3.48512214557445E-105,1.60083775159902E-105,7.33973236423408E-106,3.35905197418718E-106,1.5344643966136E-106,6.99681678084453E-107,3.18454785804393E-107,1.44676718999688E-107,6.56074435447974E-108,2.96969038266864E-108,1.34175376484221E-108,6.05115204630802E-109,2.72399873402616E-109,1.22399411641053E-109,5.48978519873481E-110,2.4577345042801E-110,1.09829289522416E-110,4.89897219670885E-111,2.18119939286409E-111,9.69369507623647E-112,4.3001829585283E-112,1.90409277868943E-112,8.41575087846483E-113,3.71279721073642E-113,1.63498276940229E-113,7.18668689195617E-114,3.15317344807603E-114,1.38092658515247E-114,6.03666274228491E-115,2.63406706914526E-115,1.14725599921918E-115,4.98766686889883E-116,2.16440302977776E-116,9.37524056760789E-117,4.0535011513383E-117,1.7493704000995E-117,7.53592972592063E-118,3.24037668660314E-118,1.39077780351297E-118,5.95831686873379E-119,2.54796250890249E-119,1.08759214960792E-119,4.63385764375905E-120,1.97071083470203E-120,8.36578528312722E-121,3.54481941892362E-121,1.49928816039271E-121,6.32965005062177E-122,2.66733694805831E-122,1.12196589326008E-122,4.71069538819723E-123,1.97421288435416E-123,8.25860195773045E-124,3.44844005215502E-124,1.43728343184833E-124,5.97951212635678E-125,2.48309122713656E-125,1.02925549203962E-125,4.25850639214284E-126,1.75871313372792E-126,7.24997156288368E-127,2.98319190799719E-127,1.22526400266579E-127,5.02321479879157E-128,2.05559436039501E-128,8.39646879771784E-129,3.42341486633814E-129,1.39324014266913E-129,5.65973397863082E-130,2.29493110008902E-130,9.28852762270087E-131,3.75256043648442E-131,1.51325496281329E-131,6.09116145477323E-132,2.44732534870685E-132,9.81492304335931E-133,3.92903304903402E-133,1.56995808599785E-133,6.26172552576638E-134,2.49289271775882E-134,9.90642016217183E-135,3.9294656044024E-135,1.55580023370282E-135,6.14862159533622E-136,2.42552241653139E-136,9.55072658193954E-137,3.7537999549805E-137,1.47268353124296E-137,5.76701828760383E-138,2.25422270572275E-138,8.79520373757398E-139,3.42529973839702E-139,1.33154194440977E-139,5.16671747993288E-140,2.00114321483188E-140,7.73651228828352E-141,2.98549165532284E-141,1.14997949475917E-141,4.42148264202658E-142,1.69687302269703E-142,6.50031434534349E-143,2.48555264272312E-143,9.48669996491191E-144,3.61418981803165E-144,1.37439113011064E-144,5.21690973313125E-145,1.97660501939918E-145,7.47532464686022E-146,2.82191427172511E-146,1.06331310513723E-146,</v>
      </c>
      <c r="O24" s="31" t="s">
        <v>160</v>
      </c>
    </row>
    <row r="25" spans="1:15">
      <c r="A25" s="16" t="s">
        <v>175</v>
      </c>
      <c r="B25" s="14">
        <f>EXP(MuFromParams(ABS(B24),C24))</f>
        <v>5.5901405998186974E+37</v>
      </c>
      <c r="C25" s="14">
        <f>(SigmaFromParams(B24,C24) / LN(10))^2</f>
        <v>5.1194176622996377</v>
      </c>
      <c r="H25" s="3" t="s">
        <v>98</v>
      </c>
      <c r="I25">
        <f>$D$12</f>
        <v>778.36106764849467</v>
      </c>
      <c r="J25">
        <f>$E$12</f>
        <v>0.55699674606152716</v>
      </c>
      <c r="M25" s="3" t="s">
        <v>163</v>
      </c>
      <c r="N25" s="3">
        <f>STupidExcelMean(N24)</f>
        <v>4.3789514298905533E+43</v>
      </c>
      <c r="O25" s="3">
        <f>STupidExcelVariance(N24,N25)</f>
        <v>1.1766168142546888E+99</v>
      </c>
    </row>
    <row r="26" spans="1:15">
      <c r="A26" s="36" t="s">
        <v>80</v>
      </c>
      <c r="B26" s="19">
        <f>ParetoPosterior(median,alpha,B25:C25)*SIGN(B24)</f>
        <v>9.1102005409653323E+25</v>
      </c>
      <c r="H26" s="15" t="s">
        <v>52</v>
      </c>
      <c r="I26" s="14">
        <f>PRODUCT(I22:I25)</f>
        <v>4.9815108329503655E+27</v>
      </c>
      <c r="J26" s="14">
        <f>SUM(J22:J25)</f>
        <v>4.9283073838409317</v>
      </c>
      <c r="M26" s="3"/>
      <c r="N26" s="3"/>
      <c r="O26" s="3"/>
    </row>
    <row r="27" spans="1:15">
      <c r="A27" s="36" t="s">
        <v>87</v>
      </c>
      <c r="B27" s="19">
        <f>LognormPosterior(mu_far_future,sigma_far_future,B25:C25)*SIGN(B24)</f>
        <v>8686.0339688890272</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f>B26+I6</f>
        <v>9.1102005409653323E+25</v>
      </c>
      <c r="C30" s="3"/>
      <c r="D30" s="3"/>
      <c r="I30" s="7" t="s">
        <v>168</v>
      </c>
      <c r="J30" s="7" t="s">
        <v>170</v>
      </c>
      <c r="M30" s="3"/>
      <c r="N30" s="21"/>
      <c r="O30" s="3"/>
    </row>
    <row r="31" spans="1:15">
      <c r="A31" s="33" t="s">
        <v>86</v>
      </c>
      <c r="B31" s="4">
        <f>B27+I7</f>
        <v>8751.4844483578472</v>
      </c>
      <c r="D31" s="3"/>
      <c r="H31" s="3" t="s">
        <v>141</v>
      </c>
      <c r="I31" s="25">
        <f>VLOOKUP(H31,$A$14:$E$17,4,FALSE)</f>
        <v>2.2360679774997897E-2</v>
      </c>
      <c r="J31" s="25">
        <f>VLOOKUP(H31,$A$14:$E$17,5,FALSE)</f>
        <v>0.50759954989056688</v>
      </c>
      <c r="M31" s="13"/>
      <c r="N31" s="3"/>
      <c r="O31" s="3"/>
    </row>
    <row r="32" spans="1:15">
      <c r="H32" s="3" t="s">
        <v>195</v>
      </c>
      <c r="I32">
        <f>VLOOKUP($H32,'EV of Far Future'!$K$3:$N$14,2,FALSE)</f>
        <v>2.8043394944264509E+40</v>
      </c>
      <c r="J32">
        <f>VLOOKUP($H32,'EV of Far Future'!$K$3:$N$14,3,FALSE)</f>
        <v>4.3404179104883349</v>
      </c>
      <c r="M32" s="3"/>
      <c r="N32" s="29"/>
      <c r="O32" s="29"/>
    </row>
    <row r="33" spans="2:15">
      <c r="B33" s="3"/>
      <c r="H33" s="3" t="s">
        <v>66</v>
      </c>
      <c r="I33">
        <f>1/factory_farmed_animals</f>
        <v>5.0000000000000002E-11</v>
      </c>
      <c r="J33">
        <v>0</v>
      </c>
      <c r="M33" s="3"/>
      <c r="N33" s="25"/>
      <c r="O33" s="3"/>
    </row>
    <row r="34" spans="2:15">
      <c r="B34" s="3"/>
      <c r="H34" s="3" t="s">
        <v>98</v>
      </c>
      <c r="I34">
        <f>$D$12</f>
        <v>778.36106764849467</v>
      </c>
      <c r="J34">
        <f>$E$12</f>
        <v>0.55699674606152716</v>
      </c>
      <c r="M34" s="3"/>
      <c r="N34" s="3"/>
      <c r="O34" s="3"/>
    </row>
    <row r="35" spans="2:15">
      <c r="H35" s="15" t="s">
        <v>52</v>
      </c>
      <c r="I35" s="14">
        <f>PRODUCT(I31:I34)</f>
        <v>2.440431937775042E+31</v>
      </c>
      <c r="J35" s="14">
        <f>SUM(J31:J34)</f>
        <v>5.4050142064404287</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111</v>
      </c>
      <c r="B1" t="s">
        <v>128</v>
      </c>
      <c r="G1" s="106" t="s">
        <v>108</v>
      </c>
      <c r="H1" t="s">
        <v>128</v>
      </c>
      <c r="M1" s="1"/>
    </row>
    <row r="2" spans="1:15">
      <c r="A2" s="57"/>
      <c r="B2" s="44" t="s">
        <v>0</v>
      </c>
      <c r="C2" s="44" t="s">
        <v>1</v>
      </c>
      <c r="D2" s="44" t="s">
        <v>168</v>
      </c>
      <c r="E2" s="44" t="s">
        <v>170</v>
      </c>
      <c r="H2" s="44" t="s">
        <v>0</v>
      </c>
      <c r="I2" s="44" t="s">
        <v>1</v>
      </c>
      <c r="J2" s="44" t="s">
        <v>168</v>
      </c>
      <c r="K2" s="44" t="s">
        <v>170</v>
      </c>
    </row>
    <row r="3" spans="1:15">
      <c r="A3" s="91" t="s">
        <v>105</v>
      </c>
      <c r="B3" s="92">
        <v>70000</v>
      </c>
      <c r="C3" s="92">
        <v>150000</v>
      </c>
      <c r="D3" s="44"/>
      <c r="E3" s="44"/>
      <c r="F3" t="s">
        <v>245</v>
      </c>
      <c r="G3" s="42" t="s">
        <v>100</v>
      </c>
      <c r="H3" s="43">
        <v>0.03</v>
      </c>
      <c r="I3" s="43">
        <v>0.3</v>
      </c>
      <c r="J3" s="44">
        <f>GEOMEAN(H3,I3)</f>
        <v>9.4868329805051374E-2</v>
      </c>
      <c r="K3" s="44">
        <f>LogVariance(H3,I3)</f>
        <v>0.39015207303618948</v>
      </c>
      <c r="L3" t="s">
        <v>214</v>
      </c>
    </row>
    <row r="4" spans="1:15" ht="30">
      <c r="A4" s="57" t="s">
        <v>106</v>
      </c>
      <c r="B4" s="44">
        <f>1/C3</f>
        <v>6.6666666666666666E-6</v>
      </c>
      <c r="C4" s="44">
        <f>1/B3</f>
        <v>1.4285714285714285E-5</v>
      </c>
      <c r="D4" s="44">
        <f>GEOMEAN(B4,C4)</f>
        <v>9.7590007294853309E-6</v>
      </c>
      <c r="E4" s="44">
        <f>LogVariance(B4,C4)</f>
        <v>0.12913769056993327</v>
      </c>
      <c r="G4" s="46" t="s">
        <v>103</v>
      </c>
      <c r="H4" s="47">
        <v>200</v>
      </c>
      <c r="I4" s="47">
        <v>10000</v>
      </c>
      <c r="J4" s="44"/>
      <c r="K4" s="44"/>
      <c r="L4" t="s">
        <v>235</v>
      </c>
    </row>
    <row r="5" spans="1:15" ht="30">
      <c r="G5" s="87" t="s">
        <v>136</v>
      </c>
      <c r="H5" s="86">
        <f>1/I4</f>
        <v>1E-4</v>
      </c>
      <c r="I5" s="86">
        <f>1/H4</f>
        <v>5.0000000000000001E-3</v>
      </c>
      <c r="J5" s="44">
        <f>GEOMEAN(H5,I5)</f>
        <v>7.0710678118654762E-4</v>
      </c>
      <c r="K5" s="44">
        <f>LogVariance(H5,I5)</f>
        <v>0.66285666921800146</v>
      </c>
    </row>
    <row r="6" spans="1:15" ht="30">
      <c r="G6" s="46" t="s">
        <v>101</v>
      </c>
      <c r="H6" s="47">
        <v>1</v>
      </c>
      <c r="I6" s="47">
        <v>3</v>
      </c>
      <c r="J6" s="44">
        <f>GEOMEAN(H6,I6)</f>
        <v>1.7320508075688774</v>
      </c>
      <c r="K6" s="44">
        <f>LogVariance(H6,I6)</f>
        <v>0.18614984661850412</v>
      </c>
    </row>
    <row r="7" spans="1:15" ht="30">
      <c r="G7" s="46" t="s">
        <v>244</v>
      </c>
      <c r="H7" s="47">
        <v>0.1</v>
      </c>
      <c r="I7" s="47">
        <v>0.7</v>
      </c>
      <c r="J7" s="44">
        <f>GEOMEAN(H7,I7)</f>
        <v>0.26457513110645903</v>
      </c>
      <c r="K7" s="44">
        <f>LogVariance(H7,I7)</f>
        <v>0.32971675223038288</v>
      </c>
      <c r="M7" s="25"/>
      <c r="N7" s="3"/>
      <c r="O7" s="3"/>
    </row>
    <row r="8" spans="1:15">
      <c r="G8" s="63" t="s">
        <v>112</v>
      </c>
      <c r="H8" s="88"/>
      <c r="I8" s="88"/>
      <c r="J8" s="44">
        <f>J3*J5*J6*J7*D4*1000</f>
        <v>2.9999999999999999E-7</v>
      </c>
      <c r="K8" s="44">
        <f>K3+K5+K6+K7+E4</f>
        <v>1.6980130316730113</v>
      </c>
      <c r="M8" s="3"/>
      <c r="N8" s="3"/>
      <c r="O8" s="3"/>
    </row>
    <row r="9" spans="1:15" ht="20">
      <c r="A9" s="32" t="s">
        <v>59</v>
      </c>
      <c r="G9" s="57"/>
      <c r="H9" s="44"/>
      <c r="I9" s="44"/>
      <c r="J9" s="44"/>
      <c r="K9" s="44"/>
      <c r="M9" s="3"/>
      <c r="N9" s="3" t="s">
        <v>153</v>
      </c>
      <c r="O9" s="3"/>
    </row>
    <row r="10" spans="1:15">
      <c r="A10" s="10" t="s">
        <v>120</v>
      </c>
      <c r="G10" s="57"/>
      <c r="H10" s="44"/>
      <c r="I10" s="44"/>
      <c r="J10" s="44"/>
      <c r="K10" s="44"/>
      <c r="M10" s="3"/>
      <c r="O10" s="3"/>
    </row>
    <row r="11" spans="1:15">
      <c r="A11" s="37" t="s">
        <v>182</v>
      </c>
      <c r="B11" s="38">
        <f>ParetoPosterior(median,alpha,H26:I26)</f>
        <v>9.8288365834553962E+25</v>
      </c>
      <c r="G11" s="105" t="s">
        <v>109</v>
      </c>
      <c r="H11" s="54" t="s">
        <v>128</v>
      </c>
      <c r="I11" s="44"/>
      <c r="J11" s="44"/>
      <c r="K11" s="44"/>
      <c r="M11" s="3"/>
      <c r="N11" s="3"/>
      <c r="O11" s="3"/>
    </row>
    <row r="12" spans="1:15" ht="30">
      <c r="A12" s="37" t="s">
        <v>183</v>
      </c>
      <c r="B12" s="38">
        <f>LognormPosterior(mu_far_future,sigma_far_future,H26:I26)</f>
        <v>5989.6979753533897</v>
      </c>
      <c r="G12" s="79"/>
      <c r="H12" s="74" t="s">
        <v>0</v>
      </c>
      <c r="I12" s="74" t="s">
        <v>1</v>
      </c>
      <c r="J12" s="44" t="s">
        <v>168</v>
      </c>
      <c r="K12" s="44" t="s">
        <v>170</v>
      </c>
      <c r="M12" s="3"/>
      <c r="N12" s="26"/>
      <c r="O12" s="26"/>
    </row>
    <row r="13" spans="1:15">
      <c r="A13" s="35"/>
      <c r="B13" s="34"/>
      <c r="G13" s="42" t="s">
        <v>102</v>
      </c>
      <c r="H13" s="50">
        <v>1000000</v>
      </c>
      <c r="I13" s="50">
        <v>10000000000</v>
      </c>
      <c r="J13" s="44">
        <f>GEOMEAN(H13,I13)</f>
        <v>100000000</v>
      </c>
      <c r="K13" s="44">
        <f>LogVariance(H13,I13)</f>
        <v>1.5606082921447579</v>
      </c>
      <c r="M13" s="3"/>
      <c r="N13" s="3"/>
      <c r="O13" s="3"/>
    </row>
    <row r="14" spans="1:15">
      <c r="G14" s="46" t="s">
        <v>104</v>
      </c>
      <c r="H14" s="47">
        <v>2000</v>
      </c>
      <c r="I14" s="47">
        <v>2000</v>
      </c>
      <c r="J14" s="44">
        <f>GEOMEAN(H14,I14)</f>
        <v>2000</v>
      </c>
      <c r="K14" s="44">
        <f>LogVariance(H14,I14)</f>
        <v>0</v>
      </c>
      <c r="M14" s="3"/>
      <c r="N14" s="3"/>
      <c r="O14" s="3"/>
    </row>
    <row r="15" spans="1:15">
      <c r="A15" s="22"/>
      <c r="B15" s="3"/>
      <c r="G15" s="85" t="s">
        <v>113</v>
      </c>
      <c r="H15" s="89">
        <f>1/I13</f>
        <v>1E-10</v>
      </c>
      <c r="I15" s="89">
        <f>1/H13</f>
        <v>9.9999999999999995E-7</v>
      </c>
      <c r="J15" s="44">
        <f>GEOMEAN(H15,I15)</f>
        <v>1E-8</v>
      </c>
      <c r="K15" s="44">
        <f>LogVariance(H15,I15)</f>
        <v>1.5606082921447579</v>
      </c>
      <c r="M15" s="25"/>
      <c r="N15" s="3"/>
      <c r="O15" s="3"/>
    </row>
    <row r="16" spans="1:15">
      <c r="A16" s="8"/>
      <c r="B16" s="3"/>
      <c r="G16" s="90" t="s">
        <v>112</v>
      </c>
      <c r="H16" s="88"/>
      <c r="I16" s="88"/>
      <c r="J16" s="44">
        <f>J14*J15*D4*1000</f>
        <v>1.9518001458970664E-7</v>
      </c>
      <c r="K16" s="44">
        <f>K14+K15+E4</f>
        <v>1.6897459827146912</v>
      </c>
      <c r="M16" s="3"/>
      <c r="O16" s="3"/>
    </row>
    <row r="17" spans="1:15">
      <c r="A17" s="8"/>
      <c r="B17" s="3"/>
      <c r="M17" s="3"/>
      <c r="O17" s="3"/>
    </row>
    <row r="18" spans="1:15">
      <c r="A18" s="8"/>
      <c r="B18" s="3"/>
      <c r="M18" s="3"/>
      <c r="N18" s="3"/>
      <c r="O18" s="3"/>
    </row>
    <row r="19" spans="1:15">
      <c r="A19" s="8"/>
      <c r="B19" s="3"/>
      <c r="G19" s="10" t="s">
        <v>115</v>
      </c>
      <c r="M19" s="3"/>
      <c r="N19" s="3"/>
      <c r="O19" s="3"/>
    </row>
    <row r="20" spans="1:15">
      <c r="A20" s="22"/>
      <c r="B20" s="3"/>
      <c r="G20" s="5" t="s">
        <v>112</v>
      </c>
      <c r="J20">
        <f>GEOMEAN(J8,J16)</f>
        <v>2.4197934700488798E-7</v>
      </c>
      <c r="K20">
        <f>AVERAGE(K8,K16)</f>
        <v>1.6938795071938513</v>
      </c>
      <c r="L20" t="s">
        <v>114</v>
      </c>
      <c r="M20" s="3"/>
      <c r="N20" s="3"/>
      <c r="O20" s="3"/>
    </row>
    <row r="21" spans="1:15">
      <c r="A21" s="8"/>
      <c r="B21" s="3"/>
    </row>
    <row r="22" spans="1:15">
      <c r="A22" s="8"/>
      <c r="B22" s="3"/>
    </row>
    <row r="23" spans="1:15">
      <c r="H23" s="7" t="s">
        <v>168</v>
      </c>
      <c r="I23" s="7" t="s">
        <v>169</v>
      </c>
    </row>
    <row r="24" spans="1:15">
      <c r="G24" s="5" t="s">
        <v>112</v>
      </c>
      <c r="H24">
        <f>J20</f>
        <v>2.4197934700488798E-7</v>
      </c>
      <c r="I24">
        <f>K20</f>
        <v>1.6938795071938513</v>
      </c>
      <c r="J24" s="3"/>
      <c r="K24" s="3"/>
      <c r="L24" s="3"/>
      <c r="M24" s="3"/>
    </row>
    <row r="25" spans="1:15">
      <c r="G25" s="8" t="s">
        <v>110</v>
      </c>
      <c r="H25">
        <f>'EV of Far Future'!L19</f>
        <v>3.9902467787458276E+46</v>
      </c>
      <c r="I25">
        <f>'EV of Far Future'!M19</f>
        <v>4.3828887235322176</v>
      </c>
      <c r="J25" s="3"/>
      <c r="K25" s="3"/>
      <c r="L25" s="3"/>
      <c r="M25" s="3"/>
    </row>
    <row r="26" spans="1:15">
      <c r="G26" s="16" t="s">
        <v>52</v>
      </c>
      <c r="H26" s="14">
        <f>PRODUCT(H24:H25)</f>
        <v>9.655573099092731E+39</v>
      </c>
      <c r="I26" s="14">
        <f>SUM(I24:I25)</f>
        <v>6.0767682307260689</v>
      </c>
      <c r="J26" s="3"/>
      <c r="K26" s="3"/>
      <c r="L26" s="3"/>
      <c r="M26" s="3"/>
    </row>
    <row r="27" spans="1:15">
      <c r="G27" s="8"/>
      <c r="H27" s="3"/>
      <c r="I27" s="3"/>
      <c r="J27" s="3"/>
      <c r="K27" s="3"/>
      <c r="L27" s="3"/>
      <c r="M27" s="3"/>
    </row>
    <row r="28" spans="1:15">
      <c r="G28" s="8"/>
      <c r="H28" s="3"/>
      <c r="I28" s="3"/>
      <c r="J28" s="3"/>
      <c r="K28" s="3"/>
      <c r="L28" s="3"/>
      <c r="M28" s="3"/>
    </row>
    <row r="29" spans="1:15">
      <c r="G29" s="22" t="s">
        <v>242</v>
      </c>
      <c r="H29" s="44" t="s">
        <v>0</v>
      </c>
      <c r="I29" s="44" t="s">
        <v>1</v>
      </c>
      <c r="J29" s="44" t="s">
        <v>168</v>
      </c>
      <c r="K29" s="44" t="s">
        <v>170</v>
      </c>
      <c r="L29" s="3" t="s">
        <v>243</v>
      </c>
      <c r="M29" s="3"/>
    </row>
    <row r="30" spans="1:15" ht="30">
      <c r="G30" s="122" t="s">
        <v>246</v>
      </c>
      <c r="H30" s="3">
        <v>0.1</v>
      </c>
      <c r="I30" s="3">
        <v>0.1</v>
      </c>
      <c r="J30" s="3"/>
      <c r="K30" s="3"/>
      <c r="L30" s="3" t="s">
        <v>249</v>
      </c>
      <c r="M30" s="3"/>
    </row>
    <row r="31" spans="1:15">
      <c r="G31" s="122" t="s">
        <v>247</v>
      </c>
      <c r="H31" s="3">
        <v>2040</v>
      </c>
      <c r="I31" s="3">
        <v>2100</v>
      </c>
      <c r="J31" s="3"/>
      <c r="K31" s="3"/>
      <c r="L31" s="3"/>
      <c r="M31" s="3"/>
    </row>
    <row r="32" spans="1:15">
      <c r="G32" s="122" t="s">
        <v>248</v>
      </c>
      <c r="H32" s="3">
        <f ca="1">H31-YEAR(TODAY())</f>
        <v>24</v>
      </c>
      <c r="I32" s="3">
        <f ca="1">I31-YEAR(TODAY())</f>
        <v>84</v>
      </c>
      <c r="J32" s="3"/>
      <c r="K32" s="3"/>
      <c r="L32" s="3"/>
      <c r="M32" s="3"/>
    </row>
    <row r="33" spans="7:12" ht="30">
      <c r="G33" s="8" t="s">
        <v>250</v>
      </c>
      <c r="H33">
        <f ca="1">H4/LN(1+H30)*(1-1/((1+H30)^H32))</f>
        <v>1885.3692309674122</v>
      </c>
      <c r="I33">
        <f ca="1">I4/LN(1+I30)*(1-1/((1+I30)^I32))</f>
        <v>104885.60241393384</v>
      </c>
      <c r="J33" s="44">
        <f ca="1">GEOMEAN(H33,I33)</f>
        <v>14062.293111819003</v>
      </c>
      <c r="K33" s="44">
        <f ca="1">LogVariance(H33,I33)</f>
        <v>0.68094000612010941</v>
      </c>
      <c r="L33" t="s">
        <v>251</v>
      </c>
    </row>
    <row r="34" spans="7:12" ht="45">
      <c r="G34" s="5" t="s">
        <v>252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H3" sqref="H3"/>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127</v>
      </c>
      <c r="H1" s="1" t="s">
        <v>146</v>
      </c>
    </row>
    <row r="2" spans="1:10">
      <c r="B2" s="44" t="s">
        <v>0</v>
      </c>
      <c r="C2" s="44" t="s">
        <v>1</v>
      </c>
      <c r="D2" s="44" t="s">
        <v>168</v>
      </c>
      <c r="E2" s="44" t="s">
        <v>170</v>
      </c>
      <c r="I2" t="s">
        <v>168</v>
      </c>
      <c r="J2" s="44" t="s">
        <v>170</v>
      </c>
    </row>
    <row r="3" spans="1:10">
      <c r="A3" s="94" t="s">
        <v>130</v>
      </c>
      <c r="B3" s="43">
        <v>0.1</v>
      </c>
      <c r="C3" s="43">
        <v>0.5</v>
      </c>
      <c r="D3" s="74">
        <f>GEOMEAN(B3,C3)</f>
        <v>0.22360679774997896</v>
      </c>
      <c r="E3" s="74">
        <f>LogVariance(B3,C3)</f>
        <v>0.27270459618181209</v>
      </c>
      <c r="H3" t="s">
        <v>192</v>
      </c>
      <c r="I3">
        <f>VLOOKUP(H3,'EV of Far Future'!$K$3:$M$14,2,FALSE)</f>
        <v>6.3245553203367595E+46</v>
      </c>
      <c r="J3">
        <f>VLOOKUP(H3,'EV of Far Future'!$K$3:$M$14,3,FALSE)</f>
        <v>4.2916728033980842</v>
      </c>
    </row>
    <row r="4" spans="1:10" ht="30">
      <c r="A4" s="95" t="s">
        <v>135</v>
      </c>
      <c r="B4" s="47">
        <v>0.2</v>
      </c>
      <c r="C4" s="47">
        <v>0.8</v>
      </c>
      <c r="D4" s="74">
        <f>GEOMEAN(B4,C4)</f>
        <v>0.4</v>
      </c>
      <c r="E4" s="74">
        <f>LogVariance(B4,C4)</f>
        <v>0.23489495370875477</v>
      </c>
      <c r="H4" t="s">
        <v>193</v>
      </c>
      <c r="I4">
        <f>VLOOKUP(H4,'EV of Far Future'!$K$3:$M$14,2,FALSE)</f>
        <v>1.2649110640673518E+46</v>
      </c>
      <c r="J4">
        <f>VLOOKUP(H4,'EV of Far Future'!$K$3:$M$14,3,FALSE)</f>
        <v>4.2916728033980842</v>
      </c>
    </row>
    <row r="5" spans="1:10" ht="30" customHeight="1">
      <c r="A5" s="113" t="s">
        <v>231</v>
      </c>
      <c r="B5" s="114">
        <v>0.1</v>
      </c>
      <c r="C5" s="114">
        <v>0.6</v>
      </c>
      <c r="D5" s="74">
        <f>GEOMEAN(B5,C5)</f>
        <v>0.2449489742783178</v>
      </c>
      <c r="E5" s="74">
        <f>LogVariance(B5,C5)</f>
        <v>0.30359732347288149</v>
      </c>
      <c r="H5" t="s">
        <v>197</v>
      </c>
      <c r="I5">
        <f>VLOOKUP(H5,'EV of Far Future'!$K$3:$M$14,2,FALSE)</f>
        <v>7.436128024718239E+33</v>
      </c>
      <c r="J5">
        <f>VLOOKUP(H5,'EV of Far Future'!$K$3:$M$14,3,FALSE)</f>
        <v>3.2077713338528238</v>
      </c>
    </row>
    <row r="6" spans="1:10" ht="45">
      <c r="A6" s="46" t="s">
        <v>232</v>
      </c>
      <c r="B6" s="47">
        <v>5000</v>
      </c>
      <c r="C6" s="47">
        <v>100000</v>
      </c>
      <c r="D6" s="44"/>
      <c r="E6" s="44"/>
      <c r="F6" t="s">
        <v>234</v>
      </c>
      <c r="H6" t="s">
        <v>194</v>
      </c>
      <c r="I6">
        <f>VLOOKUP(H6,'EV of Far Future'!$K$3:$M$14,2,FALSE)</f>
        <v>2.8621670111997308E+36</v>
      </c>
      <c r="J6">
        <f>VLOOKUP(H6,'EV of Far Future'!$K$3:$M$14,3,FALSE)</f>
        <v>3.8637110878888374</v>
      </c>
    </row>
    <row r="7" spans="1:10" ht="30">
      <c r="A7" s="87" t="s">
        <v>233</v>
      </c>
      <c r="B7" s="86">
        <f>1/C6</f>
        <v>1.0000000000000001E-5</v>
      </c>
      <c r="C7" s="86">
        <f>1/B6</f>
        <v>2.0000000000000001E-4</v>
      </c>
      <c r="D7" s="74">
        <f>GEOMEAN(B7,C7)</f>
        <v>4.4721359549995795E-5</v>
      </c>
      <c r="E7" s="74">
        <f>LogVariance(B7,C7)</f>
        <v>0.50759954989056688</v>
      </c>
      <c r="H7" t="s">
        <v>195</v>
      </c>
      <c r="I7">
        <f>VLOOKUP(H7,'EV of Far Future'!$K$3:$M$14,2,FALSE)</f>
        <v>2.8043394944264509E+40</v>
      </c>
      <c r="J7">
        <f>VLOOKUP(H7,'EV of Far Future'!$K$3:$M$14,3,FALSE)</f>
        <v>4.3404179104883349</v>
      </c>
    </row>
    <row r="8" spans="1:10" ht="30">
      <c r="A8" s="46" t="s">
        <v>133</v>
      </c>
      <c r="B8" s="47">
        <v>0.5</v>
      </c>
      <c r="C8" s="47">
        <v>5</v>
      </c>
      <c r="D8" s="74">
        <f>GEOMEAN(B8,C8)</f>
        <v>1.5811388300841898</v>
      </c>
      <c r="E8" s="74">
        <f>LogVariance(B8,C8)</f>
        <v>0.39015207303618948</v>
      </c>
      <c r="H8" t="s">
        <v>196</v>
      </c>
      <c r="I8">
        <f>VLOOKUP(H8,'EV of Far Future'!$K$3:$M$14,2,FALSE)</f>
        <v>6.6510751010644866E+38</v>
      </c>
      <c r="J8">
        <f>VLOOKUP(H8,'EV of Far Future'!$K$3:$M$14,3,FALSE)</f>
        <v>5.5108741295969033</v>
      </c>
    </row>
    <row r="9" spans="1:10" ht="45">
      <c r="A9" s="46" t="s">
        <v>134</v>
      </c>
      <c r="B9" s="47">
        <v>1000</v>
      </c>
      <c r="C9" s="47">
        <v>100000</v>
      </c>
      <c r="D9" s="74"/>
      <c r="E9" s="74"/>
    </row>
    <row r="10" spans="1:10">
      <c r="A10" s="85" t="s">
        <v>138</v>
      </c>
      <c r="B10" s="86">
        <f>1000/C9</f>
        <v>0.01</v>
      </c>
      <c r="C10" s="86">
        <f>1000/B9</f>
        <v>1</v>
      </c>
      <c r="D10" s="74">
        <f>GEOMEAN(B10,C10)</f>
        <v>0.1</v>
      </c>
      <c r="E10" s="74">
        <f>LogVariance(B10,C10)</f>
        <v>0.78030414607237897</v>
      </c>
      <c r="H10" s="15" t="s">
        <v>191</v>
      </c>
      <c r="I10" s="14">
        <f t="shared" ref="I10:I15" si="0">D13*I3</f>
        <v>1.4142135623730952E+45</v>
      </c>
      <c r="J10" s="14">
        <f t="shared" ref="J10:J15" si="1">E13+J3</f>
        <v>4.5643773995798966</v>
      </c>
    </row>
    <row r="11" spans="1:10" ht="45">
      <c r="A11" s="85" t="s">
        <v>139</v>
      </c>
      <c r="B11" s="86"/>
      <c r="C11" s="86"/>
      <c r="D11" s="74">
        <f>PRODUCT(D3:D8)*D10</f>
        <v>1.5491933384829672E-7</v>
      </c>
      <c r="E11" s="74">
        <f>SUM(E3:E8)+E10</f>
        <v>2.489252642362584</v>
      </c>
      <c r="H11" s="15" t="s">
        <v>142</v>
      </c>
      <c r="I11" s="14">
        <f t="shared" si="0"/>
        <v>4.0000000000000004E+44</v>
      </c>
      <c r="J11" s="14">
        <f t="shared" si="1"/>
        <v>4.6818248764342734</v>
      </c>
    </row>
    <row r="12" spans="1:10">
      <c r="A12" s="85"/>
      <c r="B12" s="86"/>
      <c r="C12" s="86"/>
      <c r="D12" s="74"/>
      <c r="E12" s="74"/>
      <c r="H12" s="15" t="s">
        <v>203</v>
      </c>
      <c r="I12" s="14">
        <f t="shared" si="0"/>
        <v>7.436128024718239E+33</v>
      </c>
      <c r="J12" s="14">
        <f t="shared" si="1"/>
        <v>3.2077713338528238</v>
      </c>
    </row>
    <row r="13" spans="1:10" ht="45">
      <c r="A13" s="46" t="s">
        <v>186</v>
      </c>
      <c r="B13" s="47">
        <v>0.01</v>
      </c>
      <c r="C13" s="47">
        <v>0.05</v>
      </c>
      <c r="D13" s="74">
        <f t="shared" ref="D13:D18" si="2">GEOMEAN(B13,C13)</f>
        <v>2.2360679774997897E-2</v>
      </c>
      <c r="E13" s="74">
        <f t="shared" ref="E13:E18" si="3">LogVariance(B13,C13)</f>
        <v>0.27270459618181209</v>
      </c>
      <c r="H13" s="15" t="s">
        <v>143</v>
      </c>
      <c r="I13" s="14">
        <f t="shared" si="0"/>
        <v>5.7243340223994615E+35</v>
      </c>
      <c r="J13" s="14">
        <f t="shared" si="1"/>
        <v>4.0986060415975922</v>
      </c>
    </row>
    <row r="14" spans="1:10" ht="45">
      <c r="A14" s="46" t="s">
        <v>132</v>
      </c>
      <c r="B14" s="47">
        <v>0.01</v>
      </c>
      <c r="C14" s="47">
        <v>0.1</v>
      </c>
      <c r="D14" s="74">
        <f t="shared" si="2"/>
        <v>3.1622776601683791E-2</v>
      </c>
      <c r="E14" s="74">
        <f t="shared" si="3"/>
        <v>0.39015207303618948</v>
      </c>
      <c r="H14" s="15" t="s">
        <v>144</v>
      </c>
      <c r="I14" s="14">
        <f t="shared" si="0"/>
        <v>2.8043394944264508E+39</v>
      </c>
      <c r="J14" s="14">
        <f t="shared" si="1"/>
        <v>4.5753128641970893</v>
      </c>
    </row>
    <row r="15" spans="1:10" ht="60">
      <c r="A15" s="46" t="s">
        <v>202</v>
      </c>
      <c r="B15" s="47">
        <v>1</v>
      </c>
      <c r="C15" s="47">
        <v>1</v>
      </c>
      <c r="D15" s="74">
        <f t="shared" si="2"/>
        <v>1</v>
      </c>
      <c r="E15" s="74">
        <f t="shared" si="3"/>
        <v>0</v>
      </c>
      <c r="H15" s="15" t="s">
        <v>145</v>
      </c>
      <c r="I15" s="14">
        <f t="shared" si="0"/>
        <v>6.6510751010644866E+37</v>
      </c>
      <c r="J15" s="14">
        <f t="shared" si="1"/>
        <v>5.7457690833056576</v>
      </c>
    </row>
    <row r="16" spans="1:10" ht="30">
      <c r="A16" s="46" t="s">
        <v>140</v>
      </c>
      <c r="B16" s="47">
        <v>0.1</v>
      </c>
      <c r="C16" s="47">
        <v>0.4</v>
      </c>
      <c r="D16" s="74">
        <f t="shared" si="2"/>
        <v>0.2</v>
      </c>
      <c r="E16" s="74">
        <f t="shared" si="3"/>
        <v>0.23489495370875477</v>
      </c>
      <c r="H16" s="30" t="s">
        <v>180</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1.43279037293961E-322,8.69061471034753E-321,4.82988694061486E-319,2.64388410334299E-317,1.42863790928733E-315,7.62062257557035E-314,4.01279686089179E-312,2.08589500110274E-310,1.07035137119599E-308,5.42186958873784E-307,2.71119434487076E-305,1.33832389568514E-303,6.52155152981144E-302,3.13711081694809E-300,1.4896976752775E-298,6.98322263634674E-297,3.23149303728216E-295,1.47618323712943E-293,6.65682506805407E-292,2.9633569842653E-290,1.30223953768082E-288,5.64921342852774E-287,2.41922028702565E-285,1.0227118843638E-283,4.26797406394959E-282,1.75825131785159E-280,7.15041046453687E-279,2.87059528288608E-277,1.13763793667854E-275,4.45069059625764E-274,1.71886637439164E-272,6.55312326616966E-271,2.46630172038399E-269,9.16296146488957E-268,3.36060477247019E-266,1.2167212300672E-264,4.34867489174657E-263,1.53431718127038E-261,5.34399266196129E-260,1.83742322559703E-258,6.23656339999421E-257,2.08965419022935E-255,6.9118864292321E-254,2.25689839535428E-252,7.27479597968769E-251,2.31485173231913E-249,7.27142029356378E-248,2.25480599795592E-246,6.90228899798905E-245,2.08579336751952E-243,6.22219722298374E-242,1.83235988272775E-240,5.32687436896605E-239,1.52872362913523E-237,4.3309235351679E-236,1.21123172648782E-234,3.34402346828263E-233,9.11395596893702E-232,2.45211165937505E-230,6.51282551405427E-229,1.70763366452336E-227,4.41993841716342E-226,1.1293645664127E-224,2.84871309018124E-223,7.09349171986768E-222,1.74368652606923E-220,4.23130117943003E-219,1.0136238987317E-217,2.39705122302529E-216,5.59597229594233E-215,1.28964970924417E-213,2.93404076073319E-212,6.58959760188274E-211,1.46100003698953E-209,3.19771936964064E-208,6.90922710272806E-207,1.47372958281287E-205,3.10316996913569E-204,6.45049396575282E-203,1.3236715997894E-201,2.68143713691368E-200,5.36235184439634E-199,1.05862839518047E-197,2.06315828634437E-196,3.9693790181019E-195,7.53900166490613E-194,1.41353509895135E-192,2.61638159216659E-191,4.78076668435536E-190,8.6237516004365E-189,1.53566824607994E-187,2.69961169604583E-186,4.68498480919802E-185,8.02635424261575E-184,1.35747542005643E-182,2.26646704303246E-181,3.73569056930313E-180,6.07850407877509E-179,9.76398572697522E-178,1.54832614848663E-176,2.4238343471357E-175,3.74583709834148E-174,5.71479419705347E-173,8.60712991449583E-172,1.27974215841735E-170,1.87842239407528E-169,2.72189274354655E-168,3.89364222271989E-167,5.49855635007734E-166,7.66565452146471E-165,1.05501359648565E-163,1.43342658371264E-162,1.92265681730531E-161,2.54587661012834E-160,3.32799401924783E-159,4.29474795476211E-158,5.47145888998506E-157,6.88143917416645E-156,8.54410256893214E-155,1.0472853929238E-153,1.26728832003055E-152,1.51390280902128E-151,1.78539010479446E-150,2.07864925282473E-149,2.38914586993824E-148,2.71092741924739E-147,3.03673782267356E-146,3.35823677006638E-145,3.66631992533838E-144,3.95152626112817E-143,4.20450907264474E-142,4.41653901861781E-141,4.58000193146737E-140,4.68885200866107E-139,4.73898283523212E-138,4.72848450261272E-137,4.6577643785018E-136,4.52952088079376E-135,4.34857260871445E-134,4.12155791418225E-133,3.85653102174867E-132,3.56248892641821E-131,3.2488677085164E-130,2.92504728615027E-129,2.5999001707994E-128,2.28141314651866E-127,1.97640194089569E-126,1.69032905806339E-125,1.42722517214654E-124,1.18970586062942E-123,9.79068757515163E-123,7.95451865563072E-122,6.38031887354066E-121,5.05241818074237E-120,3.94989263061509E-119,3.04860439646279E-118,2.3229899443436E-117,1.74753054650865E-116,1.29787878746228E-115,9.5164757329104E-115,6.88892664160489E-114,4.92335498243344E-113,3.47380711068129E-112,2.41983642331903E-111,1.6641899556135E-110,1.12994471487403E-109,7.57442652775961E-109,5.01281240785439E-108,3.27531571588723E-107,2.11283612692624E-106,1.34561343492978E-105,8.46092055573395E-105,5.25241085057351E-104,3.21917451885245E-103,1.94794245498239E-102,1.16373615825556E-101,6.86405562995381E-101,3.99720114122985E-100,2.29816527762558e-99,1.30454088317511e-98,7.31116300216759e-98,4.04546791741472e-97,2.21006878874167e-96,1.19206187566656e-95,6.34817740560777e-95,3.33778119115156e-94,1.73271269404525e-93,8.88089027747197e-93,4.49416596155564e-92,2.24546245656695e-91,1.10771504135533e-90,5.39532213391093e-90,2.59462935412843e-89,1.2319795044235e-88,5.7756846942453e-88,2.67348024451183e-87,1.22187198638345e-86,5.51380526697556e-86,2.45672155339203e-85,1.0807894630138e-84,4.69471064430674e-84,2.01354379751854e-83,8.52707079439369e-83,3.56555602664128e-82,1.47212740922173e-81,6.00145369065718e-81,2.41580957462037e-80,9.60210458604126e-80,3.76851323002932e-79,1.46041400207225e-78,5.58839105838508e-78,2.11156788019459e-77,7.87831679684573e-77,2.90251669975492e-76,1.05592178460345e-75,3.79321481080484e-75,1.34556539616231e-74,4.7133205817445e-74,1.63033614825333e-73,5.56876198606776e-73,1.87834295952511e-72,6.25647033779926e-72,2.05790722440936e-71,6.68448349475842e-71,2.1441712156921e-70,6.79210857617964e-70,2.1247482104807e-69,6.56405633119506e-69,2.00264295179802e-68,6.03400587003673e-68,1.7954926687036e-67,5.27645384914964e-67,1.53139179156335e-66,4.38956403566269e-66,1.24266134692394e-65,3.47445053054809e-65,9.59460791666034e-65,2.61686977347407e-64,7.04947879402347e-64,1.87567845543668e-63,4.92938746203139e-63,1.27958061647689e-62,3.2808749759653e-62,8.30933961355176e-62,2.07876733428544e-61,5.13707420218657e-61,1.25402071919313e-60,3.02399559677227e-60,7.20367556337918e-60,1.69524707537664e-59,3.94119031227618e-59,9.05205948543633e-59,2.05401406542202e-58,4.60475238262143e-58,1.01992269067964e-57,2.23201966114362e-57,4.82625988458226e-57,1.03114069051103e-56,2.17687140044634e-56,4.54118140800438e-56,9.36138885063687e-56,1.90704854878255e-55,3.83926847090311e-55,7.63864469294311e-55,1.50204056728276e-54,2.91918486838197e-54,5.60755867566794e-54,1.06472320505816e-53,1.99833981561958e-53,3.70758798668173e-53,6.80022991556274e-53,1.23306787533055e-52,2.21056681474241e-52,3.91828831256725e-52,6.86734424199315e-52,1.19016002182875e-51,2.03972333721735e-51,3.45710554774097e-51,5.79503997078258e-51,9.60794423117473e-51,1.57566337302208e-50,2.55614151748942e-50,4.10227971771583e-50,6.51352176860468e-50,1.0232667400857e-49,1.59065962755216e-49,2.44689273293176e-49,3.72508821103468e-49,5.6127750439642e-49,8.37094367441334e-49,1.23584476475817e-48,1.80627498631109e-48,2.61380181954628e-48,3.74515089171595e-48,5.31390127959122e-48,7.46698541680874e-48,1.03921506359136e-47,1.43263301567003e-47,1.95647962591076e-47,2.6470877277964e-47,3.54859150190069e-47,4.71390241515702e-47,6.20560960107101e-47,8.09673739610701e-47,1.04712825745865e-46,1.34244461132447e-46,1.70624702423976e-46,2.1501992258846e-46,2.68688331155469e-46,3.32961519520396e-46,4.09219179165433e-46,4.98856778212665e-46,6.03246317882949e-46,7.23690679167093e-46,8.61372493763456e-46,1.017298909195e-45,1.19224403883423e-45,1.38669126354325e-45,1.60077785239714e-45,1.83424456687027e-45,2.08639298149581e-45,2.35605317645656e-45,2.64156422445926e-45,2.94076950619386e-45,3.25102835699799e-45,3.56924489395687e-45,3.89191412911007e-45,4.2151846800645e-45,4.53493658877261e-45,4.84687199942674e-45,5.14661577320103e-45,5.42982257245513e-45,5.69228656416329e-45,5.93004969609736e-45,6.13950450246949e-45,6.31748759873618e-45,6.46136041616263e-45,6.569074282305e-45,6.63921764100559e-45,6.67104398491909e-45,6.66447990084115e-45,6.6201134578087e-45,6.53916395644889e-45,6.42343476618666e-45,6.27525157218361e-45,6.09738881210691e-45,5.89298738913736e-45,5.66546689669609e-45,5.41843558603046e-45,5.15560116206236e-45,4.88068522452625e-45,4.59734380418142e-45,4.30909600464766e-45,4.01926227726674e-45,3.7309133568328e-45,3.44683039543816e-45,3.16947637207212e-45,2.90097844479218e-45,2.64312056335166e-45,2.39734538136113e-45,2.16476430196871e-45,1.9461743590385e-45,1.74208057268612e-45,1.55272241677988e-45,1.3781030876246e-45,1.21802035730177e-45,1.07209792138474e-45,9.39816298512588e-46,8.20542498837844e-46,7.13557841011269e-46,6.18083455840184e-46,5.33303163250557e-46,4.58383543402312e-46,3.92491139897639e-46,3.34806831435989e-46,2.84537487586604e-46,2.40925085072908e-46,2.03253504307267e-46,1.70853253600934e-46,1.43104382542687e-46,1.19437848686576e-46,9.93355951298698e-47,8.2329582926085e-47,6.80000035295276e-47,5.59728743555836e-47,4.59171965677654e-47,3.75418296147195e-47,3.05922128325494e-47,2.48470413575899e-47,2.01149822057436e-47,1.62314970231628e-47,1.30558208979978e-47,1.04681318138861e-47,8.36693279150349e-48,6.66665839783505e-48,5.29550894354983e-48,4.19350914255183e-48,3.31078306169398e-48,2.60603362442171e-48,2.04521253548032e-48,1.60036506172465e-48,1.24863344954292e-48,9.71402714575339e-49,7.53572956954118e-49,5.82943108740197e-49,4.49692003340142e-49,3.45943782188669e-49,2.65405851927013e-49,2.03068821145484e-49,1.54959038334335e-49,1.17935492238392e-49,8.95239020558263e-50,6.77818052886488e-50,5.11893390856986e-50,3.85612048768621e-50,2.8976007749365e-50,2.17197756333755e-50,1.62409948853983e-50,1.21149552301634e-50,9.01558567713944e-51,6.69329149165506e-51,4.95757790456819e-51,3.66347592806905e-51,2.70097582849473e-51,1.9868303185298e-51,1.45821757884147e-51,1.06785839265778e-51,7.80265971653629e-52,5.68874908412226e-52,4.13850043204819e-52,3.00419359388438e-52,2.17609398924117e-52,1.57288843632756e-52,1.13447263446571e-52,8.16527577080338e-53,5.86452603291232e-53,4.20324138713053e-53,3.00627605115454e-53,2.14570448566625e-53,1.52830689857055e-53,1.08630962031673e-53,7.70551285429886e-54,5.45452020547361e-54,3.85319154645586e-54,2.71641050893865e-54,1.91109584400933e-54,1.34178552294062e-54,9.40152761708372e-55,6.57399544851121e-55,4.58750794699059e-55,3.19478320643741e-55,2.22036127606121e-55,1.54001174742609e-55,1.06596492846458e-55,7.36343682029256e-56,5.07618195882156e-56,3.49231094064799e-56,2.39777164606974e-56,1.64294100415799e-56,1.12345414646366e-56,7.66669061260642e-57,5.22131230014434e-57,3.54870966893994e-57,2.40702299763752e-57,1.62932930752612e-57,1.10066774025422e-57,7.42031284350034e-58,4.99236889134569e-58,3.35204204363022e-58,2.24610700205153e-58,1.50199843591867e-58,1.00236624235576e-58,6.67576678750027e-59,4.43704175171693e-59,2.94308884260655e-59,1.9481867872866e-59,1.28698963262749e-59,8.48470229801764e-60,5.58232542022043e-60,3.66530863438489e-60,2.40172174394306e-60,1.57054886849032e-60,1.02493595818795e-60,6.67510969127819e-61,4.33846779058657e-61,2.81404175494328e-61,1.82154868610439e-61,1.17670342138772e-61,7.58593535538156e-62,4.88053072833495e-62,3.1335791174697e-62,2.00784361619898e-62,1.28391011568273e-62,8.19322318340374e-63,5.21783439257385e-63,3.31620257863263e-63,2.10332791703035e-63,1.33133702166659e-63,8.40976848043192e-64,5.30145401915774e-64,3.33519174850422e-64,2.0939262836348e-64,1.31194812991382e-64,8.20326161151e-65,5.11883352524929e-65,3.18764480855965e-65,1.98099437449365e-65,1.22860107914083e-65,7.60418727054472e-66,4.69687397622985e-66,2.89520377259146e-66,1.78099796089304e-66,1.09335627158145e-66,6.69844361153041e-67,4.09543440402082e-67,2.49884801942114e-67,1.52157530086635e-67,9.2461457233987e-68,5.60714303111548e-68,3.39340810445502e-68,2.04948172431397e-68,1.2352801102504e-68,7.43019535390112e-69,4.46013850018205e-69,2.67183559809991e-69,1.59729208195608e-69,9.52954384623668e-70,5.67378664839653e-70,3.3712188944928e-70,1.99900516397224e-70,1.18291582596312e-70,6.98564773521169e-71,4.11691960747633e-71,2.42131286184702e-71,1.42115747153245e-71,8.32427121569568e-72,4.86589710425068e-72,2.83852194616801e-72,1.65247228505394e-72,9.60038527601839e-73,5.56615951334187e-73,3.22058748343448e-73,1.85963186755412e-73,1.0715963995065e-73,6.16237126125891e-74,3.53652541085034e-74,2.02543345290277e-74,1.15763436355645e-74,6.6029352879018e-75,3.75850243836673e-75,2.1350338331945e-75,1.21033831798296e-75,6.84732382331625e-76,3.86586765067613e-76,2.17813651282011e-76,1.22471539399583e-76,6.87222224010077e-77,3.84831950960025e-77,2.15058656442955e-77,1.19937387502773e-77,6.67519664724043e-78,3.70753568666506e-78,2.05503103817339e-78,1.1367453218508e-78,6.27508603969831e-79,3.45690853939175e-79,1.90049952498227e-79,1.04269979916373e-79,5.70903151747438e-80,3.11944401581114e-80,1.70099694854747e-80,9.25638556294802e-81,5.02679160817221e-81,2.72428068098059e-81,1.4734124171863e-81,7.95258442392741e-82,4.28354882466425e-82,2.3025581584681e-82,1.23517625279015e-82,6.61239335537484e-83,3.5326436905071e-83,1.88344257924897e-83,1.00211211552511e-83,5.32097977477631e-84,2.81953998676426e-84,1.49099521939386e-84,7.86838452363605e-85,4.14387094236925e-85,2.17790121947633e-85,1.14230331420827e-85,5.97910236341862e-86,3.1232145951528e-86,1.62809199024392e-86,8.46968628183089e-87,4.39710638252352e-87,2.27812673034542e-87,1.17787726654615e-87,6.07761867995278e-88,3.12952266403651e-88,1.60817754920872e-88,8.24709746050957e-89,4.22065150900599e-89,2.15560457622595e-89,1.09867674501925e-89,5.58832943531712e-90,2.83664704185155e-90,1.4369439721266e-90,7.26416338399594e-91,3.66473527921143e-91,1.84506152795498e-91,9.27022637638745e-92,4.6481600270863e-92,2.32585723395519e-92,1.16143869115728e-92,5.787896894302e-93,2.87843580526684e-93,1.42857676768134e-93,7.07557758751275e-94,3.49728881971605e-94,1.72509254036348e-94,8.49189468704673e-95,4.17165242143294e-95,2.04513959609479e-95,1.00057381520363e-95,4.88524845258839e-96,2.38032104734287e-96,1.15743280825926e-96,5.61652148435936e-97,2.71988447570925e-97,1.31445252235539e-97,6.33943826932327e-98,3.05118185554966e-98,1.46553727170185e-98,7.02485102412239e-99,3.36038364655567e-99,1.60417638124132e-99,7.64234964373813E-100,3.63340021747411E-100,1.72389631737882E-100,8.16245191642174E-101,3.85692986051122E-101,1.81875616918075E-101,8.55891815319339E-102,4.01952696079158E-102,1.88383439204112E-102,8.81093959030958E-103,4.11257165768509E-103,1.91565152976528E-103,8.90494718052341E-104,4.13102683773291E-104,1.91247842484959E-104,8.83582204209793E-105,4.07388995291084E-105,1.87449192174824E-105,8.60735728064355E-106,3.94428325833249E-106,1.80375854953295E-106,8.23191319445475E-107,3.7491711648275E-107,1.70404827786521E-107,7.7293094769063E-108,3.49874031332875E-108,1.58050170451567E-108,7.12509258204736E-109,3.20551915678927E-109,1.43919155294033E-109,6.44838894910721E-110,2.88334285977789E-110,1.28663046295735E-110,5.72959458009916E-111,2.54628211164211E-111,1.12928029778092E-111,4.99815399894498E-112,2.20764993704451E-112,9.73113561171632E-113,4.2806490744061E-113,1.87918077020513E-113,8.23266366635573E-114,3.59935858720699E-114,1.57044537767119E-114,6.83807065183498E-115,2.97137462771467E-115,1.28852950716419E-115,5.57627918490189E-116,2.40828503492653E-116,1.03796941282155E-116,4.46451792364584E-117,1.91636393136911E-117,8.20908712254946E-118,3.50933847971851E-118,1.49716348969953E-118,6.37421682436588E-119,2.70830849873773E-119,1.14837357361509E-119,4.85939348093975E-120,2.05208254415212E-120,8.64811651556783E-121,3.63715869236998E-121,1.52657113324168E-121,6.39419661528833E-122,2.67281647375377E-122,1.11497870799419E-122,4.64171380996037E-123,1.92843306012398E-123,7.99549342259604E-124,3.30826689613664E-124,1.36606211943295E-124,5.62930880588847E-125,2.31501862347566E-125,9.5009880705648E-126,3.8913294621246E-126,1.59053143265858E-126,6.48786216539848E-127,2.64104717451408E-127,1.07291661329227E-127,4.34981845943781E-128,1.7599151444473E-128,7.10604322454397E-129,2.86338382528421E-129,</v>
      </c>
      <c r="J16" s="31" t="s">
        <v>160</v>
      </c>
    </row>
    <row r="17" spans="1:12" ht="30">
      <c r="A17" s="46" t="s">
        <v>141</v>
      </c>
      <c r="B17" s="47">
        <v>0.05</v>
      </c>
      <c r="C17" s="47">
        <v>0.2</v>
      </c>
      <c r="D17" s="74">
        <f t="shared" si="2"/>
        <v>0.1</v>
      </c>
      <c r="E17" s="74">
        <f t="shared" si="3"/>
        <v>0.23489495370875477</v>
      </c>
      <c r="H17" s="3" t="s">
        <v>163</v>
      </c>
      <c r="I17" s="3">
        <f>STupidExcelMean(I16)</f>
        <v>3.5698184364095955E+50</v>
      </c>
      <c r="J17" s="3">
        <f>STupidExcelVariance(I16,I17)</f>
        <v>2.7081961614669896E+111</v>
      </c>
      <c r="K17" s="3"/>
      <c r="L17" s="3"/>
    </row>
    <row r="18" spans="1:12" ht="30">
      <c r="A18" s="46" t="s">
        <v>131</v>
      </c>
      <c r="B18" s="47">
        <v>0.05</v>
      </c>
      <c r="C18" s="47">
        <v>0.2</v>
      </c>
      <c r="D18" s="74">
        <f t="shared" si="2"/>
        <v>0.1</v>
      </c>
      <c r="E18" s="74">
        <f t="shared" si="3"/>
        <v>0.23489495370875477</v>
      </c>
      <c r="H18" s="15" t="s">
        <v>175</v>
      </c>
      <c r="I18" s="14">
        <f>EXP(MuFromParams(ABS(I17),J17))</f>
        <v>2.4487936880645964E+45</v>
      </c>
      <c r="J18" s="14">
        <f>(SigmaFromParams(I17,J17) / LN(10))^2</f>
        <v>4.4851275609157026</v>
      </c>
      <c r="K18" s="3"/>
      <c r="L18" s="3"/>
    </row>
    <row r="19" spans="1:12">
      <c r="K19" s="3"/>
      <c r="L19" s="3"/>
    </row>
    <row r="20" spans="1:12">
      <c r="K20" s="3"/>
      <c r="L20" s="3"/>
    </row>
    <row r="21" spans="1:12">
      <c r="K21" s="3"/>
      <c r="L21" s="3"/>
    </row>
    <row r="22" spans="1:12" ht="20">
      <c r="A22" s="6" t="s">
        <v>59</v>
      </c>
    </row>
    <row r="23" spans="1:12">
      <c r="A23" s="33" t="s">
        <v>182</v>
      </c>
      <c r="B23" s="107">
        <f>ParetoPosterior(median,alpha,I18:J18)</f>
        <v>1.1522967453472645E+35</v>
      </c>
    </row>
    <row r="24" spans="1:12" ht="30">
      <c r="A24" s="33" t="s">
        <v>183</v>
      </c>
      <c r="B24" s="107">
        <f>LognormPosterior(mu_far_future,sigma_far_future,I18:J18)</f>
        <v>36595.579176049432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17"/>
  <sheetViews>
    <sheetView workbookViewId="0">
      <selection activeCell="I3" sqref="I3"/>
    </sheetView>
  </sheetViews>
  <sheetFormatPr baseColWidth="10" defaultRowHeight="15" x14ac:dyDescent="0"/>
  <cols>
    <col min="1" max="1" width="21.6640625" customWidth="1"/>
    <col min="2" max="2" width="12.1640625" bestFit="1" customWidth="1"/>
    <col min="9" max="9" width="12.83203125" bestFit="1" customWidth="1"/>
    <col min="10" max="10" width="12.1640625" bestFit="1" customWidth="1"/>
  </cols>
  <sheetData>
    <row r="1" spans="1:11" ht="20">
      <c r="A1" s="6" t="s">
        <v>127</v>
      </c>
      <c r="H1" s="1" t="s">
        <v>146</v>
      </c>
      <c r="I1" t="s">
        <v>168</v>
      </c>
      <c r="J1" t="s">
        <v>170</v>
      </c>
    </row>
    <row r="2" spans="1:11">
      <c r="B2" t="s">
        <v>0</v>
      </c>
      <c r="C2" t="s">
        <v>1</v>
      </c>
      <c r="D2" s="44" t="s">
        <v>168</v>
      </c>
      <c r="E2" s="44" t="s">
        <v>170</v>
      </c>
      <c r="H2" t="s">
        <v>220</v>
      </c>
      <c r="I2">
        <f>GiveDirectly!B25*SIGN(GiveDirectly!B24)</f>
        <v>-8.9387100185912191E+30</v>
      </c>
      <c r="J2">
        <f>GiveDirectly!C25</f>
        <v>7.526215459762386</v>
      </c>
    </row>
    <row r="3" spans="1:11">
      <c r="A3" t="s">
        <v>218</v>
      </c>
      <c r="H3" t="s">
        <v>219</v>
      </c>
      <c r="I3">
        <f>THL!B25</f>
        <v>5.5901405998186974E+37</v>
      </c>
      <c r="J3">
        <f>THL!C25</f>
        <v>5.1194176622996377</v>
      </c>
    </row>
    <row r="4" spans="1:11" ht="30">
      <c r="A4" s="42" t="s">
        <v>223</v>
      </c>
      <c r="B4" s="111">
        <v>3</v>
      </c>
      <c r="C4" s="111">
        <v>7</v>
      </c>
      <c r="D4" s="79">
        <f>GEOMEAN(B4,C4)</f>
        <v>4.5825756949558398</v>
      </c>
      <c r="E4" s="79">
        <f>LogVariance(B4,C4)</f>
        <v>0.14356690561187882</v>
      </c>
      <c r="F4" t="s">
        <v>224</v>
      </c>
      <c r="H4" t="s">
        <v>221</v>
      </c>
      <c r="I4">
        <f>'AI Safety'!H26+'AI Safety'!H26</f>
        <v>1.9311146198185462E+40</v>
      </c>
      <c r="J4">
        <f>'AI Safety'!I26+'AI Safety'!I26</f>
        <v>12.153536461452138</v>
      </c>
    </row>
    <row r="5" spans="1:11">
      <c r="A5" s="46" t="s">
        <v>215</v>
      </c>
      <c r="B5" s="101">
        <v>0.01</v>
      </c>
      <c r="C5" s="101">
        <v>0.1</v>
      </c>
      <c r="D5" s="79">
        <f t="shared" ref="D5:D6" si="0">GEOMEAN(B5,C5)</f>
        <v>3.1622776601683791E-2</v>
      </c>
      <c r="E5" s="79">
        <f t="shared" ref="E5:E6" si="1">LogVariance(B5,C5)</f>
        <v>0.39015207303618948</v>
      </c>
    </row>
    <row r="6" spans="1:11">
      <c r="A6" s="46" t="s">
        <v>216</v>
      </c>
      <c r="B6" s="101">
        <v>0.01</v>
      </c>
      <c r="C6" s="101">
        <v>0.1</v>
      </c>
      <c r="D6" s="79">
        <f t="shared" si="0"/>
        <v>3.1622776601683791E-2</v>
      </c>
      <c r="E6" s="79">
        <f t="shared" si="1"/>
        <v>0.39015207303618948</v>
      </c>
      <c r="H6" s="15" t="s">
        <v>225</v>
      </c>
      <c r="I6" s="14">
        <f>I3*D5*D$8*D$10</f>
        <v>1.767757673600693E+43</v>
      </c>
      <c r="J6" s="14">
        <f>J3+E5+E$8+E$10</f>
        <v>6.5247688351169604</v>
      </c>
    </row>
    <row r="7" spans="1:11">
      <c r="A7" s="85"/>
      <c r="B7" s="85"/>
      <c r="C7" s="85"/>
      <c r="D7" s="57"/>
      <c r="E7" s="57"/>
      <c r="H7" s="15" t="s">
        <v>226</v>
      </c>
      <c r="I7" s="14">
        <f>I4*D6*D$8*D$10</f>
        <v>6.1067206214767414E+45</v>
      </c>
      <c r="J7" s="14">
        <f>J4+E6+E$8+E$10</f>
        <v>13.55888763426946</v>
      </c>
    </row>
    <row r="8" spans="1:11">
      <c r="A8" s="46" t="s">
        <v>217</v>
      </c>
      <c r="B8" s="101">
        <v>5000</v>
      </c>
      <c r="C8" s="101">
        <v>20000</v>
      </c>
      <c r="D8" s="79">
        <f>GEOMEAN(B8,C8)</f>
        <v>10000</v>
      </c>
      <c r="E8" s="79">
        <f>LogVariance(B8,C8)</f>
        <v>0.23489495370875477</v>
      </c>
      <c r="H8" s="30" t="s">
        <v>164</v>
      </c>
      <c r="I8" s="31" t="str">
        <f>WriteArray(SumLognormDists(I6:J7))</f>
        <v>0,0,0,0,1.42331712071695E-182,1.94147688943782E-181,8.06472057774201E-181,3.7406521182609E-180,1.3541580483736E-179,4.63059146276055E-179,1.53551666964826E-178,5.30087480875591E-178,1.74047464403946E-177,5.62551160848002E-177,1.79972667810634E-176,5.71714781827589E-176,1.80677498861714E-175,5.68698075277773E-175,1.7841084624735E-174,5.58102813956222E-174,1.74132648377143E-173,5.4199350846055E-173,1.68307250012955E-172,5.21477953104585E-172,1.61217454209027E-171,4.9732794187259E-171,1.53086095961876E-170,4.70213818970557E-170,1.44120158766255E-169,4.40783819948622E-169,1.34523855859357E-168,4.09681609380011E-168,1.24499499411482E-167,3.7754004050663E-167,1.14243868302515E-166,3.44966858421367E-166,1.03943304158428E-165,3.12529044489957E-165,9.37689396409242E-165,2.80738776108359E-164,8.38726935996261E-164,2.50042354948645E-163,7.4384316844256E-163,2.20812670828434E-162,6.54095890736296E-162,1.93345323495446E-161,5.70296554585236E-161,1.67858234327159E-160,4.9301414835505E-160,1.44494376941708E-159,4.22588179313027E-159,1.23327116996151E-158,3.59148992231591E-158,1.04367568565403E-157,3.02643480349095E-157,8.75733421713253E-157,2.5286421555386E-156,7.28580717084368E-156,2.09480124658686E-155,6.01011564436383E-155,1.72067040848927E-154,4.91572308331594E-154,1.40136733682536E-153,3.98649693713006E-153,1.13163336662713E-152,3.20549365574238E-152,9.06064196001459E-152,2.55562947971887E-151,7.19302689229067E-151,2.02022786015699E-150,5.66192233181164E-150,1.58344265962943E-149,4.41891511438845E-149,1.23056303091467E-148,3.41953424680283E-148,9.48210899392775E-148,2.6237220352102E-147,7.24445299516916E-147,1.99603556006037E-146,5.48789572635528E-146,1.50563025006893E-145,4.12197847060283E-145,1.12607681186323E-144,3.06976566135924E-144,8.35059355745864E-144,2.26675397113495E-143,6.1399713375616E-143,1.65959922869292E-142,4.4762571678682E-142,1.20476339002086E-141,3.23566405330579E-141,8.67161561995315E-141,2.319057671722E-140,6.18867985770636E-140,1.64800841805236E-139,4.37921006041875E-139,1.16120013035228E-138,3.07251012636917E-138,8.112496483084E-138,2.13742396571516E-137,5.61955317190574E-137,1.47430675413007E-136,3.85965857132494E-136,1.00828867021726E-135,2.62842660621152E-135,6.83725525379864E-135,1.77477256624896E-134,4.59704333285141E-134,1.18819978196028E-133,3.06461076170517E-133,7.88744170446251E-133,2.02568537053059E-132,5.19137992019754E-132,1.32760423594036E-131,3.38789111624231E-131,8.62710849715935E-131,2.19217933777665E-130,5.55855500403664E-130,1.40644497431725E-129,3.55106479766091E-129,8.94683577092516E-129,2.24934128106011E-128,5.64308075245195E-128,1.4127073434887E-127,3.52909354154961E-127,8.79729528983343E-127,2.18831685601488E-126,5.43183139344709E-126,1.34541851056643E-125,3.32539747063668E-125,8.20171690649754E-125,2.0185571060161E-124,4.95738172754293E-124,1.21489499342848E-123,2.97098312992012E-123,7.24997811122071E-123,1.76542094442501E-122,4.28977908026098E-122,1.0401516347557E-121,2.51671168239014E-121,6.07638604786241E-121,1.46397054184297E-120,3.51960891223596E-120,8.44367626741326E-120,2.021360791094E-119,4.82871087572104E-119,1.15104863115174E-118,2.73798618292628E-118,6.49896120361118E-118,1.53933006994062E-117,3.63826796265182E-117,8.58089791526521E-117,2.0195095736098E-116,4.74279364230319E-116,1.11146982669888E-115,2.59917945231279E-115,6.06526801108939E-115,1.41233874885353E-114,3.28173043086675E-114,7.60925413671216E-114,1.76058271271892E-113,4.06486325827059E-113,9.36506110116429E-113,2.15303188406734E-112,4.93930088744651E-112,1.13072158856498E-111,2.58298015283889E-111,5.88791649688154E-111,1.33929857691345E-110,3.03996349885874E-110,6.8854849185754E-110,1.55623758107764E-109,3.50988167204008E-109,7.89922102438714E-109,1.77399043631841E-108,3.97551599443879E-108,8.89018836392458E-108,1.98382633863957E-107,4.41744933269249E-107,9.81555231907719E-107,2.17637211368161E-106,4.81533839538224E-106,1.06315289533602E-105,2.34228587232653E-105,5.14943208929513E-105,1.12967635646875E-104,2.47299943092621E-104,5.40218274230792E-104,1.17757833894926E-103,2.56144852612741E-103,5.5597690233565E-103,1.20421258921267E-102,2.60270459458187E-102,5.61334714792164E-102,1.20807594183184E-101,2.59442957880592E-101,5.55987285868132E-101,1.18894882178114E-100,2.53709537445231E-100,5.40238789480061E-100,1.14791591272747e-99,2.43393926385809e-99,5.14973344674719e-99,1.08726428478064e-98,2.29066119111305e-98,4.81572814994698e-98,1.01027229230759e-97,2.11490226143231e-97,4.41791693899715e-97,9.20916347527439e-97,1.91557082906198e-96,3.97604828229917e-96,8.23532024302128e-96,1.70209873162647e-95,3.51046318928995e-95,7.2246951030824e-95,1.48371352247551e-94,3.04057711640115e-94,6.217809799686e-94,1.26880327764903e-93,2.58360790803919e-93,5.2496987078056e-93,1.06443125741398e-92,2.1536559845319e-92,4.3482101346164e-92,8.7603246412476e-92,1.7611865837733e-91,3.53318219978282e-91,7.0729763006283e-91,1.41290799352862e-90,2.8164437243854e-90,5.60226691854325e-90,1.11199297908884e-89,2.2024995566241e-89,4.35316528130043e-89,8.58558778807527e-89,1.68970335253106e-88,3.31838262706137e-88,6.50306396583675e-88,1.27170145188155e-87,2.48157777917979e-87,4.83221452567555e-87,9.38944924258806e-87,1.82057944451249e-86,3.5225305048916e-86,6.8010428185636e-86,1.31030344018645e-85,2.51909117479139e-85,4.832718869573e-85,9.251556921258e-85,1.76731422723575e-84,3.36890205403133e-84,6.40823848648774e-84,1.2163669879078e-83,2.30391402947231e-83,4.35455326225958e-83,8.21290209058318e-83,1.54570066122658e-82,2.9028851693961e-82,5.44013960982243e-82,1.01733963851085e-81,1.89844328779195e-81,3.53512714718277e-81,6.56883277791941e-81,1.21799958166067e-80,2.25362600629382e-80,4.16094843890852e-80,7.66617295736973e-80,1.40942084781129e-79,2.58570262760873e-79,4.73360787290751e-79,8.64732547040981e-79,1.57633009077379e-78,2.86740058254412e-78,5.20481651426649e-78,9.42753903420748e-78,1.70399032375829e-77,3.0733483481691e-77,5.53136528778445e-77,9.9341059862373e-77,1.78033260282045e-76,3.18382667541902e-76,5.6816387229063e-76,1.01175124604795e-75,1.79783497929338e-75,3.18787921931643e-75,5.64065913428385e-75,9.95941496479166e-75,1.75474407313915e-74,3.08510347621684e-74,5.41254712684553e-74,9.47566419311618e-74,1.65536457649653e-73,2.8857166758435e-73,5.0198387548769e-73,8.71368592066831e-73,1.50935050507508e-72,2.60888169231218e-72,4.49981599431357e-72,7.74481815353142e-72,1.33015976272914e-71,2.27967276009559e-71,3.89867781679261e-71,6.6533187294949e-71,1.13301449846714e-70,1.92534593980255e-70,3.26481260925944e-70,5.52438498126156e-70,9.32794154290052e-70,1.57167921770022e-69,2.6425196916489e-69,4.4335212372695e-69,7.42259227589831e-69,1.24004852824027e-68,2.06727395574788e-68,3.43901186357011e-68,5.70881035522218e-68,9.45657502425894e-68,1.56314208443843e-67,2.57833520838637e-67,4.24381707399826e-67,6.9702811955924e-67,1.14240559555143e-66,1.86838657361068e-66,3.04922562445414e-66,4.96579519993677e-66,8.06983179281358e-66,1.30862920665844e-65,2.11760619041852e-65,3.41940280496604e-65,5.50974907237914e-65,8.85910568989661e-65,1.42142668879953e-64,2.27580780813513e-64,3.63599477591928e-64,5.79678887079074e-64,9.22206746996871e-64,1.46401559507477e-63,2.31920811235483e-63,3.66615115034369e-63,5.78305940317712e-63,9.10293828553963e-63,1.42982279800806e-62,2.24109118179545e-62,3.50520596922225e-62,5.47071740572712e-62,8.52023866435632e-62,1.3241463731039e-61,2.05351085995824e-61,3.17786031232729e-61,4.90737685627337e-61,7.56207260787977e-61,1.16281096537076e-60,1.78424404080601e-60,2.73197216464699e-60,4.17421853580731e-60,6.3643053700846e-60,9.68286263548029e-60,1.47005466470108e-59,2.22710231578278e-59,3.36685059542848e-59,5.07907387877118e-59,7.64578786456292e-59,1.14851588721725e-58,1.72158646092449e-58,2.57512170051791e-58,3.84364958698098e-58,5.72488735533947e-58,8.50877919786447e-58,1.26195751082594e-57,1.86766682043457e-57,2.75823514160788e-57,4.06481145524772e-57,5.97759904205475e-57,8.7718345918449e-57,1.28449195118121e-56,1.87693686185867e-56,2.73681401754391e-56,3.98215605904867e-56,5.78187445811434e-56,8.37715312978867e-56,1.21116047380565e-55,1.74736803376444e-55,2.51561728521361e-55,3.61395103947476e-55,5.18080796047636e-55,7.41122988128643e-55,1.05793907919979e-54,1.50698401639412e-54,2.14207300822539e-54,3.03834827509218e-54,4.30049580116633e-54,6.07403398065641e-54,8.56078615260175e-54,1.20400377654158e-53,1.68973985011868e-53,2.36640823550927e-53,3.30702396535153e-53,4.61171963648243e-53,6.41750715271194e-53,8.91143747196749e-53,1.23482989380245e-52,1.70743627003081e-52,2.35591652237017e-52,3.24379463340091e-52,4.45681792691306e-52,6.11046911188966e-52,8.35992468011543e-52,1.14132244640777e-51,1.55486456865062e-51,2.11375682499712e-51,2.86744937039311e-51,3.88163600104663e-51,5.24339049719247e-51,7.06786065887541e-51,9.5069710271964e-51,1.27607092034846e-50,1.70917266577394e-50,2.28441806772192e-50,3.04679890703855e-50,4.05499748708382e-50,5.38537584654902e-50,7.13707260609615e-50,9.43849863546849e-50,1.24555945830046e-49,1.64023016042947e-49,2.1553804782085e-49,2.82632407928082e-49,3.69827221139648e-49,4.82897250721537e-49,6.29201248306384e-49,8.18094445906611e-49,1.06144227598241e-48,1.37425849089643e-48,1.77549572606687e-48,2.28902234285347e-48,2.94482624599818e-48,3.78049446293781e-48,4.84302678448711e-48,6.19105290430125e-48,7.89753548467029e-48,1.00530566654332e-47,1.27698029876392e-47,1.6186383808728e-47,2.04736413419304e-47,2.58416367720619e-47,3.2548026803096e-47,4.09080788011344e-47,5.13066107239374e-47,6.4212184572259e-47,8.01939294268187e-47,9.99414224719868e-47,1.24288113916372e-46,1.54238844484086e-46,1.91002072148022e-46,2.36027497859292e-46,2.91049857890468e-46,3.5813973256355e-46,4.39762306867764e-46,5.38845106826096e-46,6.58855825195024e-46,8.03891439609613e-46,9.78779913691007e-46,1.1891958546031e-45,1.4417915763526e-45,1.74434508360637e-45,2.10592654233337e-45,2.5370848370874e-45,3.05005582569785e-45,3.65899388556155e-45,4.38022829625845e-45,5.23254591513293e-45,6.23750146980034e-45,7.41975660808816e-45,8.80744860548326e-45,1.0432589326597e-44,1.23314946646141e-44,1.45452442357512e-44,1.71201705797001e-44,2.01083765080826e-44,2.35682785485115e-44,2.75651736508433e-44,3.21718254552918e-44,3.74690654720148e-44,4.35464034937085e-44,5.05026404644265e-44,5.84464758699686e-44,6.74971005115609e-44,7.77847642922882e-44,8.94513074053381e-44,1.02650642088525e-43,1.17549170928123e-43,1.34326126587285e-43,1.53173816833802e-43,1.74297757884767e-43,1.97916678410006e-43,2.24262376081535e-43,2.53579408363015e-43,2.86124599341216e-43,3.22166344849591e-43,3.61983698958485e-43,4.05865226140018e-43,4.54107605086119e-43,5.07013972287135e-43,5.64891996080144e-43,6.28051674955769e-43,6.96802857465587e-43,7.71452485083135e-43,8.52301563812879e-43,9.39641875172728e-43,1.03375244234375e-42,1.13489577271899e-42,1.24331390371221e-42,1.35922428441523e-42,1.48281553141563e-42,1.61424310269127e-42,1.75362493886301e-42,1.90103712608289e-42,2.05650963933113e-42,2.22002222875777e-42,2.39150051480319e-42,2.57081236004208e-42,2.75776458689914e-42,2.9521001104815e-42,3.15349555467184e-42,3.36155941726192e-42,3.57583084623058e-42,3.79577908426429e-42,4.02080363228741e-42,4.25023517515022e-42,4.48333730378026e-42,4.71930905813416e-42,4.95728830431843e-42,5.19635594743475e-42,5.43554096922926e-42,5.67382626669422e-42,5.910155254608e-42,6.14343918185157e-42,6.37256509845686e-42,6.59640439798672e-42,6.81382184827545e-42,7.02368501302565e-42,7.22487395750365e-42,7.41629112382138e-42,7.59687125523716e-42,7.76559124471776e-42,7.92147978081242e-42,8.06362666379166e-42,8.19119166705064e-42,8.30341282297862e-42,8.39961401881366e-42,8.47921179635509e-42,8.54172125966728e-42,8.58676100690886e-42,8.61405701595496e-42,8.62344542830494e-42,8.61487419161334e-42,8.58840353775538e-42,8.54420529032866e-42,8.48256101258364e-42,8.40385902364249e-42,8.30859032719784e-42,8.19734351237247e-42,8.07079870078886e-42,7.92972062688358e-42,7.77495094988049e-42,7.60739990541934e-42,7.42803741247236e-42,7.23788375676293e-42,7.03799997536722e-42,6.82947806851097e-42,6.61343116379985e-42,6.39098375530856e-42,6.16326213521397e-42,5.9313851291347e-42,5.69645523821237e-42,5.45955028144236e-42,5.22171562106153e-42,4.98395704216684e-42,4.74723434542485e-42,4.51245569899149e-42,4.28047278284606e-42,4.05207674589869e-42,3.82799498368601e-42,3.60888873244057e-42,3.39535146399773e-42,3.18790805555573e-42,2.98701469887337e-42,2.79305950518504e-42,2.60636375501924e-42,2.42718373627653e-42,2.25571310938104e-42,2.09208573506273e-42,1.936378898328e-42,1.78861686138081e-42,1.6487746785942e-42,1.51678220801263e-42,1.39252825618559e-42,1.27586479627737e-42,1.16661120324604e-42,1.06455845430844e-42,9.6947324778277e-43,8.81101998598297e-43,7.99174674164077e-43,7.23408439779211e-43,6.53511088241926e-43,5.89184233676753e-43,5.30126254764475e-43,4.76034977455615e-43,4.26610091814865e-43,3.81555301833396e-43,3.40580210823015e-43,3.03401948346911e-43,2.69746547533642e-43,2.39350084061519e-43,2.11959590096193e-43,1.87333758029666e-43,1.65243450025187e-43,1.45472030146655e-43,1.27815536274073e-43,1.12082709112716e-43,9.80948954292541e-44,8.56858422304038e-44,7.47013979761889e-44,6.49991361273664e-44,5.64479154002007e-44,4.89273900750047e-44,4.23274826085676e-44,3.65478296629503e-44,3.14972115093285e-44,2.70929736176697e-44,2.32604481199709e-44,1.99323817523666e-44,1.70483758524441e-44,1.45543430225311e-44,1.24019841748622e-44,1.05482888552741e-44,8.95506100116597e-45,7.58847162773015e-45,6.41863935311896e-45,5.41923916612846e-45,4.56713940588358e-45,3.84206655779043e-45,3.22629716891173e-45,2.70437594371402e-45,2.26285889236116e-45,1.89008026280827e-45,1.57594188933236e-45,1.31172352840094e-45,1.08991272273715e-45,9.04052731186286e-46,7.4860708096874e-46,6.18839335936231e-46,5.1070672574971e-46,4.20766343088052e-46,3.46092686098785e-46,2.84205398726984e-46,2.33006140089355e-46,1.90723593829453e-46,1.5586570785134e-46,1.27178332730987e-46,1.03609502459114e-46,8.42786732220158e-47,6.84503041283165e-47,5.55112277661099e-47,4.49513180024558e-47,3.63470174163938e-47,2.93473371903822e-47,2.36619882579596e-47,1.90513441658529e-47,1.53179736529695e-47,1.22995146072734e-47,9.86269108765671e-48,7.89830175777464e-48,6.31703164360596e-48,5.04595986602895e-48,4.02565417734443e-48,3.20775899955803e-48,2.5529974624592e-48,2.02951989627432e-48,1.61154155599097e-48,1.27822123474221e-48,1.01274003752663e-48,8.0154609317093e-49,6.33736525059944e-49,5.00552707886222e-49,3.949688224396e-49,3.11357084018747e-49,2.45215851044115e-49,1.92949196487724e-49,1.51688513432965e-49,1.19148386101989e-49,9.35103397162906e-50,7.33292301863912e-50,5.74579852209611e-50,4.49871939008855e-50,3.51966892115439e-50,2.75168004645916e-50,2.14973893960928e-50,1.67831413581987e-50,1.30938751550632e-50,1.02088731968608e-50,7.9544273404243e-51,6.19395302094261e-51,4.82015166647046e-51,3.74880439313779e-51,2.91386311405602e-51,2.26357216986527e-51,1.7574074491537e-51,1.36366320593634e-51,1.05755143541413e-51,8.19706397718437e-52,6.35009031393336e-52,4.91663668449271e-52,3.80473536952464e-52,2.9427273108738e-52,2.27481219569803e-52,1.75756515620723e-52,1.35721218474216e-52,1.0475005667926e-52,8.08035566559651e-53,6.22982173626943e-53,4.80052461167221e-53,3.69716231288325e-53,2.84586098243903e-53,2.18938752949818e-53,1.68342471346148e-53,1.29367456785119e-53,9.93607241869948e-54,7.62712424850204e-54,5.85141896268069e-54,4.48656285088192e-54,3.43808302411381e-54,2.63309691261286e-54,2.01540828814769e-54,1.54171035376633e-54,1.17864752462063e-54,9.00542895509667e-55,6.87641500160811e-55,5.24753010311159e-55,4.0020360750409e-55,3.05027034287179e-55,2.32340580218582e-55,1.76863985205704e-55,1.34548730677449e-55,1.02292547706089e-55,7.77196753679095e-56,5.90118220417622e-56,4.47782045888165e-56,3.39556890548918e-56,2.57321054699961e-56,1.94873934677446e-56,1.47484595973732e-56,1.11545726594581e-56,8.43085321815502e-57,6.36797650333783e-57,4.8066420808639e-57,3.62569825879407e-57,2.73306690389114e-57,2.05881271922367e-57,1.5498536510032e-57,1.16592643726822e-57,8.76511481352677e-58,6.58490480456125e-58,4.94363386600197e-58,3.70892042111375e-58,2.78069079781014e-58,2.083346156884e-58,1.55981588786235e-58,1.16704622251712e-58,8.72580017105634e-59,6.51965564373379e-59,4.86794840481931e-59,3.63219317048839e-59,2.7082786109488e-59,2.0179897796863e-59,1.50260770718353e-59,1.11808060193157e-59,8.31383313626822e-60,6.17774586168129e-60,4.58732155564155e-60,3.40399268766136e-60,2.52416785962397e-60,1.87045785042476e-60,1.38508877162877e-60,1.02496066362588e-60,7.57943129484984e-61,5.60100304520227e-61,4.13613497129062e-61,3.05227209725675e-61,2.25087507612113e-61,1.65874296965354e-61,1.2215361260033e-61,8.98944784744208e-62,6.61087839137929e-62,4.85830459656357e-62,3.56787562077082e-62,2.61838825209673e-62,1.92024981600222e-62,1.40728076860684e-62,1.030630733679e-62,7.5426633833931e-63,5.51627173010546e-63,4.03149246340535e-63,2.94432210041816e-63,2.14883981240897e-63,1.56719130235322e-63,1.14219229055347e-63,8.31870398488386e-64,6.05440327174967e-64,4.40338078617659e-64,3.20037124758839e-64,2.32441512061424e-64,1.68704332268763e-64,1.22359582637717e-64,8.86847496265149e-65,6.4233132903175e-65,4.64909548929359e-65,3.3626140807334e-65,2.43043933674419e-65,1.75546324243092e-65,1.26706206812522e-65,9.13909586602585e-66,6.58730495116993e-66,4.74472992635805e-66,3.41518643180346e-66,2.45649863008728e-66,1.76570369643137e-66,1.26828926241594e-66,9.10370118440385e-67,6.53005533571867e-67,4.68074430111503e-67,3.35283484275472e-67,2.39998536146701e-67,1.71673875821383e-67,1.22715386357418e-67,8.76582938138285e-68,6.25728872405596e-68,4.46353107995094e-68,3.18177978731826e-68,2.26652681194475e-68,1.61343245986477e-68,1.14773045535687e-68,8.15883609329667e-69,5.79583078929207e-69,4.11436079877975e-69,2.91869178498662e-69,2.06906095173745e-69,1.46574195757776e-69,1.03762623011916e-69,7.34046462380667e-70,5.18925896985744e-70,3.66594821470925e-70,2.5880132372373e-70,1.82576907742621e-70,1.28713585269847e-70,9.06780379086599e-71,6.38379639805652e-71,4.49112483466393e-71,3.1574058743128e-71,2.21822136951463e-71,1.55732244644759e-71,1.09257532540192e-71,7.65990563555909e-72,5.36654329073152e-72,3.75720629249625e-72,2.62866129964179e-72,1.83782183884308e-72,1.28401876574203e-72,8.96475696384696e-73,6.2546765517824e-73,4.36084226252465e-73,3.03833101090623e-73,2.11543156842612e-73,1.47184494983262e-73,1.02335031938036e-73,7.11026493378242e-74,4.93681011507605e-74,3.42536021884519e-74,2.37500901473098e-74,1.64559690353998e-74,1.13941215190487e-74,7.88383304493034e-75,5.45121331236775e-75,3.76658802445206e-75,2.60077182740408e-75,1.79455002474314e-75,1.23739419043103e-75,8.52628337424128e-76,5.87098051005456e-76,4.03980777920697e-76,2.77785741479306e-76,1.90879102874902e-76,1.31070817050552e-76,8.99399857741473e-77,6.16735302758614e-77,4.22614106440077e-77,2.89393222698527e-77,1.98030420371938e-77,1.35417455441308e-77,9.25372469620195e-78,6.31913577823086e-78,4.31219096858981e-78,2.94061027622991e-78,2.00390044558293e-78,1.36462712451288e-78,9.28647819618985e-79,6.31520239373535e-79,4.29163412853543e-79,2.91445459181115e-79,1.97783966620109e-79,1.34129423575193e-79,9.08983961018992e-80,6.15584347554917e-80,4.1659888492203e-80,2.81739554912443e-80,1.90404290995198e-80,1.2858929793972e-80,8.67824896595582e-81,5.85273110546672e-81,3.94442973717325e-81,2.65649537018947e-81,1.78785827413552e-81,1.2024203021909e-81,8.08125290841521e-82,5.42750563385218e-82,3.64268027181667e-82,2.4430986896108e-82,1.63742023937439e-82,1.096676365205e-82,7.33999898855586e-83,4.90922234746054e-83,3.28116893623174e-83,2.19151105832106e-83,1.46270898082306e-83,9.75599065662884e-84,6.50255463505819e-84,4.33107625661161e-84,2.88274904664767e-84,1.91741901681402e-84,1.27446058851084e-84,8.46515619120476e-85,5.618789056721e-85,3.72691653229291e-85,2.47033465733636e-85,1.63629311313957e-85,1.0830926285721e-85,7.16422610696416e-86,4.73556883953606e-86,3.12805377701092e-86,2.06478793414842e-86,1.36199615940152e-86,8.9779151903978e-87,5.91390440980976e-87,3.89289140332377e-87,2.56076345531327e-87,1.68331667008109e-87,1.10576126282745e-87,7.25865416657196e-88,4.7615683765567e-88,3.12135475991323e-88,2.04472743521619e-88,1.33852628260741e-88,8.75623822326689e-89,5.72410274049559e-89,3.73935294093616e-89,2.44109500791503e-89,1.59247305706679e-89,1.03814661041345e-89,6.76307920571904e-90,4.40280492297435e-90,2.86426765997764e-90,1.86207402460936e-90,1.20970498582253e-90,7.85346270517947e-91,5.09497534902268e-91,3.30310344450294e-91,2.13993927205966e-91,1.38541507636035e-91,8.96308584988248e-92,5.79474579901922e-92,3.74378076628469e-92,2.41704988919586e-92,1.55940889344532e-92,1.00538774043095e-92,6.47748401647878e-93,4.17040565848232e-93,2.68317771756521e-93,1.72512179694239e-93,1.10838151109525e-93,7.11636097204508e-94,4.56589428631354e-94,2.92747315518202e-94,1.87568185368282e-94,1.20094914894766e-94,7.6840334534607e-95,4.91307124029279e-95,3.13917886982174e-95,2.00437164193331e-95,1.27890894004077e-95,8.15455344011174e-96,</v>
      </c>
      <c r="J8" s="31" t="s">
        <v>160</v>
      </c>
    </row>
    <row r="9" spans="1:11">
      <c r="A9" s="46" t="s">
        <v>222</v>
      </c>
      <c r="B9" s="101">
        <v>100</v>
      </c>
      <c r="C9" s="101">
        <v>10000</v>
      </c>
      <c r="D9" s="57"/>
      <c r="E9" s="57"/>
      <c r="H9" s="3" t="s">
        <v>167</v>
      </c>
      <c r="I9" s="3">
        <f>STupidExcelMean(I8)</f>
        <v>1.4165014464274684E+61</v>
      </c>
      <c r="J9" s="3">
        <f>STupidExcelVariance(I8,I9)</f>
        <v>4.908723511746373E+137</v>
      </c>
    </row>
    <row r="10" spans="1:11">
      <c r="A10" s="63" t="s">
        <v>138</v>
      </c>
      <c r="B10" s="90">
        <f>1000/C9</f>
        <v>0.1</v>
      </c>
      <c r="C10" s="90">
        <f>1000/B9</f>
        <v>10</v>
      </c>
      <c r="D10" s="80">
        <f>GEOMEAN(B9,C9)</f>
        <v>1000</v>
      </c>
      <c r="E10" s="80">
        <f>LogVariance(B9,C9)</f>
        <v>0.78030414607237897</v>
      </c>
    </row>
    <row r="11" spans="1:11">
      <c r="H11" s="15" t="s">
        <v>227</v>
      </c>
      <c r="I11" s="14">
        <f>ABS(I2*D4*D$8*D$10)</f>
        <v>4.0962315275454384E+38</v>
      </c>
      <c r="J11" s="14">
        <f>J2+E4+E$8+E$10</f>
        <v>8.6849814651553974</v>
      </c>
    </row>
    <row r="12" spans="1:11">
      <c r="H12" s="30" t="s">
        <v>165</v>
      </c>
      <c r="I12" s="31" t="str">
        <f>WriteArray(SumLognormDists(I11:J11))</f>
        <v>0,2.16005676831757e-66,3.29349587619449e-66,5.01625327622608e-66,7.63189105410388e-66,1.15988582589685e-65,1.76087567369819e-65,2.6703766363645e-65,4.04526259599647e-65,6.12140750204171e-65,9.25307830412591e-65,1.39717741484689e-64,2.10740132809184e-64,3.17521630076367e-64,4.77891993917495e-64,7.18483117303615e-64,1.07903058236348e-63,1.61875570994215e-63,2.4258237641588e-63,3.63134534259007e-63,5.43008005137911e-63,8.11101650383601e-63,1.21024894137608e-62,1.80386698962992e-62,2.68574443315327e-62,3.99443382490834e-62,5.93439090633405e-62,8.80698879233924e-62,1.30559689995886e-61,1.93339748858153e-61,2.85998373591555e-61,4.22606672730205e-61,6.2379158250427e-61,9.19756876377132e-61,1.35468072081693e-60,1.99310982629352e-60,2.92924625769391e-60,4.30042037257295e-60,6.30661487480742e-60,9.23872594210372e-60,1.35194253257161e-59,1.97621754929105e-59,2.88563665025127e-59,4.20899986989009e-59,6.13262702810247e-59,8.92574687417398e-59,1.29769596311457e-58,1.88465436260544e-58,2.73414062582349e-58,3.96223614292723e-58,5.73575029103683e-58,8.29412334809544e-58,1.19806703078825e-57,1.72870989480282e-57,2.49168703182414e-57,3.58752750411299e-57,5.15973455967555e-57,7.41292923453996e-57,1.06385569260562e-56,1.52512683508743e-56,2.18403491514429e-56,3.12423407344139e-56,4.46434681443954e-56,6.37239458527284e-56,9.08610534287404e-56,1.29414592372242e-55,1.84127689366124e-55,2.61688917690838e-55,3.7151977257428e-55,5.26876595072848e-55,7.46390760496149e-55,1.05621900085753e-54,1.49304215747248e-54,2.10824237680508e-54,2.97371524992361e-54,4.18994763001445e-54,5.8972315847e-54,8.29121437691098e-54,1.16444365619023e-53,1.63361302497302e-53,2.28933985533693e-53,3.20480584451515e-53,4.48150156348656e-53,6.26002047887281e-53,8.73490787611486e-53,1.21750646891848e-52,1.69517523536005e-52,2.35769864733751e-52,3.27561131653314e-52,4.54597250522169e-52,6.30219185310919e-52,8.72743872961349e-52,1.20729213260903e-51,1.66827755129572e-51,2.30279148329985e-51,3.17520154085325e-51,4.37339145528399e-51,6.01721848358606e-51,8.26996331515092e-51,1.135381356429e-50,1.55707778099054e-50,2.13309024580193e-50,2.91902977806411e-50,3.99023243403916e-50,5.44864153587888e-50,7.43205050891959e-50,1.01265017384288e-49,1.37828999640377e-49,1.87392471841315e-49,2.54503669853413e-49,3.45275952215299e-49,4.67917176321092e-49,6.33434942455005e-49,8.56575048543969e-49,1.15706883313484e-48,1.56128916192549e-48,2.1044463947698e-48,2.83349704357303e-48,3.81099196688751e-48,5.12016169444183e-48,6.87162881904122e-48,9.21225777976472e-48,1.2336809112828e-47,1.65032691002402e-47,2.20529905295688e-47,2.94371237796275e-47,3.92512625214677e-47,5.22808042973166e-47,6.95602706914182e-47,9.24507928309951e-47,1.22741207024785e-46,1.62779800929266e-46,2.15645802762822e-46,2.85372342125309e-46,3.77235992862928e-46,4.98132341781481e-46,6.57062572635399e-46,8.65763142985415e-46,1.13951967997385e-45,1.49821775749841e-45,1.96769790734629e-45,2.58150089919967e-45,3.38311305415807e-45,4.42885145923355e-45,5.79156708964685e-45,7.56539210617734e-45,9.87181858487859e-45,1.28674729161912e-44,1.67540471485242e-44,2.17909707186846e-44,2.83115596197902e-44,3.67435729515728e-44,4.76353487162116e-44,6.16889937356581e-44,7.98024816157564e-44,1.03122986238634e-43,1.33114369128304e-43,1.71642475312516e-43,2.21082808595642e-43,2.8445629599705e-43,3.65600264708483e-43,4.69383507286587e-43,6.01976480270194e-43,7.71190363765935e-43,9.86902021677999e-43,1.26158598665632e-42,1.61097962392451e-42,2.05491381470305e-42,2.61834909876788e-42,3.33266653677517e-42,4.23727397146401e-42,5.38160233598645e-42,6.82758372428739e-42,8.65272376151707e-42,1.09539061844605e-41,1.38520984149252e-41,1.74981644246595e-41,2.20800367160258e-41,2.78315544131659e-41,3.50433412256625e-41,4.40761777373993e-41,5.53774198567092e-41,6.95011326307925e-41,8.71327498821818e-41,1.0911923989322e-40,1.36505961116232e-40,1.70581636082376e-40,2.12933163936305e-40,2.65512341300341e-40,3.30716978004245e-40,4.11489390961073e-40,5.11435850598702e-40,6.34971256691822e-40,7.87494153931312e-40,9.75598185133598e-40,1.20732724840309e-39,1.49248300490626e-39,1.84299501223186e-39,2.27336567629901e-39,2.80120447059365e-39,3.44786852069536e-39,4.2392297584975e-39,5.20659248762841e-39,6.38778945349494e-39,7.82848947438442e-39,9.58375547414717e-39,1.17198984874707e-38,1.43166810282295e-38,1.74699322816921e-38,2.12946480858336e-38,2.59286608128864e-38,3.15369782833608e-38,3.83169070041884e-38,4.65040936158689e-38,5.63796397916501e-38,6.82784703247996e-38,8.25991621807159e-38,9.98154743379053e-38,1.20489854804954e-37,1.45289242843319e-37,1.75003531769768e-37,2.10567111442375e-37,2.53083970401175e-37,3.03856906460862e-37,3.6442147223458e-37,4.36585369579654e-37,5.22474105353438e-37,6.24583831290818e-37,7.45842414489382e-37,8.89679923227633e-37,1.06010986704632e-36,1.26182270167961e-36,1.50029330010432e-36,1.78190430233027e-36,2.11408749031261e-36,2.50548559231531e-36,2.9661372050431e-36,3.50768783377614e-36,4.14363039249915e-36,4.88957887953753e-36,5.76357935139423e-36,6.78646276018166e-36,7.98224470002938e-36,9.37857762679399e-36,1.10072616747806e-35,1.29048207953247e-35,1.51131515859832e-35,1.76802528664956e-35,2.06610447888628e-35,2.41182870438381e-35,2.8123606544025e-35,3.27586458234847e-35,3.81163442932322e-35,4.43023654284489e-35,5.14366839330367e-35,5.96553479255686e-35,6.91124322120153e-35,7.99821997477998e-35,9.24614894365358e-35,1.0677234945542e-34,1.23164936326494e-34,1.41920700955895e-34,1.63355883825376e-34,1.8782534242492e-34,2.15726734844769e-34,2.47505084178316e-34,2.83657749002971e-34,3.24739825679512e-34,3.71370008515548e-34,4.2423693394788e-34,4.84106034781289e-34,5.51826930146485e-34,6.28341376174107e-34,7.14691801389979e-34,8.12030449484131e-34,9.21629150354626e-34,1.0448897381408e-33,1.18335513230175e-33,1.33872109462531e-33,1.51284867133968e-33,1.70777732520181e-33,1.92573875752802e-33,2.1691714145783e-33,2.440735666482e-33,2.74332963997502e-33,3.0801056785924e-33,3.45448739561036e-33,3.87018727595751e-33,4.33122477351634e-33,4.84194483972679e-33,5.40703680820398e-33,6.03155354822501e-33,6.7209307874683e-33,7.4810064913547e-33,8.31804017282163e-33,9.23873199242554e-33,1.02502414944254e-32,1.13602058100526e-32,1.25767571446471e-32,1.39085393508807e-32,1.53647233760411e-32,1.69550213574979e-32,1.86896991271867e-32,2.0579586873427e-32,2.26360876968532e-32,2.48711837868908e-32,2.72974399362826e-32,2.99280041039283e-32,3.27766047309045e-32,3.58575445113632e-32,3.91856903191272e-32,4.27764589926384e-32,4.6645798685548e-32,5.08101654979836e-32,5.52864951145611e-32,6.00921691897214e-32,6.52449762391366e-32,7.07630668178905e-32,7.66649027920259e-32,8.29692005398809e-32,8.96948679535695e-32,9.68609351488442e-32,1.04486478833529e-31,1.12590540330467e-31,1.2119203730052e-31,1.30309669264202e-31,1.39961817076976e-31,1.50166436572531e-31,1.60940946650418e-31,1.72302112148501e-31,1.84265921906615e-31,1.96847462494778e-31,2.10060788146951e-31,2.23918787508835e-31,2.38433047874975e-31,2.53613717655757e-31,2.69469367877921e-31,2.86006853582338e-31,3.03231176038973e-31,3.21145346750657e-31,3.3975025426346e-31,3.59044534841491e-31,3.7902444809685e-31,3.99683758690776e-31,4.21013625238783e-31,4.43002497560204e-31,4.65636023410597e-31,4.88896965823199e-31,5.12765132162769e-31,5.37217315961232e-31,5.62227252559675e-31,5.87765589524638e-31,6.13799872739217e-31,6.40294548990451e-31,6.6721098578481e-31,6.94507509023168e-31,7.22139459056398e-31,7.50059265522973e-31,7.7821654124171e-31,8.06558195296892e-31,8.35028565310426e-31,8.63569568747816e-31,8.92120872952393e-31,9.20620083447358e-31,9.49002949888593e-31,9.77203588894891e-31,1.00515472282754e-30,1.03278793343943e-30,1.06003392916742e-30,1.08682282470089e-30,1.11308443132761e-30,1.1387485564344e-30,1.16374531042874e-30,1.18800541924762e-30,1.21146054053366e-30,1.23404358148784e-30,1.25568901635244e-30,1.27633320143911e-30,1.29591468559595e-30,1.31437451400405e-30,1.33165652320878e-30,1.34770762532532e-30,1.36247807940874e-30,1.37592174805053e-30,1.38799633735007e-30,1.39866361851581e-30,1.40788962947148e-30,1.41564485497989e-30,1.42190438394752e-30,1.42664804273657e-30,1.42986050348629e-30,1.43153136662932e-30,1.43165521698167e-30,1.4302316529827e-30,1.4272652888644e-30,1.42276572973318e-30,1.41674751975307e-30,1.4092300638209e-30,1.4002375233243e-30,1.38979868676585e-30,1.37794681622306e-30,1.3647194707901e-30,1.35015830831268e-30,1.33430886688048e-30,1.3172203276806e-30,1.29894526093945e-30,1.27953935678815e-30,1.25906114297752e-30,1.23757169144152e-30,1.21513431576315e-30,1.19181426163308e-30,1.16767839240954e-30,1.14279487188728e-30,1.11723284636535e-30,1.09106212806714e-30,1.06435288191385e-30,1.03717531758317e-30,1.00959938870194e-30,9.81694500923404e-31,9.5352923053015e-31,9.25171055082056e-31,8.96686097498007e-31,8.68138884820664e-31,8.39592122767864e-31,8.11106487023272e-31,7.8274043206455e-31,7.54550018171161e-31,7.26588757097204e-31,6.98907476739495e-31,6.71554204978242e-31,6.44574072718976e-31,6.18009236020905e-31,5.91898817059813e-31,5.66278863544049e-31,5.41182326081108e-31,5.16639052880297e-31,4.92675801075139e-31,4.69316263857558e-31,4.46581112535363e-31,4.24488052554982e-31,4.03051892473282e-31,3.82284624815456e-31,3.62195517720304e-31,3.42791216249675e-31,3.24075852224878e-31,3.06051161449285e-31,2.88716607182473e-31,2.72069508746632e-31,2.56105174169877e-31,2.40817035802926e-31,2.2619678788447e-31,2.12234525075868e-31,1.98918881036633e-31,1.86237166167678e-31,1.74175503708886e-31,1.62718963440136e-31,1.51851692299964e-31,1.41557041302598e-31,1.31817688201574e-31,1.22615755415757e-31,1.13932922800756e-31,1.05750534914791e-31,9.8049702492562e-32,9.08113979029838e-32,8.40165444265118e-32,7.76460992446209e-32,7.16811300876732e-32,6.6102885537521e-32,6.08928590276086e-32,5.60328466258771e-32,5.15049987243375e-32,4.72918657937212e-32,4.33764383921192e-32,3.97421816430252e-32,3.6373064420782e-32,3.3253583500197e-32,3.03687829421716e-32,2.7704268998777e-32,2.52462208294494e-32,2.29813973251229e-32,2.08971403393487e-32,1.89813746250314e-32,1.72226047725558e-32,1.56099094400483e-32,1.41329331595418e-32,1.27818759941399e-32,1.1547481311147e-32,1.04210219247627e-32,9.39428484956485e-33,8.4595548928312e-33,7.60959729997021e-33,6.8376396531413e-33,6.13735320870432e-33,5.50283384461662e-33,4.92858277442607e-33,4.40948717022403e-33,3.94080082293341e-33,3.51812495471349e-33,3.13738928514778e-33,2.79483344031577e-33,2.48698878189026e-33,2.21066072209493e-33,1.96291157973508e-33,1.74104402260164e-33,1.54258513235706e-33,1.36527111954694e-33,1.20703270863918e-33,1.0659812059627e-33,9.40395257084626e-34,8.28708294505174e-34,7.29496671538953e-34,6.41468473859164e-34,5.63452996375269e-34,4.94390869860662e-34,4.33324819008468e-34,3.79391031333896e-34,3.31811114523291e-34,2.89884618415798e-34,2.52982096756668e-34,2.20538683145566e-34,1.9204815518412e-34,1.67057460670758e-34,1.45161679765723e-34,1.25999397324959e-34,1.09248460049849e-34,9.46220936942123e-35,8.18653562860647e-35,7.07519041369269e-35,6.10810483054026e-35,5.2675080135794e-35,4.53768454899429e-35,3.90475483164217e-35,3.35647652424834e-35,2.88206539193057e-35,2.47203388900714e-35,2.11804597747782e-35,1.81278675681882e-35,1.54984558220399e-35,1.32361144247128e-35,1.12917945971327e-35,9.62267458991307e-36,8.19141639145344e-36,6.96550453856166e-36,5.91665885939846e-36,5.02031367293772e-36,4.25515661996472e-36,3.60272090854929e-36,3.04702532291925e-36,2.57425686997535e-36,2.17249142380395e-36,1.83144817709198e-36,1.5422741210912e-36,1.29735515455796e-36,1.09015076880617e-36,9.15049572573604e-37,7.67243208730584e-37,6.42616476850231e-37,5.37651713165069e-37,4.49345694257209e-37,3.75137524705274e-37,3.12846143504459e-37,2.60616240971035e-37,2.16871518540085e-37,1.80274349779824e-37,1.49691013404727e-37,1.24161769312511e-37,1.02875137850484e-37,8.51458217037153e-38,7.03957799784952e-38,5.81380261381272e-38,4.79627762678612e-38,3.95256224639708e-38,3.25374486534879e-38,2.67558434876742e-38,2.19777976865658e-38,1.8033501861569e-38,1.47810858749022e-38,1.21021626284807e-38,9.89805818726445e-39,8.08662667019014e-39,6.59956268657182e-39,5.38013652534319e-39,4.381288057039e-39,3.56402459527307e-39,2.89607597267648e-39,2.35076698093849e-39,1.90607325126078e-39,1.54383173815928e-39,1.24908132843651e-39,1.00951282667138e-39,8.15010754729093e-40,6.57272120612196e-40,5.29489626797501e-40,4.26088756828994e-40,3.42509850642498e-40,2.75027696560131e-40,2.20602368004566e-40,1.76756047580685e-40,1.41471437679315e-40,1.13108078756168e-40,9.03335041720763e-41,7.2066671295344e-41,5.74315373041179e-41,4.57190074606896e-41,3.63557843674601e-41,2.88788980549124e-41,2.29149065129586e-41,1.81629310912677e-41,1.43808366801373e-41,1.13739874928381e-41,8.98610961531585e-42,7.09187465214811e-42,5.59088762576384e-42,4.40281917184711e-42,3.46346902525996e-42,2.72158648981952e-42,2.13630543895702e-42,1.67507757796451e-42,1.31200919238244e-42,1.02652422733053e-42,8.02290967923984e-43,6.26361384826743e-43,4.88481838609424e-43,3.80541688594263e-43,2.96132745915939e-43,2.3019771042166e-43,1.78749954206228e-43,1.38650439968111e-43,1.07430337032075e-43,8.31501424848246e-44,6.42879282953222e-44,4.96507984542803e-44,3.83048191823382e-44,2.95196340704086e-44,2.27247385843957e-44,1.74750004551863e-44,1.34235031435096e-44,1.03001823969707e-44,7.89504000850724e-45,6.04496970050661e-45,4.62343008798342e-45,3.53235899677709e-45,2.69585015062902e-45,2.05521392997805e-45,1.56512379756205e-45,1.19061329638714e-45,9.04738632314435e-46,6.86761459967351e-46,5.20737757740746e-46,3.94423330172623e-46,2.98425888677584e-46,2.25548929099437e-46,1.70284616807456e-46,1.28422297930726e-46,9.67466265147665e-47,7.28050655937173e-47,5.47290283621093e-47,4.10964446545386e-47,3.08262814209641e-47,2.30976820826316e-47,1.72880509303153e-47,1.29256990669374e-47,9.65366938492969e-48,7.20213363128544e-48,5.36735477527118e-48,3.99567175135763e-48,2.97132171833779e-48,2.2071910417577e-48,1.63779878895106e-48,1.21398002214751e-48,8.98861765436849e-49,6.6482087610401e-49,4.91186885282848e-49,3.62509381460504e-49,2.67252706020513e-49,1.96813708937123e-49,1.44783460778191e-49,1.06392970484879e-49,7.80975282750321e-50,5.72653628485538e-50,4.1944702466221e-50,3.06896964356419e-50,2.24304734546718e-50,1.63762576276398e-50,1.19432151686813e-50,8.70078074207941e-51,6.33177634552586e-51,4.60281246823043e-51,3.34234571450944e-51,2.42443101131626e-51,1.75670430419735e-51,1.27150441830936e-51,9.19321580947711e-52,6.63968399343132e-52,4.79024513586933e-52,3.45221980928402e-52,2.4852467545935e-52,1.78719097957468e-52,1.28381600489827e-52,9.2122344201508e-53,6.60324709984912e-53,4.72803291390765e-53,3.38169010292375e-53,2.41611440760324e-53,1.72437436187007e-53,1.2293512650673e-53,8.75489216521937e-54,6.22810582537382e-54,4.42579749635081e-54,3.14164759404163e-54,2.22768494483173e-54,1.57790352135051e-54,1.1164454144975e-54,7.89087050955789e-55,5.57112255467277e-55,3.9290800879248e-55,2.76802127437823e-55,1.94795239622121e-55,1.36935997135198e-55,9.61584138750405e-56,6.74508344696427e-56,4.72626138081784e-56,3.3080991579091e-56,2.31296826825163e-56,1.61544138281283e-56,1.12704980113733e-56,7.854623683939e-57,5.46811994245724e-57,3.80260359964232e-57,2.64152333238208e-57,1.83298208638441e-57,1.27055176413027e-57,8.79745147008311e-58,6.08487651804746e-58,4.20413866959151e-58,2.90156743723237e-58,2.00040844105458e-58,1.37763783481787e-58,9.47723867374556e-59,6.51266812508844e-59,4.4706065593106e-59,3.06552122566831e-59,2.09977411401112e-59,1.43671690116387e-59,9.8197447112169e-60,6.70439459638683e-60,4.57245363876224e-60,3.11508159960782e-60,2.11992217439799e-60,1.44112210937463e-60,9.78615337262577e-61,6.63825036663228e-61,4.49806380595519e-61,3.04458405544037e-61,2.05854658213593e-61,1.39034891600875e-61,9.38031191139078e-62,6.32180550115878e-62,4.25593860015733e-62,2.86206801972204e-62,1.92262648877769e-62,1.2901501741061e-62,8.64800600605635e-63,5.79058009545273e-63,3.87309845627754e-63,2.58776821645651e-63,1.72712028568652e-63,1.15146348227407e-63,7.6684594718818e-64,5.10148316076287e-64,3.39012070585709e-64,2.25042342148499e-64,1.49225722417398e-64,9.88447288272597e-65,6.54024039872586e-65,4.32279144106886e-65,2.85407398702356e-65,1.88233338525399e-65,1.24010436479392e-65,8.16113008801257e-66,5.36503720927487e-66,3.52310469815713e-66,2.3110467671894e-66,1.51433615748788e-66,9.91211251799642e-67,6.48097771272965e-67,4.23297015056065e-67,2.76172389381556e-67,1.79988883149939e-67,1.17176758618904e-67,7.62022248951375e-68,4.95021653600629e-68,3.21226314360256e-68,2.08222859536953e-68,1.34826751660185e-68,8.72075548190426e-69,5.63459260973123e-69,3.63664833235781e-69,2.34460919996586e-69,1.50997583313329e-69,9.71404031845677e-70,6.24252341771572e-70,4.00729054846573e-70,2.56963747516503e-70,1.64597508078564e-70,1.05318587998236e-70,6.73158250804033e-71,4.29793350384995e-71,2.74114862760446e-71,1.74636834015125e-71,1.1113976861182e-71,7.06534706912835e-72,4.48670882540426e-72,2.84611631521454e-72,1.8034652441792e-72,1.14154564823412e-72,7.21787176174786e-73,4.55885116853322e-73,2.87628581774684e-73,1.81275469653093e-73,1.14123849256116e-73,7.17702001335583e-74,4.5086059151202e-74,2.82924638101431e-74,1.77349363836424e-74,1.11050079620416e-74,6.94605930431374e-75,4.33998744294499e-75,2.7087494263025e-75,1.68880522943208e-75,1.0517697387135e-75,6.54322946278994e-76,4.06624931924494e-76,2.52421434105816e-76,1.5652684421773e-76,9.69575878386012e-77,5.9993631151523e-77,3.70816344532036e-77,2.28951219654887e-77,1.41207390649578e-77,8.69965975490344e-78,5.35398907644299e-78,3.29141820787971e-78,2.02124531921201e-78,1.23989628976047e-78,7.59769870335324e-79,4.6506017107372e-79,2.84358752562289e-79,1.73681846266625e-79,1.05967485031434e-79,6.45834439967308e-80,3.93187902793594e-80,2.39116457273133e-80,1.45261044006834e-80,8.81493731070826e-81,5.34342438861936e-81,3.23556763068023e-81,1.95709392566435e-81,1.18250566335626e-81,7.13715556758334e-82,4.30306067856473e-82,2.59155333207634e-82,1.55909724648375e-82,9.36950466443981e-83,5.62458432648167e-83,3.37283119724195e-83,2.02036182355625e-83,1.20891029000661e-83,7.22585709402073e-84,4.31434663723699e-84,2.57318538721248e-84,1.53305413392059e-84,9.12376893701148e-85,5.4240219570322e-85,3.22106117548853e-85,1.91076325406987e-85,1.13225738431312e-85,6.70214494686401e-86,3.96289753893009e-86,2.34068108066771e-86,1.38102652249986e-86,8.13939578710107e-87,4.79195452719634e-87,2.81814660888293e-87,1.65555971699741e-87,9.71530617655495e-88,5.69506265654102e-88,3.33480845939523e-88,1.95062441542191e-88,1.13974262476895e-88,6.65227659832144e-89,3.8785034324212e-89,2.25885542276398e-89,1.3141443225703e-89,7.63709274451669e-90,4.43346658569443e-90,2.57092370042581e-90,1.48924211568777e-90,8.61731174573883e-91,4.98090975232647e-91,2.8759141306703e-91,1.65872171344e-91,9.55655840398837e-92,5.49996442187831e-92,3.16190352947552e-92,1.81579879659511e-92,1.04163893749144e-92,5.96893790852825e-93,3.41670347892757e-93,1.95365508426294e-93,1.11588352926961e-93,6.36678546454779e-94,3.62870729868346e-94,2.06592253890392e-94,1.17491514665422e-94,6.67466302411352e-95,3.78776093355593e-95,2.14716860989654e-95,1.21585031543259e-95,6.87740258434719e-96,3.88596743271028e-96,2.19333131376559e-96,1.23662976298141e-96,6.9647498710362e-97,3.91833647104711e-97,2.20205571196305e-97,1.23619007281987e-97,6.93222378851408e-98,3.88320457199855e-98,2.17289299421925e-98,1.21455387073775e-98,6.78149738327641e-99,3.7823767733403e-99,2.10733873892599e-99,1.17282789540893e-99,6.52025523602219E-100,3.62097294168554E-100,2.00870581026988E-100,1.11310918251412E-100,6.16154420314891E-101,3.40699695066766E-101,1.88184692887786E-101,1.03831043275641E-101,5.72269386834783E-102,3.15067918721454E-102,1.73275925557003E-102,9.51924805462733E-103,5.22393102299195E-103,2.86366754277012E-103,1.5681158114528E-103,8.57756551624881E-104,4.68684215377728E-104,2.55815576014483E-104,1.39477454978426E-104,7.59646284131227E-105,4.13284573331058E-105,2.24603926836199E-105,1.21931486530154E-105,6.6121814903504E-106,3.58182229898531E-106,1.93817808900014E-106,1.04764391941911E-106,5.65671224785988E-107,3.0510185695987E-107,1.6438265405204E-107,8.84702997335629E-108,4.75630156556508E-108,2.55429844994475E-108,1.37026407103921E-108,7.34289426348622E-109,3.93061630946819E-109,2.10176619534019E-109,1.12263486754527E-109,5.98994761340621E-110,3.19255137714059E-110,1.69974252216056E-110,9.03979864086303E-111,4.80247096345498E-111,2.5485966741412E-111,1.35103888756136E-111,7.1542639784308E-112,3.78436001490201E-112,1.99963303492167E-112,1.05545211384915E-112,5.56489710364787E-113,2.93093452283757E-113,1.54200388403265E-113,8.10392087895621E-114,4.25437031982152E-114,2.23103180500558E-114,1.16870958595475E-114,6.1155824301148E-115,3.1966818534533E-115,1.66913467932416E-115,8.70590088827394E-116,4.5359309026224E-116,2.36074737293828E-116,1.22733458775914E-116,6.37392288649518E-117,3.30659503991903E-117,1.7135058374781E-117,</v>
      </c>
      <c r="J12" s="31" t="s">
        <v>160</v>
      </c>
    </row>
    <row r="13" spans="1:11">
      <c r="H13" s="3" t="s">
        <v>166</v>
      </c>
      <c r="I13" s="3">
        <f>STupidExcelMean(I12)</f>
        <v>4.0948649651993742E+48</v>
      </c>
      <c r="J13" s="3">
        <f>STupidExcelVariance(I12,I13)</f>
        <v>6.1501379882927912E+116</v>
      </c>
    </row>
    <row r="15" spans="1:11" ht="20">
      <c r="A15" s="6" t="s">
        <v>59</v>
      </c>
      <c r="H15" s="3" t="s">
        <v>163</v>
      </c>
      <c r="I15" s="3">
        <f>I9-I13</f>
        <v>1.4165014464270588E+61</v>
      </c>
      <c r="J15">
        <f>DifferenceVariance(I9:J9,I13:J13)</f>
        <v>4.908723511746373E+137</v>
      </c>
    </row>
    <row r="16" spans="1:11">
      <c r="A16" s="108" t="s">
        <v>182</v>
      </c>
      <c r="B16" s="109">
        <f>ParetoPosterior(median,alpha,I16:J16)</f>
        <v>1.1706180954332085E+38</v>
      </c>
      <c r="H16" s="112" t="s">
        <v>175</v>
      </c>
      <c r="I16" s="14">
        <f>EXP(MuFromParams(I15,J15))</f>
        <v>2.8638466507864548E+53</v>
      </c>
      <c r="J16" s="14">
        <f>(SigmaFromParams(I15,J15) / LN(10))^2</f>
        <v>6.6831556292672927</v>
      </c>
      <c r="K16" t="s">
        <v>229</v>
      </c>
    </row>
    <row r="17" spans="1:3" ht="30">
      <c r="A17" s="108" t="s">
        <v>183</v>
      </c>
      <c r="B17" s="110">
        <f>LognormPosterior(mu_global_poverty,sigma_global_poverty,I16:J16)</f>
        <v>160.33498052534262</v>
      </c>
      <c r="C17" t="s">
        <v>228</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AI Safety</vt:lpstr>
      <vt:lpstr>AI Targeted Values Spreading</vt:lpstr>
      <vt:lpstr>EA Outreach (INCOMPLETE)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2016-04-12T17:04:41Z</dcterms:modified>
</cp:coreProperties>
</file>