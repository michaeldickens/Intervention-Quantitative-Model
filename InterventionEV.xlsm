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firstSheet="3" activeTab="7"/>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K3" i="6" l="1"/>
  <c r="K5" i="6"/>
  <c r="K6" i="6"/>
  <c r="K7" i="6"/>
  <c r="E4" i="6"/>
  <c r="K8" i="6"/>
  <c r="K14" i="6"/>
  <c r="K15" i="6"/>
  <c r="K16" i="6"/>
  <c r="K20" i="6"/>
  <c r="K4" i="7"/>
  <c r="G5" i="5"/>
  <c r="F4" i="2"/>
  <c r="I7" i="12"/>
  <c r="I7" i="1"/>
  <c r="G4" i="2"/>
  <c r="N24" i="1"/>
  <c r="N25" i="1"/>
  <c r="B24" i="1"/>
  <c r="B27" i="1"/>
  <c r="K5" i="7"/>
  <c r="L15" i="3"/>
  <c r="L16" i="3"/>
  <c r="M16" i="3"/>
  <c r="L6" i="3"/>
  <c r="L7" i="3"/>
  <c r="M7" i="3"/>
  <c r="M18" i="3"/>
  <c r="L18" i="3"/>
  <c r="L19" i="3"/>
  <c r="G13" i="5"/>
  <c r="G14" i="5"/>
  <c r="G15" i="5"/>
  <c r="L27" i="5"/>
  <c r="L28" i="5"/>
  <c r="B24" i="5"/>
  <c r="B27" i="5"/>
  <c r="B31" i="5"/>
  <c r="C3" i="7"/>
  <c r="G11" i="7"/>
  <c r="C25" i="5"/>
  <c r="B26" i="5"/>
  <c r="G4" i="5"/>
  <c r="B30" i="5"/>
  <c r="B3" i="7"/>
  <c r="F11" i="7"/>
  <c r="K3" i="7"/>
  <c r="G17" i="7"/>
  <c r="G16" i="7"/>
  <c r="E16" i="7"/>
  <c r="I4" i="7"/>
  <c r="H4" i="7"/>
  <c r="H3" i="5"/>
  <c r="D4" i="2"/>
  <c r="I24" i="6"/>
  <c r="M19" i="3"/>
  <c r="I25" i="6"/>
  <c r="I26" i="6"/>
  <c r="J7" i="6"/>
  <c r="J8" i="6"/>
  <c r="J20" i="6"/>
  <c r="H24" i="6"/>
  <c r="H25" i="6"/>
  <c r="H26" i="6"/>
  <c r="B12" i="6"/>
  <c r="C5" i="7"/>
  <c r="G14" i="7"/>
  <c r="E22" i="7"/>
  <c r="D22" i="7"/>
  <c r="G22" i="7"/>
  <c r="E23" i="7"/>
  <c r="D23" i="7"/>
  <c r="G23" i="7"/>
  <c r="G18" i="7"/>
  <c r="G19" i="7"/>
  <c r="G20" i="7"/>
  <c r="G21" i="7"/>
  <c r="B31" i="1"/>
  <c r="C4" i="7"/>
  <c r="G12" i="7"/>
  <c r="K6" i="7"/>
  <c r="G13" i="7"/>
  <c r="I9" i="1"/>
  <c r="E5" i="1"/>
  <c r="J3" i="1"/>
  <c r="H23" i="2"/>
  <c r="J23" i="2"/>
  <c r="L23" i="2"/>
  <c r="J4" i="1"/>
  <c r="J5" i="1"/>
  <c r="I4" i="1"/>
  <c r="I5" i="1"/>
  <c r="I6" i="1"/>
  <c r="J5" i="7"/>
  <c r="J3" i="7"/>
  <c r="E4" i="12"/>
  <c r="E5" i="12"/>
  <c r="E6" i="12"/>
  <c r="E7" i="12"/>
  <c r="E8" i="12"/>
  <c r="E9" i="12"/>
  <c r="J3" i="12"/>
  <c r="H24" i="2"/>
  <c r="J24" i="2"/>
  <c r="L24" i="2"/>
  <c r="J4" i="12"/>
  <c r="J5" i="12"/>
  <c r="I6" i="12"/>
  <c r="J6" i="7"/>
  <c r="I16" i="10"/>
  <c r="D10" i="1"/>
  <c r="G3" i="3"/>
  <c r="G4" i="3"/>
  <c r="G14" i="3"/>
  <c r="G15" i="3"/>
  <c r="G16" i="3"/>
  <c r="L9" i="3"/>
  <c r="I13" i="1"/>
  <c r="D11" i="1"/>
  <c r="E11" i="1"/>
  <c r="D12" i="1"/>
  <c r="I15" i="1"/>
  <c r="I16" i="1"/>
  <c r="N19" i="1"/>
  <c r="P36" i="2"/>
  <c r="H3" i="3"/>
  <c r="P37" i="2"/>
  <c r="H4" i="3"/>
  <c r="P39" i="2"/>
  <c r="H14" i="3"/>
  <c r="H15" i="3"/>
  <c r="H16" i="3"/>
  <c r="M9" i="3"/>
  <c r="J13" i="1"/>
  <c r="E12" i="1"/>
  <c r="J15" i="1"/>
  <c r="J16" i="1"/>
  <c r="O19" i="1"/>
  <c r="I25" i="1"/>
  <c r="I22" i="1"/>
  <c r="G20" i="3"/>
  <c r="G21" i="3"/>
  <c r="G22" i="3"/>
  <c r="L10" i="3"/>
  <c r="I23" i="1"/>
  <c r="I26" i="1"/>
  <c r="N20" i="1"/>
  <c r="J25" i="1"/>
  <c r="E14" i="1"/>
  <c r="J22" i="1"/>
  <c r="P40" i="2"/>
  <c r="H20" i="3"/>
  <c r="H25" i="2"/>
  <c r="J25" i="2"/>
  <c r="L25" i="2"/>
  <c r="H21" i="3"/>
  <c r="H22" i="3"/>
  <c r="M10" i="3"/>
  <c r="J23" i="1"/>
  <c r="J26" i="1"/>
  <c r="O20" i="1"/>
  <c r="I34" i="1"/>
  <c r="I31" i="1"/>
  <c r="G26" i="3"/>
  <c r="G27" i="3"/>
  <c r="G28" i="3"/>
  <c r="L11" i="3"/>
  <c r="I32" i="1"/>
  <c r="I35" i="1"/>
  <c r="N21" i="1"/>
  <c r="J34" i="1"/>
  <c r="E15" i="1"/>
  <c r="J31" i="1"/>
  <c r="P41" i="2"/>
  <c r="H26" i="3"/>
  <c r="H26" i="2"/>
  <c r="J26" i="2"/>
  <c r="L26" i="2"/>
  <c r="H27" i="3"/>
  <c r="H28" i="3"/>
  <c r="M11" i="3"/>
  <c r="J32" i="1"/>
  <c r="J35" i="1"/>
  <c r="O21" i="1"/>
  <c r="N6" i="1"/>
  <c r="N3" i="1"/>
  <c r="G32" i="3"/>
  <c r="G33" i="3"/>
  <c r="G34" i="3"/>
  <c r="G35" i="3"/>
  <c r="L12" i="3"/>
  <c r="N4" i="1"/>
  <c r="N7" i="1"/>
  <c r="N22" i="1"/>
  <c r="O6" i="1"/>
  <c r="E16" i="1"/>
  <c r="O3" i="1"/>
  <c r="H32" i="3"/>
  <c r="P42" i="2"/>
  <c r="H33" i="3"/>
  <c r="H34" i="3"/>
  <c r="H35" i="3"/>
  <c r="M12" i="3"/>
  <c r="O4" i="1"/>
  <c r="O7" i="1"/>
  <c r="O22" i="1"/>
  <c r="N14" i="1"/>
  <c r="N11" i="1"/>
  <c r="B3" i="3"/>
  <c r="B4" i="3"/>
  <c r="B5" i="3"/>
  <c r="B6" i="3"/>
  <c r="B10" i="3"/>
  <c r="B11" i="3"/>
  <c r="L4" i="3"/>
  <c r="N12" i="1"/>
  <c r="N15" i="1"/>
  <c r="N23" i="1"/>
  <c r="O14" i="1"/>
  <c r="E17" i="1"/>
  <c r="O11" i="1"/>
  <c r="L36" i="2"/>
  <c r="C3" i="3"/>
  <c r="L37" i="2"/>
  <c r="C4" i="3"/>
  <c r="L38" i="2"/>
  <c r="C5" i="3"/>
  <c r="L39" i="2"/>
  <c r="C6" i="3"/>
  <c r="H27" i="2"/>
  <c r="J27" i="2"/>
  <c r="L27" i="2"/>
  <c r="C10" i="3"/>
  <c r="C11" i="3"/>
  <c r="M4" i="3"/>
  <c r="O12" i="1"/>
  <c r="O15" i="1"/>
  <c r="O23" i="1"/>
  <c r="L13" i="5"/>
  <c r="L14" i="5"/>
  <c r="L25" i="5"/>
  <c r="M13" i="5"/>
  <c r="M10" i="5"/>
  <c r="M11" i="5"/>
  <c r="M12" i="5"/>
  <c r="M14" i="5"/>
  <c r="M25" i="5"/>
  <c r="O25" i="1"/>
  <c r="C24" i="1"/>
  <c r="C25" i="1"/>
  <c r="B25" i="1"/>
  <c r="O11" i="3"/>
  <c r="O9" i="3"/>
  <c r="O10" i="3"/>
  <c r="O12" i="3"/>
  <c r="O4" i="3"/>
  <c r="I14" i="1"/>
  <c r="D8" i="1"/>
  <c r="E4" i="1"/>
  <c r="E6" i="1"/>
  <c r="E8" i="1"/>
  <c r="E7" i="1"/>
  <c r="E9" i="1"/>
  <c r="I24" i="1"/>
  <c r="I33" i="1"/>
  <c r="N5" i="1"/>
  <c r="N13" i="1"/>
  <c r="I3" i="7"/>
  <c r="H3" i="7"/>
  <c r="I6" i="7"/>
  <c r="I4" i="12"/>
  <c r="I5" i="12"/>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D16" i="7"/>
  <c r="E17" i="7"/>
  <c r="D17" i="7"/>
  <c r="E18" i="7"/>
  <c r="D18" i="7"/>
  <c r="E19" i="7"/>
  <c r="D19" i="7"/>
  <c r="E20" i="7"/>
  <c r="D20" i="7"/>
  <c r="E21" i="7"/>
  <c r="D21" i="7"/>
  <c r="I3" i="10"/>
  <c r="I10" i="10"/>
  <c r="J3" i="10"/>
  <c r="E13" i="10"/>
  <c r="J10" i="10"/>
  <c r="I4" i="10"/>
  <c r="I11" i="10"/>
  <c r="J4" i="10"/>
  <c r="E14" i="10"/>
  <c r="J11" i="10"/>
  <c r="I5" i="10"/>
  <c r="I12" i="10"/>
  <c r="J5" i="10"/>
  <c r="E15" i="10"/>
  <c r="J12" i="10"/>
  <c r="I6" i="10"/>
  <c r="I13" i="10"/>
  <c r="J6" i="10"/>
  <c r="E16" i="10"/>
  <c r="J13" i="10"/>
  <c r="I7" i="10"/>
  <c r="I14" i="10"/>
  <c r="J7" i="10"/>
  <c r="E17" i="10"/>
  <c r="J14" i="10"/>
  <c r="I8" i="10"/>
  <c r="I15" i="10"/>
  <c r="J8" i="10"/>
  <c r="E18" i="10"/>
  <c r="J15" i="10"/>
  <c r="I17" i="10"/>
  <c r="J17" i="10"/>
  <c r="J18" i="10"/>
  <c r="I18" i="10"/>
  <c r="B24" i="10"/>
  <c r="C6" i="7"/>
  <c r="G15" i="7"/>
  <c r="B23" i="10"/>
  <c r="B6" i="7"/>
  <c r="F15" i="7"/>
  <c r="B11" i="6"/>
  <c r="B5" i="7"/>
  <c r="F14" i="7"/>
  <c r="F13" i="7"/>
  <c r="B26" i="1"/>
  <c r="B30" i="1"/>
  <c r="B4" i="7"/>
  <c r="F12" i="7"/>
  <c r="F16" i="7"/>
  <c r="F17" i="7"/>
  <c r="F18" i="7"/>
  <c r="F19" i="7"/>
  <c r="F20" i="7"/>
  <c r="F21" i="7"/>
  <c r="F22" i="7"/>
  <c r="F23"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D5" i="12"/>
  <c r="D6" i="12"/>
  <c r="D8" i="12"/>
  <c r="D9" i="12"/>
  <c r="I3" i="12"/>
  <c r="G24" i="2"/>
  <c r="I24" i="2"/>
  <c r="K24" i="2"/>
  <c r="I5" i="7"/>
  <c r="H5" i="7"/>
  <c r="B7" i="5"/>
  <c r="C7" i="5"/>
  <c r="L12" i="5"/>
  <c r="L20" i="5"/>
  <c r="L21" i="5"/>
  <c r="L26" i="5"/>
  <c r="M20" i="5"/>
  <c r="M19" i="5"/>
  <c r="M21" i="5"/>
  <c r="M26" i="5"/>
  <c r="M28" i="5"/>
  <c r="G12" i="5"/>
  <c r="H12" i="5"/>
  <c r="H13" i="5"/>
  <c r="H10" i="5"/>
  <c r="H11" i="5"/>
  <c r="H14" i="5"/>
  <c r="H15" i="5"/>
  <c r="C24" i="5"/>
  <c r="B25" i="5"/>
  <c r="C22" i="2"/>
  <c r="C4" i="12"/>
  <c r="B4" i="12"/>
  <c r="D4" i="12"/>
  <c r="D7" i="12"/>
  <c r="L10" i="5"/>
  <c r="B6" i="5"/>
  <c r="C6" i="5"/>
  <c r="L11" i="5"/>
  <c r="B9" i="5"/>
  <c r="C9" i="5"/>
  <c r="L19" i="5"/>
  <c r="D7" i="1"/>
  <c r="D9" i="1"/>
  <c r="D4" i="1"/>
  <c r="B5" i="1"/>
  <c r="C5" i="1"/>
  <c r="D5" i="1"/>
  <c r="D6" i="1"/>
  <c r="I32" i="6"/>
  <c r="I33" i="6"/>
  <c r="H32" i="6"/>
  <c r="H33" i="6"/>
  <c r="K33" i="6"/>
  <c r="J33" i="6"/>
  <c r="H15" i="6"/>
  <c r="D14" i="1"/>
  <c r="D15" i="1"/>
  <c r="D16" i="1"/>
  <c r="D17" i="1"/>
  <c r="I3" i="1"/>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6" i="7"/>
  <c r="D3" i="7"/>
  <c r="K13" i="6"/>
  <c r="D5" i="7"/>
</calcChain>
</file>

<file path=xl/sharedStrings.xml><?xml version="1.0" encoding="utf-8"?>
<sst xmlns="http://schemas.openxmlformats.org/spreadsheetml/2006/main" count="518" uniqueCount="291">
  <si>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</si>
  <si>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</si>
  <si>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</si>
  <si>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</si>
  <si>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</si>
  <si>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</si>
  <si>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</si>
  <si>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</si>
  <si>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</si>
  <si>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</si>
  <si>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</si>
  <si>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</si>
  <si>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</si>
  <si>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</si>
  <si>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</si>
  <si>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</si>
  <si>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</si>
  <si>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</si>
  <si>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</si>
  <si>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</si>
  <si>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</si>
  <si>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</si>
  <si>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</si>
  <si>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</si>
  <si>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</si>
  <si>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</si>
  <si>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</si>
  <si>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</si>
  <si>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</si>
  <si>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</si>
  <si>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</si>
  <si>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</si>
  <si>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</si>
  <si>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</si>
  <si>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</si>
  <si>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</si>
  <si>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</si>
  <si>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</si>
  <si>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</si>
  <si>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</si>
  <si>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</si>
  <si>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</si>
  <si>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</si>
  <si>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</si>
  <si>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</si>
  <si>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</si>
  <si>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</si>
  <si>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</si>
  <si>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</si>
  <si>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</si>
  <si>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</si>
  <si>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</si>
  <si>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</si>
  <si>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</si>
  <si>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</si>
  <si>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</si>
  <si>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</si>
  <si>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</si>
  <si>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</si>
  <si>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</si>
  <si>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</si>
  <si>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</si>
  <si>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</si>
  <si>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</si>
  <si>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</si>
  <si>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</si>
  <si>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</si>
  <si>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</si>
  <si>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</si>
  <si>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</si>
  <si>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</si>
  <si>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</si>
  <si>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</si>
  <si>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</si>
  <si>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</si>
  <si>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</si>
  <si>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</si>
  <si>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</si>
  <si>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</si>
  <si>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</si>
  <si>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</si>
  <si>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</si>
  <si>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</si>
  <si>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</si>
  <si>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</si>
  <si>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</si>
  <si>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</si>
  <si>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</si>
  <si>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</si>
  <si>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</si>
  <si>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</si>
  <si>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</si>
  <si>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</si>
  <si>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</si>
  <si>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</si>
  <si>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</si>
  <si>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</si>
  <si>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</si>
  <si>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</si>
  <si>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</si>
  <si>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</si>
  <si>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</si>
  <si>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</si>
  <si>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</si>
  <si>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</si>
  <si>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</si>
  <si>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</si>
  <si>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</si>
  <si>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</si>
  <si>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</si>
  <si>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</si>
  <si>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</si>
  <si>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</si>
  <si>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</si>
  <si>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</si>
  <si>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</si>
  <si>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</si>
  <si>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</si>
  <si>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</si>
  <si>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</si>
  <si>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</si>
  <si>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</si>
  <si>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</si>
  <si>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Estimated by doubling the 80% CI given by http://www.animalcharityevaluators.org/research/interventions/impact-calculator/</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</si>
  <si>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</si>
  <si>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</si>
  <si>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</si>
  <si>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</si>
  <si>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</si>
  <si>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</si>
  <si>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</si>
  <si>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</si>
  <si>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</si>
  <si>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</si>
  <si>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</si>
  <si>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</si>
  <si>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</si>
  <si>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</si>
  <si>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</si>
  <si>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</si>
  <si>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</si>
  <si>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</si>
  <si>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</si>
  <si>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</si>
  <si>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</si>
  <si>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</si>
  <si>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</si>
  <si>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</si>
  <si>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</si>
  <si>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</si>
  <si>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</si>
  <si>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</si>
  <si>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animal-years caused per human year</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</si>
  <si>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</si>
  <si>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</si>
  <si>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</si>
  <si>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</si>
  <si>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</si>
  <si>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</si>
  <si>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</si>
  <si>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</si>
  <si>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</si>
  <si>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</si>
  <si>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</si>
  <si>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</si>
  <si>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</si>
  <si>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</si>
  <si>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</si>
  <si>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</si>
  <si>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</si>
  <si>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</si>
  <si>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</si>
  <si>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</si>
  <si>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</si>
  <si>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</si>
  <si>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</si>
  <si>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</si>
  <si>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</si>
  <si>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</si>
  <si>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</si>
  <si>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</si>
  <si>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</si>
  <si>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</si>
  <si>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</si>
  <si>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</si>
  <si>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</si>
  <si>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</si>
  <si>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</si>
  <si>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</si>
  <si>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</si>
  <si>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</si>
  <si>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</si>
  <si>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</si>
  <si>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</si>
  <si>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</si>
  <si>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</si>
  <si>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</si>
  <si>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</si>
  <si>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</si>
  <si>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</si>
  <si>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</si>
  <si>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</si>
  <si>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</si>
  <si>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This figure is pretty robust but only includes land animals, you could increase the upper bound to account for fish/shellfish</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</si>
  <si>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</si>
  <si>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</si>
  <si>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</si>
  <si>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</si>
  <si>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</si>
  <si>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</si>
  <si>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</si>
  <si>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</si>
  <si>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</si>
  <si>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</si>
  <si>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</si>
  <si>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</si>
  <si>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</si>
  <si>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</si>
  <si>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</si>
  <si>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</si>
  <si>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</si>
  <si>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</si>
  <si>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</si>
  <si>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</si>
  <si>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</si>
  <si>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</si>
  <si>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</si>
  <si>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</si>
  <si>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</si>
  <si>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</si>
  <si>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</si>
  <si>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animals directly spared per $1000</t>
  </si>
  <si>
    <t>animals indirectly spared per $1000</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</si>
  <si>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</si>
  <si>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</si>
  <si>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</si>
  <si>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</si>
  <si>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</si>
  <si>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</si>
  <si>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</si>
  <si>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</si>
  <si>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</si>
  <si>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</si>
  <si>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</si>
  <si>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</si>
  <si>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</si>
  <si>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</si>
  <si>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</si>
  <si>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suffering sumulations prevented</t>
  </si>
  <si>
    <t>computer emulations of human-like brains</t>
  </si>
  <si>
    <t>maximally happy beings</t>
  </si>
  <si>
    <t>computers that don't do anything useful</t>
  </si>
  <si>
    <t>maximally unhappy beings</t>
  </si>
  <si>
    <t>WAS = wild animal suffering</t>
  </si>
  <si>
    <t>Model 3 (INCOMPLETE)</t>
  </si>
  <si>
    <t>For detailed explanations of everything, see TODO: link</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</si>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</sst>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098">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46">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cellXfs>
  <cellStyles count="209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H11" sqref="H11"/>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143</v>
      </c>
      <c r="G1" s="6" t="s">
        <v>145</v>
      </c>
    </row>
    <row r="2" spans="1:12" ht="30" customHeight="1">
      <c r="A2" s="44"/>
      <c r="B2" s="58" t="s">
        <v>114</v>
      </c>
      <c r="C2" s="58" t="s">
        <v>115</v>
      </c>
      <c r="D2" s="58" t="s">
        <v>144</v>
      </c>
      <c r="G2" s="44"/>
      <c r="H2" s="44" t="s">
        <v>122</v>
      </c>
      <c r="I2" s="44" t="s">
        <v>30</v>
      </c>
      <c r="J2" s="58" t="s">
        <v>114</v>
      </c>
      <c r="K2" s="58" t="s">
        <v>115</v>
      </c>
    </row>
    <row r="3" spans="1:12" ht="30" customHeight="1">
      <c r="A3" s="96" t="s">
        <v>116</v>
      </c>
      <c r="B3" s="97" t="e">
        <f>GiveDirectly!B30</f>
        <v>#VALUE!</v>
      </c>
      <c r="C3" s="97" t="e">
        <f>GiveDirectly!B31</f>
        <v>#VALUE!</v>
      </c>
      <c r="D3" s="97" t="e">
        <f>C3/$C$3</f>
        <v>#VALUE!</v>
      </c>
      <c r="G3" s="139" t="s">
        <v>116</v>
      </c>
      <c r="H3" s="80">
        <f>GiveDirectly!G3</f>
        <v>1</v>
      </c>
      <c r="I3" s="79">
        <f>GiveDirectly!H3</f>
        <v>4.0000000000000008E-2</v>
      </c>
      <c r="J3" s="97">
        <f>GiveDirectly!G4</f>
        <v>0.85832741114212496</v>
      </c>
      <c r="K3" s="97" t="str">
        <f>GiveDirectly!G5</f>
        <v>disabled</v>
      </c>
    </row>
    <row r="4" spans="1:12" ht="30" customHeight="1">
      <c r="A4" s="96" t="s">
        <v>176</v>
      </c>
      <c r="B4" s="97" t="e">
        <f>THL!B30</f>
        <v>#VALUE!</v>
      </c>
      <c r="C4" s="97" t="e">
        <f>THL!B31</f>
        <v>#VALUE!</v>
      </c>
      <c r="D4" s="97" t="e">
        <f>C4/C3</f>
        <v>#VALUE!</v>
      </c>
      <c r="G4" s="80" t="s">
        <v>121</v>
      </c>
      <c r="H4" s="138">
        <f>D16</f>
        <v>11.224972160321824</v>
      </c>
      <c r="I4" s="138">
        <f>E16</f>
        <v>7.4864535847752101E-2</v>
      </c>
      <c r="J4" s="97">
        <f>ParetoPosterior(median,alpha,H4:I4)</f>
        <v>7.6651731591110082</v>
      </c>
      <c r="K4" s="97" t="str">
        <f>LognormPosterior(mu_global_poverty,sigma_global_poverty,H4:I4)</f>
        <v>disabled</v>
      </c>
    </row>
    <row r="5" spans="1:12" ht="30" customHeight="1">
      <c r="A5" s="96" t="s">
        <v>117</v>
      </c>
      <c r="B5" s="97" t="e">
        <f>'AI Safety'!B11</f>
        <v>#VALUE!</v>
      </c>
      <c r="C5" s="97" t="str">
        <f>'AI Safety'!B12</f>
        <v>disabled</v>
      </c>
      <c r="D5" s="97" t="e">
        <f>C5/$C$3</f>
        <v>#VALUE!</v>
      </c>
      <c r="G5" s="80" t="s">
        <v>176</v>
      </c>
      <c r="H5" s="138">
        <f>THL!I5</f>
        <v>5429.9171264394072</v>
      </c>
      <c r="I5" s="79">
        <f>THL!J5</f>
        <v>0.49504262895320128</v>
      </c>
      <c r="J5" s="97">
        <f>THL!I6</f>
        <v>396.49368154968971</v>
      </c>
      <c r="K5" s="97" t="str">
        <f>THL!I7</f>
        <v>disabled</v>
      </c>
    </row>
    <row r="6" spans="1:12" ht="30" customHeight="1">
      <c r="A6" s="96" t="s">
        <v>142</v>
      </c>
      <c r="B6" s="97" t="e">
        <f>'AI Targeted Values Spreading'!B23</f>
        <v>#VALUE!</v>
      </c>
      <c r="C6" s="97" t="str">
        <f>'AI Targeted Values Spreading'!B24</f>
        <v>disabled</v>
      </c>
      <c r="D6" s="97" t="e">
        <f>C6/$C$3</f>
        <v>#VALUE!</v>
      </c>
      <c r="G6" s="80" t="s">
        <v>261</v>
      </c>
      <c r="H6" s="138">
        <f>'Cage-Free'!I5</f>
        <v>88741.196746494257</v>
      </c>
      <c r="I6" s="138">
        <f>'Cage-Free'!J5</f>
        <v>0.31528753718843733</v>
      </c>
      <c r="J6" s="97">
        <f>'Cage-Free'!I6</f>
        <v>16679.269175199799</v>
      </c>
      <c r="K6" s="97" t="str">
        <f>'Cage-Free'!I7</f>
        <v>disabled</v>
      </c>
    </row>
    <row r="7" spans="1:12" ht="30" customHeight="1"/>
    <row r="8" spans="1:12" ht="30" customHeight="1">
      <c r="G8" s="3"/>
      <c r="H8" s="9"/>
      <c r="I8" s="3"/>
      <c r="K8" s="3"/>
      <c r="L8" s="3"/>
    </row>
    <row r="9" spans="1:12" ht="30" customHeight="1">
      <c r="A9" s="6" t="s">
        <v>259</v>
      </c>
    </row>
    <row r="10" spans="1:12" ht="30" customHeight="1">
      <c r="A10" s="44" t="s">
        <v>256</v>
      </c>
      <c r="B10" s="44" t="s">
        <v>0</v>
      </c>
      <c r="C10" s="44" t="s">
        <v>1</v>
      </c>
      <c r="D10" s="44" t="s">
        <v>161</v>
      </c>
      <c r="E10" s="44" t="s">
        <v>163</v>
      </c>
      <c r="F10" s="58" t="s">
        <v>114</v>
      </c>
      <c r="G10" s="58" t="s">
        <v>115</v>
      </c>
      <c r="H10" s="44" t="s">
        <v>27</v>
      </c>
    </row>
    <row r="11" spans="1:12" ht="30" customHeight="1">
      <c r="A11" s="44" t="s">
        <v>116</v>
      </c>
      <c r="B11" s="44"/>
      <c r="C11" s="44"/>
      <c r="D11" s="44"/>
      <c r="E11" s="44"/>
      <c r="F11" s="140" t="e">
        <f>B3</f>
        <v>#VALUE!</v>
      </c>
      <c r="G11" s="140" t="e">
        <f>C3</f>
        <v>#VALUE!</v>
      </c>
    </row>
    <row r="12" spans="1:12" ht="30" customHeight="1">
      <c r="A12" s="44" t="s">
        <v>176</v>
      </c>
      <c r="B12" s="44"/>
      <c r="C12" s="44"/>
      <c r="D12" s="44"/>
      <c r="E12" s="44"/>
      <c r="F12" s="140" t="e">
        <f>B4</f>
        <v>#VALUE!</v>
      </c>
      <c r="G12" s="140" t="e">
        <f>C4</f>
        <v>#VALUE!</v>
      </c>
    </row>
    <row r="13" spans="1:12" ht="30" customHeight="1">
      <c r="A13" s="44" t="s">
        <v>260</v>
      </c>
      <c r="B13" s="44"/>
      <c r="C13" s="44"/>
      <c r="D13" s="44"/>
      <c r="E13" s="44"/>
      <c r="F13" s="140">
        <f>J6</f>
        <v>16679.269175199799</v>
      </c>
      <c r="G13" s="140" t="str">
        <f>K6</f>
        <v>disabled</v>
      </c>
    </row>
    <row r="14" spans="1:12" ht="30" customHeight="1">
      <c r="A14" s="44" t="s">
        <v>117</v>
      </c>
      <c r="B14" s="44"/>
      <c r="C14" s="44"/>
      <c r="D14" s="44"/>
      <c r="E14" s="44"/>
      <c r="F14" s="140" t="e">
        <f>B5</f>
        <v>#VALUE!</v>
      </c>
      <c r="G14" s="140" t="str">
        <f>C5</f>
        <v>disabled</v>
      </c>
    </row>
    <row r="15" spans="1:12" ht="30" customHeight="1">
      <c r="A15" s="44" t="s">
        <v>142</v>
      </c>
      <c r="B15" s="44"/>
      <c r="C15" s="44"/>
      <c r="D15" s="44"/>
      <c r="E15" s="44"/>
      <c r="F15" s="140" t="e">
        <f>B6</f>
        <v>#VALUE!</v>
      </c>
      <c r="G15" s="140" t="str">
        <f>C6</f>
        <v>disabled</v>
      </c>
    </row>
    <row r="16" spans="1:12" ht="30" customHeight="1">
      <c r="A16" s="62" t="s">
        <v>285</v>
      </c>
      <c r="B16" s="92">
        <v>9</v>
      </c>
      <c r="C16" s="92">
        <v>14</v>
      </c>
      <c r="D16" s="138">
        <f t="shared" ref="D16:D21" si="0">GEOMEAN(B16,C16)</f>
        <v>11.224972160321824</v>
      </c>
      <c r="E16" s="80">
        <f t="shared" ref="E16:E21" si="1">LogVariance(B16,C16)</f>
        <v>7.4864535847752101E-2</v>
      </c>
      <c r="F16" s="140">
        <f t="shared" ref="F16:F21" si="2">ParetoPosterior(median,alpha,$D16:$E16)</f>
        <v>7.6651731591110082</v>
      </c>
      <c r="G16" s="140" t="str">
        <f>LognormPosterior(mu_global_poverty,sigma_global_poverty,$D16:$E16)</f>
        <v>disabled</v>
      </c>
    </row>
    <row r="17" spans="1:8" ht="30" customHeight="1">
      <c r="A17" s="62" t="s">
        <v>286</v>
      </c>
      <c r="B17" s="92">
        <v>6</v>
      </c>
      <c r="C17" s="92">
        <v>30</v>
      </c>
      <c r="D17" s="138">
        <f t="shared" si="0"/>
        <v>13.416407864998737</v>
      </c>
      <c r="E17" s="80">
        <f t="shared" si="1"/>
        <v>0.27270459618181209</v>
      </c>
      <c r="F17" s="140">
        <f t="shared" si="2"/>
        <v>3.7274882658620698</v>
      </c>
      <c r="G17" s="140" t="str">
        <f>LognormPosterior(mu_global_poverty,sigma_global_poverty,$D17:$E17)</f>
        <v>disabled</v>
      </c>
    </row>
    <row r="18" spans="1:8" ht="30" customHeight="1">
      <c r="A18" s="62" t="s">
        <v>287</v>
      </c>
      <c r="B18" s="92">
        <v>0.5</v>
      </c>
      <c r="C18" s="92">
        <v>15</v>
      </c>
      <c r="D18" s="138">
        <f t="shared" si="0"/>
        <v>2.7386127875258306</v>
      </c>
      <c r="E18" s="80">
        <f t="shared" si="1"/>
        <v>0.57630191965469357</v>
      </c>
      <c r="F18" s="140">
        <f t="shared" si="2"/>
        <v>0.60816760992752539</v>
      </c>
      <c r="G18" s="140" t="str">
        <f>LognormPosterior(mu_policy,sigma_policy,$D18:$E18)</f>
        <v>disabled</v>
      </c>
      <c r="H18" s="127" t="s">
        <v>257</v>
      </c>
    </row>
    <row r="19" spans="1:8" ht="30" customHeight="1">
      <c r="A19" s="62" t="s">
        <v>288</v>
      </c>
      <c r="B19" s="92">
        <v>2</v>
      </c>
      <c r="C19" s="92">
        <v>25</v>
      </c>
      <c r="D19" s="138">
        <f t="shared" si="0"/>
        <v>7.0710678118654755</v>
      </c>
      <c r="E19" s="80">
        <f t="shared" si="1"/>
        <v>0.42796171550924683</v>
      </c>
      <c r="F19" s="140">
        <f t="shared" si="2"/>
        <v>1.3899606988089097</v>
      </c>
      <c r="G19" s="140" t="str">
        <f>LognormPosterior(mu_policy,sigma_policy,$D19:$E19)</f>
        <v>disabled</v>
      </c>
    </row>
    <row r="20" spans="1:8" ht="30" customHeight="1">
      <c r="A20" s="62" t="s">
        <v>289</v>
      </c>
      <c r="B20" s="92">
        <v>0.1</v>
      </c>
      <c r="C20" s="92">
        <v>10</v>
      </c>
      <c r="D20" s="138">
        <f t="shared" si="0"/>
        <v>1</v>
      </c>
      <c r="E20" s="80">
        <f t="shared" si="1"/>
        <v>0.78030414607237897</v>
      </c>
      <c r="F20" s="140">
        <f t="shared" si="2"/>
        <v>0.32990094699021733</v>
      </c>
      <c r="G20" s="140" t="str">
        <f>LognormPosterior(mu_policy,sigma_policy,$D20:$E20)</f>
        <v>disabled</v>
      </c>
    </row>
    <row r="21" spans="1:8" ht="30" customHeight="1">
      <c r="A21" s="62" t="s">
        <v>290</v>
      </c>
      <c r="B21" s="92">
        <v>1</v>
      </c>
      <c r="C21" s="92">
        <v>100</v>
      </c>
      <c r="D21" s="138">
        <f t="shared" si="0"/>
        <v>10</v>
      </c>
      <c r="E21" s="80">
        <f t="shared" si="1"/>
        <v>0.78030414607237897</v>
      </c>
      <c r="F21" s="140">
        <f t="shared" si="2"/>
        <v>0.91744602369328643</v>
      </c>
      <c r="G21" s="140" t="str">
        <f>LognormPosterior(mu_policy,sigma_policy,$D21:$E21)</f>
        <v>disabled</v>
      </c>
    </row>
    <row r="22" spans="1:8" ht="30" customHeight="1">
      <c r="A22" s="62" t="s">
        <v>262</v>
      </c>
      <c r="B22" s="44"/>
      <c r="C22" s="44"/>
      <c r="D22" s="141" t="e">
        <f>'AI Safety'!H26/10</f>
        <v>#VALUE!</v>
      </c>
      <c r="E22" s="141" t="e">
        <f>'AI Safety'!I26</f>
        <v>#VALUE!</v>
      </c>
      <c r="F22" s="140" t="e">
        <f>ParetoPosterior(1,alpha,$D22:$E22)</f>
        <v>#VALUE!</v>
      </c>
      <c r="G22" s="140" t="str">
        <f>LognormPosterior(mu_far_future,sigma_far_future,$D22:$E22)</f>
        <v>disabled</v>
      </c>
    </row>
    <row r="23" spans="1:8" ht="30" customHeight="1">
      <c r="A23" s="62" t="s">
        <v>263</v>
      </c>
      <c r="B23" s="44"/>
      <c r="C23" s="44"/>
      <c r="D23" s="141" t="e">
        <f>D22</f>
        <v>#VALUE!</v>
      </c>
      <c r="E23" s="141" t="e">
        <f>E22</f>
        <v>#VALUE!</v>
      </c>
      <c r="F23" s="140" t="e">
        <f>ParetoPosterior(median,alpha,$D23:$E23)</f>
        <v>#VALUE!</v>
      </c>
      <c r="G23" s="140" t="str">
        <f>LognormPosterior(mu_far_future,sigma_far_future,$D23:$E23)</f>
        <v>disabled</v>
      </c>
    </row>
    <row r="24" spans="1:8" ht="30" customHeight="1">
      <c r="A24" s="45" t="s">
        <v>284</v>
      </c>
      <c r="B24" s="3"/>
      <c r="C24" s="3"/>
      <c r="D24" s="3"/>
    </row>
    <row r="25" spans="1:8" ht="30" customHeight="1"/>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workbookViewId="0">
      <selection activeCell="A3" sqref="A3"/>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150</v>
      </c>
      <c r="C1" s="6" t="s">
        <v>81</v>
      </c>
      <c r="J1" s="6" t="s">
        <v>4</v>
      </c>
      <c r="M1" s="1"/>
    </row>
    <row r="2" spans="1:13" ht="30" customHeight="1">
      <c r="A2" s="24">
        <v>0</v>
      </c>
      <c r="B2" t="s">
        <v>151</v>
      </c>
      <c r="D2" t="s">
        <v>258</v>
      </c>
      <c r="E2" s="5" t="s">
        <v>147</v>
      </c>
      <c r="F2" s="5" t="s">
        <v>148</v>
      </c>
      <c r="G2" s="5" t="s">
        <v>149</v>
      </c>
      <c r="H2" s="3"/>
    </row>
    <row r="3" spans="1:13" s="44" customFormat="1" ht="30" customHeight="1">
      <c r="A3" s="39" t="s">
        <v>255</v>
      </c>
      <c r="C3" s="71" t="s">
        <v>82</v>
      </c>
      <c r="D3" s="72">
        <v>0.1</v>
      </c>
      <c r="E3" s="72">
        <v>0.1</v>
      </c>
      <c r="F3" s="72">
        <v>1</v>
      </c>
      <c r="G3" s="109">
        <v>10</v>
      </c>
      <c r="H3" s="71" t="s">
        <v>82</v>
      </c>
      <c r="I3" s="73" t="s">
        <v>194</v>
      </c>
      <c r="J3" s="74"/>
      <c r="K3" s="71" t="s">
        <v>3</v>
      </c>
      <c r="L3" s="75">
        <v>0.1</v>
      </c>
    </row>
    <row r="4" spans="1:13" s="44" customFormat="1" ht="30" customHeight="1">
      <c r="C4" s="71" t="s">
        <v>83</v>
      </c>
      <c r="D4" s="72">
        <f>sigma_global_poverty</f>
        <v>0.75</v>
      </c>
      <c r="E4" s="72">
        <v>0.75</v>
      </c>
      <c r="F4" s="72">
        <f>sigma_global_poverty</f>
        <v>0.75</v>
      </c>
      <c r="G4" s="72">
        <f>sigma_global_poverty</f>
        <v>0.75</v>
      </c>
      <c r="H4" s="71" t="s">
        <v>83</v>
      </c>
      <c r="I4" s="73" t="s">
        <v>195</v>
      </c>
      <c r="J4" s="74"/>
      <c r="K4" s="71" t="s">
        <v>2</v>
      </c>
      <c r="L4" s="72">
        <v>1.5</v>
      </c>
    </row>
    <row r="5" spans="1:13" ht="30" customHeight="1">
      <c r="C5" s="103" t="s">
        <v>196</v>
      </c>
      <c r="G5" s="103" t="s">
        <v>264</v>
      </c>
    </row>
    <row r="6" spans="1:13" ht="30" customHeight="1"/>
    <row r="7" spans="1:13" ht="30" customHeight="1">
      <c r="A7" s="76" t="s">
        <v>13</v>
      </c>
      <c r="B7" s="34"/>
      <c r="C7" s="34"/>
      <c r="D7" s="119" t="s">
        <v>282</v>
      </c>
      <c r="E7" s="34"/>
      <c r="F7" s="34"/>
      <c r="J7" s="6" t="s">
        <v>90</v>
      </c>
      <c r="L7" s="48" t="s">
        <v>65</v>
      </c>
    </row>
    <row r="8" spans="1:13" s="44" customFormat="1" ht="30" customHeight="1">
      <c r="A8" s="77" t="s">
        <v>5</v>
      </c>
      <c r="B8" s="78">
        <v>0.2</v>
      </c>
      <c r="C8" s="77" t="s">
        <v>12</v>
      </c>
      <c r="D8" s="78">
        <v>0.7</v>
      </c>
      <c r="E8" s="79" t="s">
        <v>253</v>
      </c>
      <c r="F8" s="79"/>
      <c r="J8" s="58" t="s">
        <v>92</v>
      </c>
      <c r="L8" s="66" t="s">
        <v>26</v>
      </c>
      <c r="M8" s="108">
        <v>20000000000</v>
      </c>
    </row>
    <row r="9" spans="1:13" s="44" customFormat="1" ht="30" customHeight="1">
      <c r="A9" s="77" t="s">
        <v>224</v>
      </c>
      <c r="B9" s="78">
        <v>0.4</v>
      </c>
      <c r="C9" s="77" t="s">
        <v>6</v>
      </c>
      <c r="D9" s="78">
        <v>0.8</v>
      </c>
      <c r="E9" s="77" t="s">
        <v>61</v>
      </c>
      <c r="F9" s="78">
        <v>0.3</v>
      </c>
      <c r="J9" s="59" t="s">
        <v>91</v>
      </c>
      <c r="L9" s="66" t="s">
        <v>97</v>
      </c>
      <c r="M9" s="92">
        <v>0.05</v>
      </c>
    </row>
    <row r="10" spans="1:13" s="44" customFormat="1" ht="30" customHeight="1">
      <c r="A10" s="80"/>
      <c r="B10" s="80"/>
      <c r="C10" s="80"/>
      <c r="D10" s="126" t="s">
        <v>240</v>
      </c>
      <c r="E10" s="77" t="s">
        <v>8</v>
      </c>
      <c r="F10" s="81">
        <v>0.4</v>
      </c>
      <c r="J10" s="60" t="s">
        <v>52</v>
      </c>
    </row>
    <row r="11" spans="1:13" s="44" customFormat="1" ht="30" customHeight="1">
      <c r="A11" s="79"/>
      <c r="B11" s="79"/>
      <c r="C11" s="79"/>
      <c r="D11" s="79"/>
      <c r="E11" s="77" t="s">
        <v>7</v>
      </c>
      <c r="F11" s="81">
        <v>0.3</v>
      </c>
      <c r="J11" s="61" t="s">
        <v>190</v>
      </c>
    </row>
    <row r="12" spans="1:13" s="44" customFormat="1" ht="30" customHeight="1">
      <c r="A12" s="77" t="s">
        <v>225</v>
      </c>
      <c r="B12" s="78">
        <v>0.4</v>
      </c>
      <c r="C12" s="77" t="s">
        <v>9</v>
      </c>
      <c r="D12" s="78">
        <v>0.05</v>
      </c>
      <c r="E12" s="80" t="s">
        <v>250</v>
      </c>
      <c r="F12" s="79"/>
      <c r="J12" s="44" t="s">
        <v>191</v>
      </c>
    </row>
    <row r="13" spans="1:13" s="44" customFormat="1" ht="30" customHeight="1">
      <c r="A13" s="79"/>
      <c r="B13" s="79"/>
      <c r="C13" s="77" t="s">
        <v>201</v>
      </c>
      <c r="D13" s="78">
        <v>0.3</v>
      </c>
      <c r="E13" s="79" t="s">
        <v>249</v>
      </c>
      <c r="F13" s="79"/>
      <c r="J13" s="62" t="s">
        <v>281</v>
      </c>
    </row>
    <row r="14" spans="1:13" s="44" customFormat="1" ht="30" customHeight="1">
      <c r="A14" s="79"/>
      <c r="B14" s="79"/>
      <c r="C14" s="77" t="s">
        <v>10</v>
      </c>
      <c r="D14" s="78">
        <v>0.64</v>
      </c>
      <c r="E14" s="79" t="s">
        <v>251</v>
      </c>
      <c r="F14" s="79"/>
      <c r="J14" s="144" t="s">
        <v>281</v>
      </c>
    </row>
    <row r="15" spans="1:13" s="44" customFormat="1" ht="30" customHeight="1">
      <c r="A15" s="79"/>
      <c r="B15" s="79"/>
      <c r="C15" s="77" t="s">
        <v>11</v>
      </c>
      <c r="D15" s="78">
        <v>0.01</v>
      </c>
      <c r="E15" s="79" t="s">
        <v>252</v>
      </c>
      <c r="F15" s="79"/>
      <c r="J15" s="145" t="s">
        <v>281</v>
      </c>
    </row>
    <row r="16" spans="1:13" ht="30" customHeight="1">
      <c r="D16" s="103" t="s">
        <v>239</v>
      </c>
    </row>
    <row r="17" spans="1:13" ht="30" customHeight="1"/>
    <row r="18" spans="1:13" ht="30" customHeight="1">
      <c r="A18" s="6" t="s">
        <v>37</v>
      </c>
      <c r="D18" s="39" t="s">
        <v>247</v>
      </c>
    </row>
    <row r="19" spans="1:13" ht="30" customHeight="1">
      <c r="A19" s="6"/>
      <c r="B19" s="39" t="s">
        <v>214</v>
      </c>
      <c r="D19" s="39" t="s">
        <v>209</v>
      </c>
    </row>
    <row r="20" spans="1:13" ht="30" customHeight="1">
      <c r="B20" s="44" t="s">
        <v>0</v>
      </c>
      <c r="C20" s="44" t="s">
        <v>1</v>
      </c>
      <c r="D20" s="45" t="s">
        <v>0</v>
      </c>
      <c r="E20" s="44" t="s">
        <v>1</v>
      </c>
      <c r="F20" s="44" t="s">
        <v>60</v>
      </c>
      <c r="G20" s="104" t="s">
        <v>210</v>
      </c>
      <c r="H20" s="44" t="s">
        <v>212</v>
      </c>
      <c r="I20" s="44" t="s">
        <v>211</v>
      </c>
      <c r="J20" s="44" t="s">
        <v>213</v>
      </c>
      <c r="K20" s="44" t="s">
        <v>161</v>
      </c>
      <c r="L20" s="44" t="s">
        <v>163</v>
      </c>
      <c r="M20" s="44" t="s">
        <v>27</v>
      </c>
    </row>
    <row r="21" spans="1:13" ht="30" customHeight="1">
      <c r="A21" s="62" t="s">
        <v>227</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246</v>
      </c>
    </row>
    <row r="22" spans="1:13" s="44" customFormat="1" ht="30" customHeight="1">
      <c r="A22" s="64" t="s">
        <v>226</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228</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154</v>
      </c>
    </row>
    <row r="24" spans="1:13" s="44" customFormat="1" ht="30" customHeight="1">
      <c r="A24" s="66" t="s">
        <v>119</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146</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198</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161</v>
      </c>
      <c r="L35" s="54" t="s">
        <v>162</v>
      </c>
      <c r="O35" s="54" t="s">
        <v>161</v>
      </c>
      <c r="P35" s="54" t="s">
        <v>162</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126</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8" sqref="L8"/>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230</v>
      </c>
    </row>
    <row r="2" spans="1:18" ht="45">
      <c r="B2" s="110" t="s">
        <v>161</v>
      </c>
      <c r="C2" s="110" t="s">
        <v>162</v>
      </c>
      <c r="D2" s="5" t="s">
        <v>27</v>
      </c>
      <c r="E2" s="5"/>
      <c r="F2" s="5"/>
      <c r="G2" s="110" t="s">
        <v>161</v>
      </c>
      <c r="H2" s="110" t="s">
        <v>162</v>
      </c>
      <c r="I2" s="5" t="s">
        <v>27</v>
      </c>
      <c r="L2" s="3" t="s">
        <v>165</v>
      </c>
      <c r="M2" s="3" t="s">
        <v>163</v>
      </c>
      <c r="O2" t="s">
        <v>166</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188</v>
      </c>
      <c r="L3" s="14">
        <f>G10*O3</f>
        <v>1.2649110640673517E+34</v>
      </c>
      <c r="M3" s="14">
        <f>H10</f>
        <v>2.7310645112533267</v>
      </c>
      <c r="N3" t="s">
        <v>72</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182</v>
      </c>
      <c r="L4" s="14">
        <f>B11*O4</f>
        <v>6.3245553203367595E+46</v>
      </c>
      <c r="M4" s="14">
        <f>C11</f>
        <v>3.5113686573257055</v>
      </c>
      <c r="N4" t="s">
        <v>76</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199</v>
      </c>
      <c r="L5" s="14">
        <f>B16*O5</f>
        <v>3.7947331922020553E+44</v>
      </c>
      <c r="M5" s="14">
        <f>C16</f>
        <v>3.5113686573257055</v>
      </c>
      <c r="N5" t="s">
        <v>200</v>
      </c>
      <c r="O5">
        <f>p_computronium*p_ems</f>
        <v>0.12</v>
      </c>
      <c r="Q5" s="3"/>
      <c r="R5" s="3"/>
    </row>
    <row r="6" spans="1:18">
      <c r="A6" s="5" t="s">
        <v>41</v>
      </c>
      <c r="B6" s="8">
        <f>VLOOKUP($A6,Globals!$J$36:$L$40,2,FALSE)</f>
        <v>0.1</v>
      </c>
      <c r="C6" s="8">
        <f>VLOOKUP($A6,Globals!$J$36:$L$40,3,FALSE)</f>
        <v>0</v>
      </c>
      <c r="D6" s="5"/>
      <c r="E6" s="5"/>
      <c r="F6" s="5"/>
      <c r="G6" s="5"/>
      <c r="H6" s="5"/>
      <c r="I6" s="5"/>
      <c r="K6" s="30" t="s">
        <v>157</v>
      </c>
      <c r="L6" s="31" t="str">
        <f>WriteArray(SumLognormDists(L3:M5))</f>
        <v>disabled</v>
      </c>
      <c r="M6" s="31" t="s">
        <v>153</v>
      </c>
      <c r="Q6" s="3"/>
      <c r="R6" s="3"/>
    </row>
    <row r="7" spans="1:18">
      <c r="B7" s="5"/>
      <c r="C7" s="5"/>
      <c r="D7" s="5"/>
      <c r="E7" s="5"/>
      <c r="F7" s="10" t="s">
        <v>50</v>
      </c>
      <c r="G7" s="5"/>
      <c r="H7" s="5"/>
      <c r="I7" s="5"/>
      <c r="K7" s="3" t="s">
        <v>160</v>
      </c>
      <c r="L7" s="3" t="e">
        <f>STupidExcelMean(L6)</f>
        <v>#VALUE!</v>
      </c>
      <c r="M7" s="3" t="e">
        <f>STupidExcelVariance(L6,L7)</f>
        <v>#VALUE!</v>
      </c>
      <c r="N7" t="s">
        <v>155</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227</v>
      </c>
      <c r="G9" s="5">
        <f>VLOOKUP(F9,Globals!$A$21:$L$30,11,FALSE)</f>
        <v>1</v>
      </c>
      <c r="H9" s="5">
        <f>VLOOKUP(F9,Globals!$A$21:$L$30,12,FALSE)</f>
        <v>0</v>
      </c>
      <c r="I9" s="12" t="s">
        <v>229</v>
      </c>
      <c r="K9" s="15" t="s">
        <v>187</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184</v>
      </c>
      <c r="L10" s="14">
        <f>G22*O10</f>
        <v>5.1200000000000003E+36</v>
      </c>
      <c r="M10" s="14">
        <f>H22</f>
        <v>3.1212165842895159</v>
      </c>
      <c r="N10" t="s">
        <v>73</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185</v>
      </c>
      <c r="L11" s="14">
        <f>G28*O11</f>
        <v>1.6190861620062103E+40</v>
      </c>
      <c r="M11" s="14">
        <f>H28</f>
        <v>3.5113686573257055</v>
      </c>
      <c r="N11" t="s">
        <v>74</v>
      </c>
      <c r="O11">
        <f>p_biological*p_not_care_about_animals*p_spread_was</f>
        <v>0.12800000000000003</v>
      </c>
      <c r="Q11" s="3"/>
      <c r="R11" s="3"/>
    </row>
    <row r="12" spans="1:18">
      <c r="B12" s="8"/>
      <c r="C12" s="5"/>
      <c r="D12" s="5"/>
      <c r="E12" s="5"/>
      <c r="F12" s="5"/>
      <c r="G12" s="5"/>
      <c r="H12" s="5"/>
      <c r="I12" s="5"/>
      <c r="K12" s="15" t="s">
        <v>186</v>
      </c>
      <c r="L12" s="14">
        <f>G35*O12</f>
        <v>3.8399999999999992E+38</v>
      </c>
      <c r="M12" s="14">
        <f>H35</f>
        <v>4.6818248764342734</v>
      </c>
      <c r="N12" t="s">
        <v>75</v>
      </c>
      <c r="O12">
        <f>p_biological*p_not_care_about_animals*p_suffering_simulations</f>
        <v>9.6000000000000016E-2</v>
      </c>
      <c r="Q12" s="3"/>
      <c r="R12" s="3"/>
    </row>
    <row r="13" spans="1:18" ht="30">
      <c r="B13" s="5"/>
      <c r="C13" s="5"/>
      <c r="D13" s="5"/>
      <c r="E13" s="5"/>
      <c r="F13" s="10" t="s">
        <v>53</v>
      </c>
      <c r="G13" s="5"/>
      <c r="H13" s="5"/>
      <c r="I13" s="5"/>
      <c r="K13" s="15" t="s">
        <v>189</v>
      </c>
      <c r="L13" s="14">
        <f>B21*O13</f>
        <v>8.0954308100310524E+43</v>
      </c>
      <c r="M13" s="14">
        <f>C21</f>
        <v>3.5113686573257055</v>
      </c>
      <c r="N13" t="s">
        <v>77</v>
      </c>
      <c r="O13">
        <f>p_computronium*p_paperclip</f>
        <v>0.25600000000000001</v>
      </c>
      <c r="Q13" s="3"/>
      <c r="R13" s="3"/>
    </row>
    <row r="14" spans="1:18" ht="30">
      <c r="A14" s="10" t="s">
        <v>197</v>
      </c>
      <c r="B14" s="5"/>
      <c r="C14" s="5"/>
      <c r="D14" s="5"/>
      <c r="E14" s="5"/>
      <c r="F14" s="5" t="s">
        <v>18</v>
      </c>
      <c r="G14" s="5">
        <f>VLOOKUP($F14,Globals!$N$36:$P$42,2,FALSE)</f>
        <v>100000000000</v>
      </c>
      <c r="H14" s="5">
        <f>VLOOKUP($F14,Globals!$N$36:$P$42,3,FALSE)</f>
        <v>0.78030414607237897</v>
      </c>
      <c r="I14" s="5"/>
      <c r="K14" s="15" t="s">
        <v>183</v>
      </c>
      <c r="L14" s="14">
        <f>B26*O14</f>
        <v>1.2649110640673518E+46</v>
      </c>
      <c r="M14" s="14">
        <f>C26</f>
        <v>3.5113686573257055</v>
      </c>
      <c r="N14" t="s">
        <v>78</v>
      </c>
      <c r="O14">
        <f>p_computronium*p_dolorium</f>
        <v>4.0000000000000001E-3</v>
      </c>
    </row>
    <row r="15" spans="1:18" ht="30">
      <c r="A15" s="5" t="s">
        <v>198</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158</v>
      </c>
      <c r="L15" s="31" t="str">
        <f>WriteArray(SumLognormDists(L9:M14))</f>
        <v>disabled</v>
      </c>
      <c r="M15" s="31" t="s">
        <v>153</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159</v>
      </c>
      <c r="L16" s="3" t="e">
        <f>STupidExcelMean(L15)</f>
        <v>#VALUE!</v>
      </c>
      <c r="M16" s="3" t="e">
        <f>STupidExcelVariance(L15,L16)</f>
        <v>#VALUE!</v>
      </c>
      <c r="N16" s="7" t="s">
        <v>155</v>
      </c>
    </row>
    <row r="17" spans="1:23">
      <c r="B17" s="5"/>
      <c r="C17" s="5"/>
      <c r="D17" s="5"/>
      <c r="E17" s="5"/>
      <c r="F17" s="5"/>
      <c r="G17" s="5"/>
      <c r="H17" s="5"/>
      <c r="I17" s="5"/>
    </row>
    <row r="18" spans="1:23">
      <c r="B18" s="5"/>
      <c r="C18" s="5"/>
      <c r="D18" s="5"/>
      <c r="E18" s="5"/>
      <c r="F18" s="5"/>
      <c r="G18" s="5"/>
      <c r="H18" s="5"/>
      <c r="I18" s="5"/>
      <c r="K18" s="3" t="s">
        <v>156</v>
      </c>
      <c r="L18" s="3" t="e">
        <f>L7-L16</f>
        <v>#VALUE!</v>
      </c>
      <c r="M18" t="e">
        <f>DifferenceVariance(L7:M7,L16:M16)</f>
        <v>#VALUE!</v>
      </c>
    </row>
    <row r="19" spans="1:23" ht="30">
      <c r="A19" s="10" t="s">
        <v>48</v>
      </c>
      <c r="B19" s="5"/>
      <c r="C19" s="5"/>
      <c r="D19" s="5"/>
      <c r="E19" s="5"/>
      <c r="F19" s="10" t="s">
        <v>55</v>
      </c>
      <c r="G19" s="5"/>
      <c r="H19" s="5"/>
      <c r="I19" s="5"/>
      <c r="K19" s="27" t="s">
        <v>109</v>
      </c>
      <c r="L19" s="19" t="e">
        <f>EXP(MuFromParams(L18,M18))</f>
        <v>#VALUE!</v>
      </c>
      <c r="M19" s="19" t="e">
        <f>(SigmaFromParams(L18,M18) / LN(10))^2</f>
        <v>#VALUE!</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G6" sqref="G6"/>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124</v>
      </c>
      <c r="B1" s="82"/>
      <c r="C1" s="82"/>
      <c r="D1" s="119"/>
      <c r="F1" s="1" t="s">
        <v>63</v>
      </c>
    </row>
    <row r="2" spans="1:16">
      <c r="A2" s="74"/>
      <c r="B2" s="74" t="s">
        <v>0</v>
      </c>
      <c r="C2" s="74" t="s">
        <v>1</v>
      </c>
      <c r="D2" s="119" t="s">
        <v>27</v>
      </c>
      <c r="G2" s="7" t="s">
        <v>161</v>
      </c>
      <c r="H2" s="7" t="s">
        <v>162</v>
      </c>
      <c r="I2" t="s">
        <v>164</v>
      </c>
    </row>
    <row r="3" spans="1:16" ht="30">
      <c r="A3" s="42" t="s">
        <v>99</v>
      </c>
      <c r="B3" s="50">
        <v>50000000000</v>
      </c>
      <c r="C3" s="50">
        <v>2000000000000</v>
      </c>
      <c r="D3" s="119" t="s">
        <v>238</v>
      </c>
      <c r="F3" s="15" t="s">
        <v>52</v>
      </c>
      <c r="G3" s="14">
        <v>1</v>
      </c>
      <c r="H3" s="14">
        <f>I3^2</f>
        <v>4.0000000000000008E-2</v>
      </c>
      <c r="I3">
        <v>0.2</v>
      </c>
    </row>
    <row r="4" spans="1:16">
      <c r="A4" s="46" t="s">
        <v>93</v>
      </c>
      <c r="B4" s="47">
        <v>0.1</v>
      </c>
      <c r="C4" s="47">
        <v>0.5</v>
      </c>
      <c r="D4" s="119" t="s">
        <v>193</v>
      </c>
      <c r="F4" s="18" t="s">
        <v>80</v>
      </c>
      <c r="G4" s="19">
        <f>ParetoPosterior(median,alpha,G3:H3)</f>
        <v>0.85832741114212496</v>
      </c>
      <c r="H4" s="3"/>
    </row>
    <row r="5" spans="1:16" ht="45">
      <c r="A5" s="46" t="s">
        <v>265</v>
      </c>
      <c r="B5" s="47">
        <v>5.0000000000000001E-3</v>
      </c>
      <c r="C5" s="47">
        <v>0.2</v>
      </c>
      <c r="D5" s="119"/>
      <c r="F5" s="18" t="s">
        <v>87</v>
      </c>
      <c r="G5" s="19" t="str">
        <f>LognormPosterior(mu_global_poverty,sigma_global_poverty,G3:H3)</f>
        <v>disabled</v>
      </c>
      <c r="H5" s="3"/>
    </row>
    <row r="6" spans="1:16" ht="45">
      <c r="A6" s="46" t="s">
        <v>266</v>
      </c>
      <c r="B6" s="47">
        <f>B5*1.01</f>
        <v>5.0499999999999998E-3</v>
      </c>
      <c r="C6" s="47">
        <f>C5*1.01</f>
        <v>0.20200000000000001</v>
      </c>
      <c r="D6" s="119"/>
    </row>
    <row r="7" spans="1:16" ht="30">
      <c r="A7" s="116" t="s">
        <v>89</v>
      </c>
      <c r="B7" s="107">
        <f>1000/C3*interest_rate</f>
        <v>2.5000000000000004E-11</v>
      </c>
      <c r="C7" s="107">
        <f>1000/B3*interest_rate</f>
        <v>1.0000000000000001E-9</v>
      </c>
      <c r="D7" s="119"/>
    </row>
    <row r="8" spans="1:16" ht="45">
      <c r="A8" s="91" t="s">
        <v>267</v>
      </c>
      <c r="B8" s="65">
        <v>1.21</v>
      </c>
      <c r="C8" s="65">
        <v>192</v>
      </c>
      <c r="D8" s="120" t="s">
        <v>234</v>
      </c>
      <c r="F8" s="1" t="s">
        <v>88</v>
      </c>
      <c r="K8" s="1" t="s">
        <v>96</v>
      </c>
    </row>
    <row r="9" spans="1:16" ht="30">
      <c r="A9" s="118" t="s">
        <v>235</v>
      </c>
      <c r="B9" s="44">
        <f>B8/365</f>
        <v>3.3150684931506848E-3</v>
      </c>
      <c r="C9" s="44">
        <f>C8/365</f>
        <v>0.52602739726027392</v>
      </c>
      <c r="G9" t="s">
        <v>161</v>
      </c>
      <c r="H9" t="s">
        <v>163</v>
      </c>
      <c r="J9" s="13"/>
      <c r="L9" s="7" t="s">
        <v>161</v>
      </c>
      <c r="M9" s="7" t="s">
        <v>163</v>
      </c>
      <c r="N9" s="13"/>
      <c r="O9" s="3"/>
      <c r="P9" s="3"/>
    </row>
    <row r="10" spans="1:16">
      <c r="A10" s="118"/>
      <c r="F10" t="s">
        <v>93</v>
      </c>
      <c r="G10">
        <f>GEOMEAN($B$4,$C$4)</f>
        <v>0.22360679774997896</v>
      </c>
      <c r="H10">
        <f>LogVariance($B$4,$C$4)</f>
        <v>0.27270459618181209</v>
      </c>
      <c r="J10" s="3"/>
      <c r="K10" t="s">
        <v>93</v>
      </c>
      <c r="L10">
        <f>GEOMEAN($B$4,$C$4)</f>
        <v>0.22360679774997896</v>
      </c>
      <c r="M10">
        <f>LogVariance($B$4,$C$4)</f>
        <v>0.27270459618181209</v>
      </c>
      <c r="N10" s="3"/>
      <c r="O10" s="3"/>
      <c r="P10" s="3"/>
    </row>
    <row r="11" spans="1:16">
      <c r="A11" s="118"/>
      <c r="F11" s="3" t="s">
        <v>94</v>
      </c>
      <c r="G11">
        <f>GEOMEAN($B$5,$C$5)</f>
        <v>3.1622776601683791E-2</v>
      </c>
      <c r="H11">
        <f>LogVariance($B$5,$C$5)</f>
        <v>0.62504702674494428</v>
      </c>
      <c r="J11" s="3"/>
      <c r="K11" s="3" t="s">
        <v>95</v>
      </c>
      <c r="L11">
        <f>GEOMEAN($B$6,$C$6)</f>
        <v>3.1939004367700634E-2</v>
      </c>
      <c r="M11">
        <f>LogVariance($B$6,$C$6)</f>
        <v>0.62504702674494439</v>
      </c>
      <c r="N11" s="3"/>
      <c r="O11" s="3"/>
      <c r="P11" s="3"/>
    </row>
    <row r="12" spans="1:16">
      <c r="A12" s="118"/>
      <c r="F12" t="s">
        <v>89</v>
      </c>
      <c r="G12">
        <f>GEOMEAN($B$7,$C$7)</f>
        <v>1.5811388300841898E-10</v>
      </c>
      <c r="H12">
        <f>LogVariance($B$7,$C$7)</f>
        <v>0.62504702674494428</v>
      </c>
      <c r="J12" s="3"/>
      <c r="K12" t="s">
        <v>89</v>
      </c>
      <c r="L12">
        <f>GEOMEAN($B$7,$C$7)</f>
        <v>1.5811388300841898E-10</v>
      </c>
      <c r="M12">
        <f>LogVariance($B$7,$C$7)</f>
        <v>0.62504702674494428</v>
      </c>
      <c r="N12" s="3"/>
      <c r="O12" s="3"/>
      <c r="P12" s="3"/>
    </row>
    <row r="13" spans="1:16">
      <c r="A13" s="103"/>
      <c r="F13" t="s">
        <v>109</v>
      </c>
      <c r="G13" t="e">
        <f>VLOOKUP(F13,'EV of Far Future'!$K$18:$M$19,2,FALSE)</f>
        <v>#VALUE!</v>
      </c>
      <c r="H13" t="e">
        <f>VLOOKUP(F13,'EV of Far Future'!$K$18:$M$19,3,FALSE)</f>
        <v>#VALUE!</v>
      </c>
      <c r="J13" s="3"/>
      <c r="K13" t="s">
        <v>109</v>
      </c>
      <c r="L13" t="e">
        <f>VLOOKUP(K13,'EV of Far Future'!$K$18:$M$19,2,FALSE)</f>
        <v>#VALUE!</v>
      </c>
      <c r="M13" t="e">
        <f>VLOOKUP(K13,'EV of Far Future'!$K$18:$M$19,3,FALSE)</f>
        <v>#VALUE!</v>
      </c>
      <c r="N13" s="3"/>
      <c r="O13" s="3"/>
      <c r="P13" s="3"/>
    </row>
    <row r="14" spans="1:16">
      <c r="A14" s="103"/>
      <c r="F14" s="15" t="s">
        <v>52</v>
      </c>
      <c r="G14" s="14" t="e">
        <f>PRODUCT(G10:G13)</f>
        <v>#VALUE!</v>
      </c>
      <c r="H14" s="14" t="e">
        <f>SUM(H10:H13)</f>
        <v>#VALUE!</v>
      </c>
      <c r="J14" s="3"/>
      <c r="K14" s="15" t="s">
        <v>52</v>
      </c>
      <c r="L14" s="14" t="e">
        <f>PRODUCT(L10:L13)</f>
        <v>#VALUE!</v>
      </c>
      <c r="M14" s="14" t="e">
        <f>SUM(M10:M13)</f>
        <v>#VALUE!</v>
      </c>
      <c r="N14" s="3"/>
      <c r="O14" s="3"/>
      <c r="P14" s="3"/>
    </row>
    <row r="15" spans="1:16">
      <c r="F15" s="3" t="s">
        <v>160</v>
      </c>
      <c r="G15" t="e">
        <f>meanFromParams(G14:H14)</f>
        <v>#VALUE!</v>
      </c>
      <c r="H15" t="e">
        <f>VarianceFromParams(G14:H14)</f>
        <v>#VALUE!</v>
      </c>
      <c r="J15" s="3"/>
      <c r="K15" s="3"/>
      <c r="L15" s="3"/>
      <c r="M15" s="3"/>
      <c r="N15" s="3"/>
      <c r="O15" s="3"/>
      <c r="P15" s="3"/>
    </row>
    <row r="16" spans="1:16">
      <c r="J16" s="3"/>
      <c r="K16" s="117"/>
      <c r="L16" s="117"/>
      <c r="M16" s="117"/>
      <c r="N16" s="3"/>
      <c r="O16" s="3"/>
      <c r="P16" s="3"/>
    </row>
    <row r="17" spans="1:16">
      <c r="J17" s="3"/>
      <c r="K17" s="121" t="s">
        <v>233</v>
      </c>
      <c r="L17" s="117"/>
      <c r="M17" s="117"/>
      <c r="N17" s="3"/>
      <c r="O17" s="3"/>
      <c r="P17" s="3"/>
    </row>
    <row r="18" spans="1:16">
      <c r="J18" s="3"/>
      <c r="K18" s="12"/>
      <c r="L18" s="117" t="s">
        <v>161</v>
      </c>
      <c r="M18" s="117" t="s">
        <v>163</v>
      </c>
      <c r="O18" s="3"/>
      <c r="P18" s="3"/>
    </row>
    <row r="19" spans="1:16">
      <c r="J19" s="3"/>
      <c r="K19" s="103" t="s">
        <v>235</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169</v>
      </c>
      <c r="B23" s="3"/>
      <c r="C23" s="3"/>
      <c r="J23" s="3"/>
      <c r="N23" s="3"/>
      <c r="O23" s="3"/>
      <c r="P23" s="3"/>
    </row>
    <row r="24" spans="1:16" ht="30">
      <c r="A24" s="5" t="s">
        <v>167</v>
      </c>
      <c r="B24" t="e">
        <f>G15-L28</f>
        <v>#VALUE!</v>
      </c>
      <c r="C24" t="e">
        <f>DifferenceVariance(G15:H15,L28:M28)</f>
        <v>#VALUE!</v>
      </c>
      <c r="J24" s="3"/>
      <c r="K24" t="s">
        <v>236</v>
      </c>
      <c r="N24" s="3"/>
      <c r="O24" s="3"/>
      <c r="P24" s="3"/>
    </row>
    <row r="25" spans="1:16">
      <c r="A25" s="16" t="s">
        <v>168</v>
      </c>
      <c r="B25" s="14" t="e">
        <f>EXP(MuFromParams(ABS(B24),C24))</f>
        <v>#VALUE!</v>
      </c>
      <c r="C25" s="14" t="e">
        <f>(SigmaFromParams(B24,C24) / LN(10))^2</f>
        <v>#VALUE!</v>
      </c>
      <c r="K25" s="12" t="s">
        <v>237</v>
      </c>
      <c r="L25" s="12" t="e">
        <f>L14</f>
        <v>#VALUE!</v>
      </c>
      <c r="M25" s="12" t="e">
        <f>M14</f>
        <v>#VALUE!</v>
      </c>
    </row>
    <row r="26" spans="1:16">
      <c r="A26" s="36" t="s">
        <v>80</v>
      </c>
      <c r="B26" s="19" t="e">
        <f>ParetoPosterior(median,alpha,B25:C25)*SIGN(B24)</f>
        <v>#VALUE!</v>
      </c>
      <c r="K26" s="12" t="s">
        <v>148</v>
      </c>
      <c r="L26" s="12">
        <f>L21</f>
        <v>7.5166259703810995E-2</v>
      </c>
      <c r="M26" s="12">
        <f>M21</f>
        <v>0.85853582389873684</v>
      </c>
    </row>
    <row r="27" spans="1:16">
      <c r="A27" s="36" t="s">
        <v>87</v>
      </c>
      <c r="B27" s="19" t="e">
        <f>LognormPosterior(mu_far_future,sigma_far_future,B25:C25)*SIGN(B24)</f>
        <v>#VALUE!</v>
      </c>
      <c r="K27" s="125" t="s">
        <v>172</v>
      </c>
      <c r="L27" s="124" t="str">
        <f>WriteArray(SumLognormDists(L25:M26))</f>
        <v>disabled</v>
      </c>
      <c r="M27" s="124" t="s">
        <v>153</v>
      </c>
    </row>
    <row r="28" spans="1:16">
      <c r="A28" s="5"/>
      <c r="K28" s="7" t="s">
        <v>159</v>
      </c>
      <c r="L28" s="7" t="e">
        <f>STupidExcelMean(L27)</f>
        <v>#VALUE!</v>
      </c>
      <c r="M28" s="7" t="e">
        <f>STupidExcelVariance(L27,L28)</f>
        <v>#VALUE!</v>
      </c>
    </row>
    <row r="29" spans="1:16">
      <c r="A29" s="5"/>
    </row>
    <row r="30" spans="1:16">
      <c r="A30" s="33" t="s">
        <v>85</v>
      </c>
      <c r="B30" s="4" t="e">
        <f>B26+G4</f>
        <v>#VALUE!</v>
      </c>
    </row>
    <row r="31" spans="1:16">
      <c r="A31" s="33" t="s">
        <v>86</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H14" sqref="H14"/>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124</v>
      </c>
      <c r="H1" s="1" t="s">
        <v>63</v>
      </c>
      <c r="M1" s="1" t="s">
        <v>79</v>
      </c>
    </row>
    <row r="2" spans="1:15">
      <c r="A2" s="57"/>
      <c r="B2" s="44" t="s">
        <v>0</v>
      </c>
      <c r="C2" s="44" t="s">
        <v>1</v>
      </c>
      <c r="D2" s="54" t="s">
        <v>161</v>
      </c>
      <c r="E2" s="54" t="s">
        <v>163</v>
      </c>
      <c r="F2" t="s">
        <v>27</v>
      </c>
      <c r="I2" s="7" t="s">
        <v>161</v>
      </c>
      <c r="J2" s="7" t="s">
        <v>162</v>
      </c>
      <c r="N2" s="7" t="s">
        <v>161</v>
      </c>
      <c r="O2" s="7" t="s">
        <v>163</v>
      </c>
    </row>
    <row r="3" spans="1:15" ht="30">
      <c r="A3" s="42" t="s">
        <v>120</v>
      </c>
      <c r="B3" s="43">
        <v>0.7</v>
      </c>
      <c r="C3" s="83">
        <v>13</v>
      </c>
      <c r="D3" s="74"/>
      <c r="E3" s="74"/>
      <c r="F3" s="142" t="s">
        <v>123</v>
      </c>
      <c r="G3" s="7"/>
      <c r="H3" t="s">
        <v>68</v>
      </c>
      <c r="I3">
        <f>D5</f>
        <v>3016.620625799671</v>
      </c>
      <c r="J3">
        <f>E5</f>
        <v>0.49504262895320128</v>
      </c>
      <c r="M3" s="3" t="s">
        <v>248</v>
      </c>
      <c r="N3" s="25">
        <f>VLOOKUP(M3,$A$14:$E$17,4,FALSE)</f>
        <v>4.4721359549995794E-2</v>
      </c>
      <c r="O3" s="25">
        <f>VLOOKUP(M3,$A$14:$E$17,5,FALSE)</f>
        <v>0.50759954989056688</v>
      </c>
    </row>
    <row r="4" spans="1:15" ht="30">
      <c r="A4" s="46" t="s">
        <v>152</v>
      </c>
      <c r="B4" s="47">
        <v>3</v>
      </c>
      <c r="C4" s="84">
        <v>4</v>
      </c>
      <c r="D4" s="74">
        <f>GEOMEAN(B4,C4)</f>
        <v>3.4641016151377548</v>
      </c>
      <c r="E4" s="74">
        <f>LogVariance(B4,C4)</f>
        <v>4.8745107090250664E-2</v>
      </c>
      <c r="F4" s="103" t="s">
        <v>203</v>
      </c>
      <c r="H4" t="s">
        <v>38</v>
      </c>
      <c r="I4">
        <f>VLOOKUP($H4,Globals!$A$22:$L$30,11,FALSE)</f>
        <v>1.7999999999999998</v>
      </c>
      <c r="J4">
        <f>VLOOKUP($H4,Globals!$A$22:$L$30,12,FALSE)</f>
        <v>0</v>
      </c>
      <c r="M4" s="3" t="s">
        <v>186</v>
      </c>
      <c r="N4">
        <f>VLOOKUP($M4,'EV of Far Future'!$K$3:$N$14,2,FALSE)</f>
        <v>3.8399999999999992E+38</v>
      </c>
      <c r="O4">
        <f>VLOOKUP($M4,'EV of Far Future'!$K$3:$N$14,3,FALSE)</f>
        <v>4.6818248764342734</v>
      </c>
    </row>
    <row r="5" spans="1:15" ht="30">
      <c r="A5" s="85" t="s">
        <v>68</v>
      </c>
      <c r="B5" s="86">
        <f>B3*1000</f>
        <v>700</v>
      </c>
      <c r="C5" s="86">
        <f>C3*1000</f>
        <v>13000</v>
      </c>
      <c r="D5" s="74">
        <f>GEOMEAN(B5,C5)</f>
        <v>3016.620625799671</v>
      </c>
      <c r="E5" s="74">
        <f>LogVariance(B5,C5)</f>
        <v>0.49504262895320128</v>
      </c>
      <c r="F5" s="103"/>
      <c r="H5" s="15" t="s">
        <v>52</v>
      </c>
      <c r="I5" s="14">
        <f>PRODUCT(I3:I4)</f>
        <v>5429.9171264394072</v>
      </c>
      <c r="J5" s="14">
        <f>SUM(J3:J4)</f>
        <v>0.49504262895320128</v>
      </c>
      <c r="M5" s="3" t="s">
        <v>66</v>
      </c>
      <c r="N5">
        <f>1/factory_farmed_animals</f>
        <v>5.0000000000000002E-11</v>
      </c>
      <c r="O5">
        <v>0</v>
      </c>
    </row>
    <row r="6" spans="1:15" ht="30">
      <c r="A6" s="85" t="s">
        <v>67</v>
      </c>
      <c r="B6" s="86"/>
      <c r="C6" s="86"/>
      <c r="D6" s="74">
        <f>PRODUCT(D4:D5)</f>
        <v>10449.880382090505</v>
      </c>
      <c r="E6" s="74">
        <f>SUM(E4:E5)</f>
        <v>0.54378773604345199</v>
      </c>
      <c r="F6" s="103"/>
      <c r="H6" s="18" t="s">
        <v>80</v>
      </c>
      <c r="I6" s="19">
        <f>ParetoPosterior(median,alpha,I5:J5)</f>
        <v>396.49368154968971</v>
      </c>
      <c r="M6" s="3" t="s">
        <v>98</v>
      </c>
      <c r="N6" t="e">
        <f>$D$12</f>
        <v>#VALUE!</v>
      </c>
      <c r="O6" t="e">
        <f>$E$12</f>
        <v>#VALUE!</v>
      </c>
    </row>
    <row r="7" spans="1:15" ht="45">
      <c r="A7" s="46" t="s">
        <v>106</v>
      </c>
      <c r="B7" s="47">
        <v>5.0000000000000001E-3</v>
      </c>
      <c r="C7" s="47">
        <v>0.03</v>
      </c>
      <c r="D7" s="74">
        <f>GEOMEAN(B7,C7)</f>
        <v>1.2247448713915889E-2</v>
      </c>
      <c r="E7" s="74">
        <f>LogVariance(B7,C7)</f>
        <v>0.30359732347288149</v>
      </c>
      <c r="F7" s="103"/>
      <c r="H7" s="18" t="s">
        <v>69</v>
      </c>
      <c r="I7" s="20" t="str">
        <f>LognormPosterior(mu_factory_farming,sigma_factory_farming,I5:J5)</f>
        <v>disabled</v>
      </c>
      <c r="M7" s="15" t="s">
        <v>52</v>
      </c>
      <c r="N7" s="14" t="e">
        <f>PRODUCT(N3:N6)</f>
        <v>#VALUE!</v>
      </c>
      <c r="O7" s="14" t="e">
        <f>SUM(O3:O6)</f>
        <v>#VALUE!</v>
      </c>
    </row>
    <row r="8" spans="1:15" ht="30">
      <c r="A8" s="85" t="s">
        <v>231</v>
      </c>
      <c r="B8" s="112"/>
      <c r="C8" s="112"/>
      <c r="D8">
        <f>D6*interest_rate</f>
        <v>522.49401910452525</v>
      </c>
      <c r="E8">
        <f>E6</f>
        <v>0.54378773604345199</v>
      </c>
      <c r="F8" s="103"/>
      <c r="I8" s="21"/>
    </row>
    <row r="9" spans="1:15" ht="30">
      <c r="A9" s="113" t="s">
        <v>232</v>
      </c>
      <c r="B9" s="112"/>
      <c r="C9" s="112"/>
      <c r="D9">
        <f>D6*D7</f>
        <v>127.98437404620924</v>
      </c>
      <c r="E9">
        <f>E6+E7</f>
        <v>0.84738505951633347</v>
      </c>
      <c r="F9" s="103"/>
      <c r="I9" s="2" t="str">
        <f>LognormPosterior(mu_factory_farming,sigma_factory_farming,I5:J5)</f>
        <v>disabled</v>
      </c>
    </row>
    <row r="10" spans="1:15">
      <c r="A10" s="115" t="s">
        <v>172</v>
      </c>
      <c r="D10" s="114" t="str">
        <f>WriteArray(SumLognormDists(D8:E9))</f>
        <v>disabled</v>
      </c>
      <c r="E10" s="114" t="s">
        <v>153</v>
      </c>
      <c r="F10" s="103"/>
      <c r="H10" s="13" t="s">
        <v>64</v>
      </c>
      <c r="M10" s="1" t="s">
        <v>177</v>
      </c>
    </row>
    <row r="11" spans="1:15">
      <c r="A11" s="3" t="s">
        <v>156</v>
      </c>
      <c r="D11" s="3" t="e">
        <f>STupidExcelMean(D10)</f>
        <v>#VALUE!</v>
      </c>
      <c r="E11" s="3" t="e">
        <f>STupidExcelVariance(D10,D11)</f>
        <v>#VALUE!</v>
      </c>
      <c r="F11" s="103"/>
      <c r="I11" s="7" t="s">
        <v>161</v>
      </c>
      <c r="J11" s="7" t="s">
        <v>162</v>
      </c>
      <c r="M11" s="3" t="s">
        <v>179</v>
      </c>
      <c r="N11" s="25">
        <f>VLOOKUP(M11,$A$14:$E$17,4,FALSE)</f>
        <v>2.2360679774997897E-2</v>
      </c>
      <c r="O11" s="25">
        <f>VLOOKUP(M11,$A$14:$E$17,5,FALSE)</f>
        <v>0.27270459618181209</v>
      </c>
    </row>
    <row r="12" spans="1:15" ht="30">
      <c r="A12" s="113" t="s">
        <v>98</v>
      </c>
      <c r="B12" s="112"/>
      <c r="C12" s="112"/>
      <c r="D12" s="3" t="e">
        <f>EXP(MuFromParams(ABS(D11),E11))</f>
        <v>#VALUE!</v>
      </c>
      <c r="E12" s="3" t="e">
        <f>(SigmaFromParams(D11,E11) / LN(10))^2</f>
        <v>#VALUE!</v>
      </c>
      <c r="F12" s="103"/>
      <c r="H12" s="3" t="s">
        <v>70</v>
      </c>
      <c r="I12">
        <v>1</v>
      </c>
      <c r="J12">
        <v>0</v>
      </c>
      <c r="M12" s="3" t="s">
        <v>182</v>
      </c>
      <c r="N12">
        <f>VLOOKUP($M12,'EV of Far Future'!$K$3:$N$14,2,FALSE)</f>
        <v>6.3245553203367595E+46</v>
      </c>
      <c r="O12">
        <f>VLOOKUP($M12,'EV of Far Future'!$K$3:$N$14,3,FALSE)</f>
        <v>3.5113686573257055</v>
      </c>
    </row>
    <row r="13" spans="1:15">
      <c r="A13" s="113"/>
      <c r="B13" s="112"/>
      <c r="C13" s="112"/>
      <c r="F13" s="103"/>
      <c r="H13" s="3" t="s">
        <v>187</v>
      </c>
      <c r="I13">
        <f>VLOOKUP($H13,'EV of Far Future'!$K$3:$N$14,2,FALSE)</f>
        <v>5.4644157967709579E+33</v>
      </c>
      <c r="J13">
        <f>VLOOKUP($H13,'EV of Far Future'!$K$3:$N$14,3,FALSE)</f>
        <v>2.7310645112533267</v>
      </c>
      <c r="M13" s="3" t="s">
        <v>66</v>
      </c>
      <c r="N13">
        <f>1/factory_farmed_animals</f>
        <v>5.0000000000000002E-11</v>
      </c>
      <c r="O13">
        <v>0</v>
      </c>
    </row>
    <row r="14" spans="1:15" ht="45">
      <c r="A14" s="46" t="s">
        <v>178</v>
      </c>
      <c r="B14" s="47">
        <v>0.01</v>
      </c>
      <c r="C14" s="47">
        <v>0.2</v>
      </c>
      <c r="D14" s="74">
        <f>GEOMEAN(B14,C14)</f>
        <v>4.4721359549995794E-2</v>
      </c>
      <c r="E14" s="74">
        <f>LogVariance(B14,C14)</f>
        <v>0.50759954989056688</v>
      </c>
      <c r="F14" s="103" t="s">
        <v>180</v>
      </c>
      <c r="H14" s="3" t="s">
        <v>66</v>
      </c>
      <c r="I14">
        <f>1/factory_farmed_animals</f>
        <v>5.0000000000000002E-11</v>
      </c>
      <c r="J14">
        <v>0</v>
      </c>
      <c r="M14" s="3" t="s">
        <v>98</v>
      </c>
      <c r="N14" t="e">
        <f>$D$12</f>
        <v>#VALUE!</v>
      </c>
      <c r="O14" t="e">
        <f>$E$12</f>
        <v>#VALUE!</v>
      </c>
    </row>
    <row r="15" spans="1:15" ht="30">
      <c r="A15" s="46" t="s">
        <v>136</v>
      </c>
      <c r="B15" s="47">
        <v>5.0000000000000001E-3</v>
      </c>
      <c r="C15" s="47">
        <v>0.1</v>
      </c>
      <c r="D15" s="74">
        <f>GEOMEAN(B15,C15)</f>
        <v>2.2360679774997897E-2</v>
      </c>
      <c r="E15" s="74">
        <f>LogVariance(B15,C15)</f>
        <v>0.50759954989056688</v>
      </c>
      <c r="F15" s="103"/>
      <c r="H15" s="3" t="s">
        <v>98</v>
      </c>
      <c r="I15" t="e">
        <f>$D$12</f>
        <v>#VALUE!</v>
      </c>
      <c r="J15" t="e">
        <f>$E$12</f>
        <v>#VALUE!</v>
      </c>
      <c r="M15" s="15" t="s">
        <v>52</v>
      </c>
      <c r="N15" s="14" t="e">
        <f>PRODUCT(N11:N14)</f>
        <v>#VALUE!</v>
      </c>
      <c r="O15" s="14" t="e">
        <f>SUM(O11:O14)</f>
        <v>#VALUE!</v>
      </c>
    </row>
    <row r="16" spans="1:15" ht="30">
      <c r="A16" s="46" t="s">
        <v>248</v>
      </c>
      <c r="B16" s="47">
        <v>0.01</v>
      </c>
      <c r="C16" s="47">
        <v>0.2</v>
      </c>
      <c r="D16" s="74">
        <f>GEOMEAN(B16,C16)</f>
        <v>4.4721359549995794E-2</v>
      </c>
      <c r="E16" s="74">
        <f>LogVariance(B16,C16)</f>
        <v>0.50759954989056688</v>
      </c>
      <c r="F16" s="103"/>
      <c r="H16" s="15" t="s">
        <v>52</v>
      </c>
      <c r="I16" s="14" t="e">
        <f>PRODUCT(I12:I15)</f>
        <v>#VALUE!</v>
      </c>
      <c r="J16" s="14" t="e">
        <f>SUM(J12:J15)</f>
        <v>#VALUE!</v>
      </c>
    </row>
    <row r="17" spans="1:15">
      <c r="A17" s="52" t="s">
        <v>179</v>
      </c>
      <c r="B17" s="51">
        <v>0.01</v>
      </c>
      <c r="C17" s="51">
        <v>0.05</v>
      </c>
      <c r="D17" s="74">
        <f>GEOMEAN(B17,C17)</f>
        <v>2.2360679774997897E-2</v>
      </c>
      <c r="E17" s="74">
        <f>LogVariance(B17,C17)</f>
        <v>0.27270459618181209</v>
      </c>
      <c r="F17" s="103"/>
    </row>
    <row r="18" spans="1:15">
      <c r="A18" s="35"/>
      <c r="B18" s="34"/>
      <c r="C18" s="34"/>
      <c r="D18" s="34"/>
      <c r="E18" s="34"/>
      <c r="M18" t="s">
        <v>170</v>
      </c>
    </row>
    <row r="19" spans="1:15">
      <c r="M19" t="s">
        <v>171</v>
      </c>
      <c r="N19" t="e">
        <f>I16</f>
        <v>#VALUE!</v>
      </c>
      <c r="O19" t="e">
        <f>J16</f>
        <v>#VALUE!</v>
      </c>
    </row>
    <row r="20" spans="1:15">
      <c r="H20" s="1" t="s">
        <v>71</v>
      </c>
      <c r="N20" t="e">
        <f>I26</f>
        <v>#VALUE!</v>
      </c>
      <c r="O20" t="e">
        <f>J26</f>
        <v>#VALUE!</v>
      </c>
    </row>
    <row r="21" spans="1:15">
      <c r="I21" s="7" t="s">
        <v>161</v>
      </c>
      <c r="J21" s="7" t="s">
        <v>163</v>
      </c>
      <c r="N21" t="e">
        <f>I35</f>
        <v>#VALUE!</v>
      </c>
      <c r="O21" t="e">
        <f>J35</f>
        <v>#VALUE!</v>
      </c>
    </row>
    <row r="22" spans="1:15" ht="20">
      <c r="A22" s="32" t="s">
        <v>59</v>
      </c>
      <c r="H22" s="3" t="s">
        <v>178</v>
      </c>
      <c r="I22" s="25">
        <f>VLOOKUP(H22,$A$14:$E$17,4,FALSE)</f>
        <v>4.4721359549995794E-2</v>
      </c>
      <c r="J22" s="25">
        <f>VLOOKUP(H22,$A$14:$E$17,5,FALSE)</f>
        <v>0.50759954989056688</v>
      </c>
      <c r="M22" s="3"/>
      <c r="N22" s="3" t="e">
        <f>N7</f>
        <v>#VALUE!</v>
      </c>
      <c r="O22" s="3" t="e">
        <f>O7</f>
        <v>#VALUE!</v>
      </c>
    </row>
    <row r="23" spans="1:15">
      <c r="A23" s="10" t="s">
        <v>173</v>
      </c>
      <c r="B23" t="s">
        <v>161</v>
      </c>
      <c r="C23" t="s">
        <v>163</v>
      </c>
      <c r="H23" s="3" t="s">
        <v>184</v>
      </c>
      <c r="I23">
        <f>VLOOKUP($H23,'EV of Far Future'!$K$3:$N$14,2,FALSE)</f>
        <v>5.1200000000000003E+36</v>
      </c>
      <c r="J23">
        <f>VLOOKUP($H23,'EV of Far Future'!$K$3:$N$14,3,FALSE)</f>
        <v>3.1212165842895159</v>
      </c>
      <c r="N23" t="e">
        <f>N15</f>
        <v>#VALUE!</v>
      </c>
      <c r="O23" t="e">
        <f>O15</f>
        <v>#VALUE!</v>
      </c>
    </row>
    <row r="24" spans="1:15">
      <c r="A24" s="8" t="s">
        <v>156</v>
      </c>
      <c r="B24" t="e">
        <f>N25</f>
        <v>#VALUE!</v>
      </c>
      <c r="C24" t="e">
        <f>O25</f>
        <v>#VALUE!</v>
      </c>
      <c r="H24" s="3" t="s">
        <v>66</v>
      </c>
      <c r="I24">
        <f>1/factory_farmed_animals</f>
        <v>5.0000000000000002E-11</v>
      </c>
      <c r="J24">
        <v>0</v>
      </c>
      <c r="M24" s="30" t="s">
        <v>172</v>
      </c>
      <c r="N24" s="31" t="str">
        <f>WriteArray(SumLognormDists(N19:O23))</f>
        <v>disabled</v>
      </c>
      <c r="O24" s="31" t="s">
        <v>153</v>
      </c>
    </row>
    <row r="25" spans="1:15">
      <c r="A25" s="16" t="s">
        <v>168</v>
      </c>
      <c r="B25" s="14" t="e">
        <f>EXP(MuFromParams(ABS(B24),C24))</f>
        <v>#VALUE!</v>
      </c>
      <c r="C25" s="14" t="e">
        <f>(SigmaFromParams(B24,C24) / LN(10))^2</f>
        <v>#VALUE!</v>
      </c>
      <c r="H25" s="3" t="s">
        <v>98</v>
      </c>
      <c r="I25" t="e">
        <f>$D$12</f>
        <v>#VALUE!</v>
      </c>
      <c r="J25" t="e">
        <f>$E$12</f>
        <v>#VALUE!</v>
      </c>
      <c r="M25" s="3" t="s">
        <v>156</v>
      </c>
      <c r="N25" s="3" t="e">
        <f>STupidExcelMean(N24)</f>
        <v>#VALUE!</v>
      </c>
      <c r="O25" s="3" t="e">
        <f>STupidExcelVariance(N24,N25)</f>
        <v>#VALUE!</v>
      </c>
    </row>
    <row r="26" spans="1:15">
      <c r="A26" s="36" t="s">
        <v>80</v>
      </c>
      <c r="B26" s="19" t="e">
        <f>ParetoPosterior(median,alpha,B25:C25)*SIGN(B24)</f>
        <v>#VALUE!</v>
      </c>
      <c r="H26" s="15" t="s">
        <v>52</v>
      </c>
      <c r="I26" s="14" t="e">
        <f>PRODUCT(I22:I25)</f>
        <v>#VALUE!</v>
      </c>
      <c r="J26" s="14" t="e">
        <f>SUM(J22:J25)</f>
        <v>#VALUE!</v>
      </c>
      <c r="M26" s="3"/>
      <c r="N26" s="3"/>
      <c r="O26" s="3"/>
    </row>
    <row r="27" spans="1:15">
      <c r="A27" s="36" t="s">
        <v>87</v>
      </c>
      <c r="B27" s="19" t="e">
        <f>LognormPosterior(mu_far_future,sigma_far_future,B25:C25)*SIGN(B24)</f>
        <v>#VALUE!</v>
      </c>
      <c r="H27" s="3"/>
      <c r="I27" s="3"/>
      <c r="M27" s="3"/>
      <c r="N27" s="3"/>
      <c r="O27" s="3"/>
    </row>
    <row r="28" spans="1:15">
      <c r="H28" s="3"/>
      <c r="I28" s="21"/>
      <c r="M28" s="3"/>
      <c r="N28" s="3"/>
      <c r="O28" s="3"/>
    </row>
    <row r="29" spans="1:15">
      <c r="A29" s="8"/>
      <c r="B29" s="3"/>
      <c r="C29" s="3"/>
      <c r="D29" s="3"/>
      <c r="H29" s="1" t="s">
        <v>84</v>
      </c>
      <c r="M29" s="3"/>
      <c r="N29" s="3"/>
      <c r="O29" s="3"/>
    </row>
    <row r="30" spans="1:15">
      <c r="A30" s="33" t="s">
        <v>85</v>
      </c>
      <c r="B30" s="4" t="e">
        <f>B26+I6</f>
        <v>#VALUE!</v>
      </c>
      <c r="C30" s="3"/>
      <c r="D30" s="3"/>
      <c r="I30" s="7" t="s">
        <v>161</v>
      </c>
      <c r="J30" s="7" t="s">
        <v>163</v>
      </c>
      <c r="M30" s="3"/>
      <c r="N30" s="21"/>
      <c r="O30" s="3"/>
    </row>
    <row r="31" spans="1:15">
      <c r="A31" s="33" t="s">
        <v>86</v>
      </c>
      <c r="B31" s="4" t="e">
        <f>B27+I7</f>
        <v>#VALUE!</v>
      </c>
      <c r="D31" s="3"/>
      <c r="H31" s="3" t="s">
        <v>136</v>
      </c>
      <c r="I31" s="25">
        <f>VLOOKUP(H31,$A$14:$E$17,4,FALSE)</f>
        <v>2.2360679774997897E-2</v>
      </c>
      <c r="J31" s="25">
        <f>VLOOKUP(H31,$A$14:$E$17,5,FALSE)</f>
        <v>0.50759954989056688</v>
      </c>
      <c r="M31" s="13"/>
      <c r="N31" s="3"/>
      <c r="O31" s="3"/>
    </row>
    <row r="32" spans="1:15">
      <c r="H32" s="3" t="s">
        <v>185</v>
      </c>
      <c r="I32">
        <f>VLOOKUP($H32,'EV of Far Future'!$K$3:$N$14,2,FALSE)</f>
        <v>1.6190861620062103E+40</v>
      </c>
      <c r="J32">
        <f>VLOOKUP($H32,'EV of Far Future'!$K$3:$N$14,3,FALSE)</f>
        <v>3.5113686573257055</v>
      </c>
      <c r="M32" s="3"/>
      <c r="N32" s="29"/>
      <c r="O32" s="29"/>
    </row>
    <row r="33" spans="2:15">
      <c r="B33" s="3"/>
      <c r="H33" s="3" t="s">
        <v>66</v>
      </c>
      <c r="I33">
        <f>1/factory_farmed_animals</f>
        <v>5.0000000000000002E-11</v>
      </c>
      <c r="J33">
        <v>0</v>
      </c>
      <c r="M33" s="3"/>
      <c r="N33" s="25"/>
      <c r="O33" s="3"/>
    </row>
    <row r="34" spans="2:15">
      <c r="B34" s="3"/>
      <c r="H34" s="3" t="s">
        <v>98</v>
      </c>
      <c r="I34" t="e">
        <f>$D$12</f>
        <v>#VALUE!</v>
      </c>
      <c r="J34" t="e">
        <f>$E$12</f>
        <v>#VALUE!</v>
      </c>
      <c r="M34" s="3"/>
      <c r="N34" s="3"/>
      <c r="O34" s="3"/>
    </row>
    <row r="35" spans="2:15">
      <c r="H35" s="15" t="s">
        <v>52</v>
      </c>
      <c r="I35" s="14" t="e">
        <f>PRODUCT(I31:I34)</f>
        <v>#VALUE!</v>
      </c>
      <c r="J35" s="14" t="e">
        <f>SUM(J31:J34)</f>
        <v>#VALUE!</v>
      </c>
      <c r="M35" s="3"/>
      <c r="N35" s="3"/>
      <c r="O35" s="3"/>
    </row>
    <row r="36" spans="2:15">
      <c r="H36" s="3"/>
      <c r="I36" s="3"/>
      <c r="M36" s="3"/>
      <c r="N36" s="3"/>
      <c r="O36" s="3"/>
    </row>
    <row r="37" spans="2:15">
      <c r="H37" s="3"/>
      <c r="I37" s="21"/>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J9"/>
  <sheetViews>
    <sheetView workbookViewId="0">
      <selection activeCell="I8" sqref="I8"/>
    </sheetView>
  </sheetViews>
  <sheetFormatPr baseColWidth="10" defaultRowHeight="15" x14ac:dyDescent="0"/>
  <cols>
    <col min="1" max="1" width="21.6640625" style="130" customWidth="1"/>
    <col min="4" max="4" width="12.1640625" bestFit="1" customWidth="1"/>
    <col min="8" max="8" width="21.6640625" customWidth="1"/>
  </cols>
  <sheetData>
    <row r="1" spans="1:10" ht="20">
      <c r="A1" s="128" t="s">
        <v>124</v>
      </c>
      <c r="H1" s="1" t="s">
        <v>63</v>
      </c>
    </row>
    <row r="2" spans="1:10">
      <c r="B2" s="129" t="s">
        <v>0</v>
      </c>
      <c r="C2" s="129" t="s">
        <v>1</v>
      </c>
      <c r="D2" s="129" t="s">
        <v>161</v>
      </c>
      <c r="E2" s="129" t="s">
        <v>163</v>
      </c>
      <c r="F2" s="129" t="s">
        <v>27</v>
      </c>
      <c r="I2" s="129" t="s">
        <v>161</v>
      </c>
      <c r="J2" s="129" t="s">
        <v>163</v>
      </c>
    </row>
    <row r="3" spans="1:10">
      <c r="A3" s="42" t="s">
        <v>245</v>
      </c>
      <c r="B3" s="136">
        <v>2</v>
      </c>
      <c r="C3" s="136">
        <v>3</v>
      </c>
      <c r="D3" s="103"/>
      <c r="E3" s="103"/>
      <c r="F3" s="103" t="s">
        <v>268</v>
      </c>
      <c r="H3" s="127" t="s">
        <v>244</v>
      </c>
      <c r="I3">
        <f>D9</f>
        <v>295803.98915498087</v>
      </c>
      <c r="J3">
        <f>E9</f>
        <v>0.31528753718843733</v>
      </c>
    </row>
    <row r="4" spans="1:10">
      <c r="A4" s="87" t="s">
        <v>243</v>
      </c>
      <c r="B4" s="131">
        <f>1/C3</f>
        <v>0.33333333333333331</v>
      </c>
      <c r="C4" s="131">
        <f>1/B3</f>
        <v>0.5</v>
      </c>
      <c r="D4" s="103">
        <f>GEOMEAN(B4,C4)</f>
        <v>0.40824829046386302</v>
      </c>
      <c r="E4" s="103">
        <f>LogVariance(B4,C4)</f>
        <v>6.8702369764126706E-2</v>
      </c>
      <c r="F4" s="103"/>
      <c r="H4" s="127" t="s">
        <v>119</v>
      </c>
      <c r="I4">
        <f>Globals!K24</f>
        <v>0.3</v>
      </c>
      <c r="J4">
        <f>Globals!L24</f>
        <v>0</v>
      </c>
    </row>
    <row r="5" spans="1:10" ht="45">
      <c r="A5" s="46" t="s">
        <v>269</v>
      </c>
      <c r="B5" s="132">
        <v>5</v>
      </c>
      <c r="C5" s="132">
        <v>10</v>
      </c>
      <c r="D5" s="103">
        <f t="shared" ref="D5:D6" si="0">GEOMEAN(B5,C5)</f>
        <v>7.0710678118654755</v>
      </c>
      <c r="E5" s="103">
        <f t="shared" ref="E5:E6" si="1">LogVariance(B5,C5)</f>
        <v>0.11744747685437738</v>
      </c>
      <c r="F5" s="103" t="s">
        <v>241</v>
      </c>
      <c r="H5" s="134" t="s">
        <v>52</v>
      </c>
      <c r="I5" s="14">
        <f>I3*I4</f>
        <v>88741.196746494257</v>
      </c>
      <c r="J5" s="14">
        <f>J3+J4</f>
        <v>0.31528753718843733</v>
      </c>
    </row>
    <row r="6" spans="1:10" ht="30">
      <c r="A6" s="46" t="s">
        <v>270</v>
      </c>
      <c r="B6" s="137">
        <v>100</v>
      </c>
      <c r="C6" s="137">
        <v>150</v>
      </c>
      <c r="D6" s="103">
        <f t="shared" si="0"/>
        <v>122.47448713915891</v>
      </c>
      <c r="E6" s="103">
        <f t="shared" si="1"/>
        <v>6.8702369764126706E-2</v>
      </c>
      <c r="F6" s="103"/>
      <c r="H6" s="135" t="s">
        <v>80</v>
      </c>
      <c r="I6" s="19">
        <f>ParetoPosterior(median,alpha,I5:J5)</f>
        <v>16679.269175199799</v>
      </c>
    </row>
    <row r="7" spans="1:10" ht="45">
      <c r="A7" s="46" t="s">
        <v>271</v>
      </c>
      <c r="B7" s="132">
        <v>0.7</v>
      </c>
      <c r="C7" s="132">
        <v>1</v>
      </c>
      <c r="D7" s="103">
        <f t="shared" ref="D7" si="2">GEOMEAN(B7,C7)</f>
        <v>0.83666002653407556</v>
      </c>
      <c r="E7" s="103">
        <f t="shared" ref="E7" si="3">LogVariance(B7,C7)</f>
        <v>6.0435320805806568E-2</v>
      </c>
      <c r="F7" s="103"/>
      <c r="H7" s="135" t="s">
        <v>87</v>
      </c>
      <c r="I7" s="19" t="str">
        <f>LognormPosterior(mu_factory_farming,sigma_factory_farming,I5:J5)</f>
        <v>disabled</v>
      </c>
    </row>
    <row r="8" spans="1:10">
      <c r="A8" s="90" t="s">
        <v>242</v>
      </c>
      <c r="B8" s="133"/>
      <c r="C8" s="133"/>
      <c r="D8" s="103">
        <f>PRODUCT(D4:D7)</f>
        <v>295.80398915498085</v>
      </c>
      <c r="E8" s="103">
        <f>SUM(E4:E7)</f>
        <v>0.31528753718843733</v>
      </c>
      <c r="F8" s="103"/>
    </row>
    <row r="9" spans="1:10" ht="30">
      <c r="A9" s="130" t="s">
        <v>244</v>
      </c>
      <c r="D9" s="103">
        <f>D8*1000</f>
        <v>295803.98915498087</v>
      </c>
      <c r="E9" s="103">
        <f>E8</f>
        <v>0.31528753718843733</v>
      </c>
      <c r="F9"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K21" sqref="K21"/>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110</v>
      </c>
      <c r="B1" t="s">
        <v>125</v>
      </c>
      <c r="G1" s="99" t="s">
        <v>107</v>
      </c>
      <c r="H1" t="s">
        <v>125</v>
      </c>
      <c r="I1" t="s">
        <v>283</v>
      </c>
      <c r="M1" s="1"/>
    </row>
    <row r="2" spans="1:15">
      <c r="A2" s="57"/>
      <c r="B2" s="44" t="s">
        <v>0</v>
      </c>
      <c r="C2" s="44" t="s">
        <v>1</v>
      </c>
      <c r="D2" s="44" t="s">
        <v>161</v>
      </c>
      <c r="E2" s="44" t="s">
        <v>163</v>
      </c>
      <c r="H2" s="44" t="s">
        <v>0</v>
      </c>
      <c r="I2" s="44" t="s">
        <v>1</v>
      </c>
      <c r="J2" s="44" t="s">
        <v>161</v>
      </c>
      <c r="K2" s="44" t="s">
        <v>163</v>
      </c>
    </row>
    <row r="3" spans="1:15">
      <c r="A3" s="91" t="s">
        <v>104</v>
      </c>
      <c r="B3" s="92">
        <v>70000</v>
      </c>
      <c r="C3" s="92">
        <v>150000</v>
      </c>
      <c r="D3" s="44"/>
      <c r="E3" s="44"/>
      <c r="F3" t="s">
        <v>216</v>
      </c>
      <c r="G3" s="42" t="s">
        <v>100</v>
      </c>
      <c r="H3" s="43">
        <v>0.03</v>
      </c>
      <c r="I3" s="43">
        <v>0.3</v>
      </c>
      <c r="J3" s="44">
        <f>GEOMEAN(H3,I3)</f>
        <v>9.4868329805051374E-2</v>
      </c>
      <c r="K3" s="44">
        <f>LogVariance(H3,I3)</f>
        <v>0.39015207303618948</v>
      </c>
      <c r="L3" s="103" t="s">
        <v>202</v>
      </c>
    </row>
    <row r="4" spans="1:15" ht="30">
      <c r="A4" s="57" t="s">
        <v>105</v>
      </c>
      <c r="B4" s="44">
        <f>1/C3</f>
        <v>6.6666666666666666E-6</v>
      </c>
      <c r="C4" s="44">
        <f>1/B3</f>
        <v>1.4285714285714285E-5</v>
      </c>
      <c r="D4" s="44">
        <f>GEOMEAN(B4,C4)</f>
        <v>9.7590007294853309E-6</v>
      </c>
      <c r="E4" s="44">
        <f>LogVariance(B4,C4)</f>
        <v>0.12913769056993327</v>
      </c>
      <c r="G4" s="46" t="s">
        <v>103</v>
      </c>
      <c r="H4" s="47">
        <v>200</v>
      </c>
      <c r="I4" s="47">
        <v>10000</v>
      </c>
      <c r="J4" s="44"/>
      <c r="K4" s="44"/>
      <c r="L4" s="103" t="s">
        <v>208</v>
      </c>
    </row>
    <row r="5" spans="1:15" ht="30">
      <c r="G5" s="87" t="s">
        <v>132</v>
      </c>
      <c r="H5" s="86">
        <f>1/I4</f>
        <v>1E-4</v>
      </c>
      <c r="I5" s="86">
        <f>1/H4</f>
        <v>5.0000000000000001E-3</v>
      </c>
      <c r="J5" s="44">
        <f>GEOMEAN(H5,I5)</f>
        <v>7.0710678118654762E-4</v>
      </c>
      <c r="K5" s="44">
        <f>LogVariance(H5,I5)</f>
        <v>0.66285666921800146</v>
      </c>
      <c r="L5" s="103"/>
    </row>
    <row r="6" spans="1:15" ht="30">
      <c r="G6" s="46" t="s">
        <v>101</v>
      </c>
      <c r="H6" s="47">
        <v>1</v>
      </c>
      <c r="I6" s="47">
        <v>3</v>
      </c>
      <c r="J6" s="44">
        <f>GEOMEAN(H6,I6)</f>
        <v>1.7320508075688774</v>
      </c>
      <c r="K6" s="44">
        <f>LogVariance(H6,I6)</f>
        <v>0.18614984661850412</v>
      </c>
      <c r="L6" s="103" t="s">
        <v>272</v>
      </c>
    </row>
    <row r="7" spans="1:15" ht="45">
      <c r="G7" s="46" t="s">
        <v>273</v>
      </c>
      <c r="H7" s="47">
        <v>0.1</v>
      </c>
      <c r="I7" s="47">
        <v>0.7</v>
      </c>
      <c r="J7" s="44">
        <f>GEOMEAN(H7,I7)</f>
        <v>0.26457513110645903</v>
      </c>
      <c r="K7" s="44">
        <f>LogVariance(H7,I7)</f>
        <v>0.32971675223038288</v>
      </c>
      <c r="L7" s="103"/>
      <c r="M7" s="25"/>
      <c r="N7" s="3"/>
      <c r="O7" s="3"/>
    </row>
    <row r="8" spans="1:15">
      <c r="G8" s="63" t="s">
        <v>111</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146</v>
      </c>
      <c r="O9" s="3"/>
    </row>
    <row r="10" spans="1:15">
      <c r="A10" s="10" t="s">
        <v>118</v>
      </c>
      <c r="G10" s="57"/>
      <c r="H10" s="44"/>
      <c r="I10" s="44"/>
      <c r="J10" s="44"/>
      <c r="K10" s="44"/>
      <c r="L10" s="103"/>
      <c r="M10" s="3"/>
      <c r="O10" s="3"/>
    </row>
    <row r="11" spans="1:15">
      <c r="A11" s="37" t="s">
        <v>174</v>
      </c>
      <c r="B11" s="38" t="e">
        <f>ParetoPosterior(median,alpha,H26:I26)</f>
        <v>#VALUE!</v>
      </c>
      <c r="G11" s="98" t="s">
        <v>108</v>
      </c>
      <c r="H11" s="54" t="s">
        <v>125</v>
      </c>
      <c r="I11" s="44"/>
      <c r="J11" s="44"/>
      <c r="K11" s="44"/>
      <c r="L11" s="103"/>
      <c r="M11" s="3"/>
      <c r="N11" s="3"/>
      <c r="O11" s="3"/>
    </row>
    <row r="12" spans="1:15" ht="30">
      <c r="A12" s="37" t="s">
        <v>175</v>
      </c>
      <c r="B12" s="38" t="str">
        <f>LognormPosterior(mu_far_future,sigma_far_future,H26:I26)</f>
        <v>disabled</v>
      </c>
      <c r="G12" s="79"/>
      <c r="H12" s="74" t="s">
        <v>0</v>
      </c>
      <c r="I12" s="74" t="s">
        <v>1</v>
      </c>
      <c r="J12" s="44" t="s">
        <v>161</v>
      </c>
      <c r="K12" s="44" t="s">
        <v>163</v>
      </c>
      <c r="L12" s="103"/>
      <c r="M12" s="3"/>
      <c r="N12" s="26"/>
      <c r="O12" s="26"/>
    </row>
    <row r="13" spans="1:15">
      <c r="A13" s="35"/>
      <c r="B13" s="34"/>
      <c r="G13" s="42" t="s">
        <v>102</v>
      </c>
      <c r="H13" s="50">
        <v>1000000</v>
      </c>
      <c r="I13" s="50">
        <v>10000000000</v>
      </c>
      <c r="J13" s="44">
        <f>GEOMEAN(H13,I13)</f>
        <v>100000000</v>
      </c>
      <c r="K13" s="44">
        <f>LogVariance(H13,I13)</f>
        <v>1.5606082921447579</v>
      </c>
      <c r="L13" s="103" t="s">
        <v>279</v>
      </c>
      <c r="M13" s="3"/>
      <c r="N13" s="3"/>
      <c r="O13" s="3"/>
    </row>
    <row r="14" spans="1:15" ht="30">
      <c r="G14" s="46" t="s">
        <v>274</v>
      </c>
      <c r="H14" s="47">
        <v>2000</v>
      </c>
      <c r="I14" s="47">
        <v>2000</v>
      </c>
      <c r="J14" s="44">
        <f>GEOMEAN(H14,I14)</f>
        <v>2000</v>
      </c>
      <c r="K14" s="44">
        <f>LogVariance(H14,I14)</f>
        <v>0</v>
      </c>
      <c r="L14" s="103"/>
      <c r="M14" s="3"/>
      <c r="N14" s="3"/>
      <c r="O14" s="3"/>
    </row>
    <row r="15" spans="1:15">
      <c r="A15" s="22"/>
      <c r="B15" s="3"/>
      <c r="G15" s="85" t="s">
        <v>112</v>
      </c>
      <c r="H15" s="89">
        <f>1/I13</f>
        <v>1E-10</v>
      </c>
      <c r="I15" s="89">
        <f>1/H13</f>
        <v>9.9999999999999995E-7</v>
      </c>
      <c r="J15" s="44">
        <f>GEOMEAN(H15,I15)</f>
        <v>1E-8</v>
      </c>
      <c r="K15" s="44">
        <f>LogVariance(H15,I15)</f>
        <v>1.5606082921447579</v>
      </c>
      <c r="L15" s="103"/>
      <c r="M15" s="25"/>
      <c r="N15" s="3"/>
      <c r="O15" s="3"/>
    </row>
    <row r="16" spans="1:15">
      <c r="A16" s="8"/>
      <c r="B16" s="3"/>
      <c r="G16" s="90" t="s">
        <v>111</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113</v>
      </c>
      <c r="L19" s="103"/>
      <c r="M19" s="3"/>
      <c r="N19" s="3"/>
      <c r="O19" s="3"/>
    </row>
    <row r="20" spans="1:15">
      <c r="A20" s="22"/>
      <c r="B20" s="3"/>
      <c r="G20" s="5" t="s">
        <v>111</v>
      </c>
      <c r="J20">
        <f>GEOMEAN(J8,J16)</f>
        <v>2.4197934700488798E-7</v>
      </c>
      <c r="K20">
        <f>AVERAGE(K8,K16)</f>
        <v>1.6938795071938513</v>
      </c>
      <c r="L20" s="103" t="s">
        <v>280</v>
      </c>
      <c r="M20" s="3"/>
      <c r="N20" s="3"/>
      <c r="O20" s="3"/>
    </row>
    <row r="21" spans="1:15">
      <c r="A21" s="8"/>
      <c r="B21" s="3"/>
      <c r="L21" s="103"/>
    </row>
    <row r="22" spans="1:15">
      <c r="A22" s="8"/>
      <c r="B22" s="3"/>
      <c r="L22" s="103"/>
    </row>
    <row r="23" spans="1:15">
      <c r="H23" s="7" t="s">
        <v>161</v>
      </c>
      <c r="I23" s="7" t="s">
        <v>162</v>
      </c>
      <c r="L23" s="103"/>
    </row>
    <row r="24" spans="1:15">
      <c r="G24" s="5" t="s">
        <v>111</v>
      </c>
      <c r="H24">
        <f>J20</f>
        <v>2.4197934700488798E-7</v>
      </c>
      <c r="I24">
        <f>K20</f>
        <v>1.6938795071938513</v>
      </c>
      <c r="J24" s="3"/>
      <c r="K24" s="3"/>
      <c r="L24" s="143"/>
      <c r="M24" s="3"/>
    </row>
    <row r="25" spans="1:15">
      <c r="G25" s="8" t="s">
        <v>109</v>
      </c>
      <c r="H25" t="e">
        <f>'EV of Far Future'!L19</f>
        <v>#VALUE!</v>
      </c>
      <c r="I25" t="e">
        <f>'EV of Far Future'!M19</f>
        <v>#VALUE!</v>
      </c>
      <c r="J25" s="3"/>
      <c r="K25" s="3"/>
      <c r="L25" s="143"/>
      <c r="M25" s="3"/>
    </row>
    <row r="26" spans="1:15">
      <c r="G26" s="16" t="s">
        <v>52</v>
      </c>
      <c r="H26" s="14" t="e">
        <f>PRODUCT(H24:H25)</f>
        <v>#VALUE!</v>
      </c>
      <c r="I26" s="14" t="e">
        <f>SUM(I24:I25)</f>
        <v>#VALUE!</v>
      </c>
      <c r="J26" s="3"/>
      <c r="K26" s="3"/>
      <c r="L26" s="143"/>
      <c r="M26" s="3"/>
    </row>
    <row r="27" spans="1:15">
      <c r="G27" s="8"/>
      <c r="H27" s="3"/>
      <c r="I27" s="3"/>
      <c r="J27" s="3"/>
      <c r="K27" s="3"/>
      <c r="L27" s="143"/>
      <c r="M27" s="3"/>
    </row>
    <row r="28" spans="1:15">
      <c r="G28" s="8"/>
      <c r="H28" s="3"/>
      <c r="I28" s="3"/>
      <c r="J28" s="3"/>
      <c r="K28" s="3"/>
      <c r="L28" s="143"/>
      <c r="M28" s="3"/>
    </row>
    <row r="29" spans="1:15">
      <c r="G29" s="22" t="s">
        <v>254</v>
      </c>
      <c r="H29" s="44" t="s">
        <v>0</v>
      </c>
      <c r="I29" s="44" t="s">
        <v>1</v>
      </c>
      <c r="J29" s="44" t="s">
        <v>161</v>
      </c>
      <c r="K29" s="44" t="s">
        <v>163</v>
      </c>
      <c r="L29" s="143" t="s">
        <v>215</v>
      </c>
      <c r="M29" s="3"/>
    </row>
    <row r="30" spans="1:15" ht="30">
      <c r="G30" s="91" t="s">
        <v>217</v>
      </c>
      <c r="H30" s="3">
        <v>0.1</v>
      </c>
      <c r="I30" s="3">
        <v>0.1</v>
      </c>
      <c r="J30" s="3"/>
      <c r="K30" s="3"/>
      <c r="L30" s="143" t="s">
        <v>220</v>
      </c>
      <c r="M30" s="3"/>
    </row>
    <row r="31" spans="1:15">
      <c r="G31" s="91" t="s">
        <v>218</v>
      </c>
      <c r="H31" s="3">
        <v>2040</v>
      </c>
      <c r="I31" s="3">
        <v>2100</v>
      </c>
      <c r="J31" s="3"/>
      <c r="K31" s="3"/>
      <c r="L31" s="143"/>
      <c r="M31" s="3"/>
    </row>
    <row r="32" spans="1:15">
      <c r="G32" s="91" t="s">
        <v>219</v>
      </c>
      <c r="H32" s="3">
        <f ca="1">H31-YEAR(TODAY())</f>
        <v>24</v>
      </c>
      <c r="I32" s="3">
        <f ca="1">I31-YEAR(TODAY())</f>
        <v>84</v>
      </c>
      <c r="J32" s="3"/>
      <c r="K32" s="3"/>
      <c r="L32" s="143"/>
      <c r="M32" s="3"/>
    </row>
    <row r="33" spans="7:12" ht="30">
      <c r="G33" s="8" t="s">
        <v>221</v>
      </c>
      <c r="H33">
        <f ca="1">H4/LN(1+H30)*(1-1/((1+H30)^H32))</f>
        <v>1885.3692309674122</v>
      </c>
      <c r="I33">
        <f ca="1">I4/LN(1+I30)*(1-1/((1+I30)^I32))</f>
        <v>104885.60241393384</v>
      </c>
      <c r="J33" s="44">
        <f ca="1">GEOMEAN(H33,I33)</f>
        <v>14062.293111819003</v>
      </c>
      <c r="K33" s="44">
        <f ca="1">LogVariance(H33,I33)</f>
        <v>0.68094000612010941</v>
      </c>
      <c r="L33" s="103" t="s">
        <v>222</v>
      </c>
    </row>
    <row r="34" spans="7:12" ht="45">
      <c r="G34" s="5" t="s">
        <v>223</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tabSelected="1"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124</v>
      </c>
      <c r="H1" s="1" t="s">
        <v>141</v>
      </c>
    </row>
    <row r="2" spans="1:10">
      <c r="B2" s="44" t="s">
        <v>0</v>
      </c>
      <c r="C2" s="44" t="s">
        <v>1</v>
      </c>
      <c r="D2" s="44" t="s">
        <v>161</v>
      </c>
      <c r="E2" s="44" t="s">
        <v>163</v>
      </c>
      <c r="F2" s="44" t="s">
        <v>27</v>
      </c>
      <c r="I2" t="s">
        <v>161</v>
      </c>
      <c r="J2" s="44" t="s">
        <v>163</v>
      </c>
    </row>
    <row r="3" spans="1:10">
      <c r="A3" s="94" t="s">
        <v>127</v>
      </c>
      <c r="B3" s="43">
        <v>0.1</v>
      </c>
      <c r="C3" s="43">
        <v>0.5</v>
      </c>
      <c r="D3" s="74">
        <f>GEOMEAN(B3,C3)</f>
        <v>0.22360679774997896</v>
      </c>
      <c r="E3" s="74">
        <f>LogVariance(B3,C3)</f>
        <v>0.27270459618181209</v>
      </c>
      <c r="F3" s="39"/>
      <c r="H3" t="s">
        <v>182</v>
      </c>
      <c r="I3">
        <f>VLOOKUP(H3,'EV of Far Future'!$K$3:$M$14,2,FALSE)</f>
        <v>6.3245553203367595E+46</v>
      </c>
      <c r="J3">
        <f>VLOOKUP(H3,'EV of Far Future'!$K$3:$M$14,3,FALSE)</f>
        <v>3.5113686573257055</v>
      </c>
    </row>
    <row r="4" spans="1:10" ht="30">
      <c r="A4" s="95" t="s">
        <v>131</v>
      </c>
      <c r="B4" s="47">
        <v>0.2</v>
      </c>
      <c r="C4" s="47">
        <v>0.8</v>
      </c>
      <c r="D4" s="74">
        <f>GEOMEAN(B4,C4)</f>
        <v>0.4</v>
      </c>
      <c r="E4" s="74">
        <f>LogVariance(B4,C4)</f>
        <v>0.23489495370875477</v>
      </c>
      <c r="F4" s="39"/>
      <c r="H4" t="s">
        <v>183</v>
      </c>
      <c r="I4">
        <f>VLOOKUP(H4,'EV of Far Future'!$K$3:$M$14,2,FALSE)</f>
        <v>1.2649110640673518E+46</v>
      </c>
      <c r="J4">
        <f>VLOOKUP(H4,'EV of Far Future'!$K$3:$M$14,3,FALSE)</f>
        <v>3.5113686573257055</v>
      </c>
    </row>
    <row r="5" spans="1:10" ht="30" customHeight="1">
      <c r="A5" s="101" t="s">
        <v>204</v>
      </c>
      <c r="B5" s="102">
        <v>0.1</v>
      </c>
      <c r="C5" s="102">
        <v>0.6</v>
      </c>
      <c r="D5" s="74">
        <f>GEOMEAN(B5,C5)</f>
        <v>0.2449489742783178</v>
      </c>
      <c r="E5" s="74">
        <f>LogVariance(B5,C5)</f>
        <v>0.30359732347288149</v>
      </c>
      <c r="F5" s="39"/>
      <c r="H5" t="s">
        <v>187</v>
      </c>
      <c r="I5">
        <f>VLOOKUP(H5,'EV of Far Future'!$K$3:$M$14,2,FALSE)</f>
        <v>5.4644157967709579E+33</v>
      </c>
      <c r="J5">
        <f>VLOOKUP(H5,'EV of Far Future'!$K$3:$M$14,3,FALSE)</f>
        <v>2.7310645112533267</v>
      </c>
    </row>
    <row r="6" spans="1:10" ht="45">
      <c r="A6" s="46" t="s">
        <v>205</v>
      </c>
      <c r="B6" s="47">
        <v>5000</v>
      </c>
      <c r="C6" s="47">
        <v>100000</v>
      </c>
      <c r="D6" s="44"/>
      <c r="E6" s="44"/>
      <c r="F6" s="39" t="s">
        <v>207</v>
      </c>
      <c r="H6" t="s">
        <v>184</v>
      </c>
      <c r="I6">
        <f>VLOOKUP(H6,'EV of Far Future'!$K$3:$M$14,2,FALSE)</f>
        <v>5.1200000000000003E+36</v>
      </c>
      <c r="J6">
        <f>VLOOKUP(H6,'EV of Far Future'!$K$3:$M$14,3,FALSE)</f>
        <v>3.1212165842895159</v>
      </c>
    </row>
    <row r="7" spans="1:10" ht="30">
      <c r="A7" s="87" t="s">
        <v>206</v>
      </c>
      <c r="B7" s="86">
        <f>1/C6</f>
        <v>1.0000000000000001E-5</v>
      </c>
      <c r="C7" s="86">
        <f>1/B6</f>
        <v>2.0000000000000001E-4</v>
      </c>
      <c r="D7" s="74">
        <f>GEOMEAN(B7,C7)</f>
        <v>4.4721359549995795E-5</v>
      </c>
      <c r="E7" s="74">
        <f>LogVariance(B7,C7)</f>
        <v>0.50759954989056688</v>
      </c>
      <c r="F7" s="39"/>
      <c r="H7" t="s">
        <v>185</v>
      </c>
      <c r="I7">
        <f>VLOOKUP(H7,'EV of Far Future'!$K$3:$M$14,2,FALSE)</f>
        <v>1.6190861620062103E+40</v>
      </c>
      <c r="J7">
        <f>VLOOKUP(H7,'EV of Far Future'!$K$3:$M$14,3,FALSE)</f>
        <v>3.5113686573257055</v>
      </c>
    </row>
    <row r="8" spans="1:10" ht="30">
      <c r="A8" s="46" t="s">
        <v>129</v>
      </c>
      <c r="B8" s="47">
        <v>0.5</v>
      </c>
      <c r="C8" s="47">
        <v>5</v>
      </c>
      <c r="D8" s="74">
        <f>GEOMEAN(B8,C8)</f>
        <v>1.5811388300841898</v>
      </c>
      <c r="E8" s="74">
        <f>LogVariance(B8,C8)</f>
        <v>0.39015207303618948</v>
      </c>
      <c r="F8" s="39" t="s">
        <v>275</v>
      </c>
      <c r="H8" t="s">
        <v>186</v>
      </c>
      <c r="I8">
        <f>VLOOKUP(H8,'EV of Far Future'!$K$3:$M$14,2,FALSE)</f>
        <v>3.8399999999999992E+38</v>
      </c>
      <c r="J8">
        <f>VLOOKUP(H8,'EV of Far Future'!$K$3:$M$14,3,FALSE)</f>
        <v>4.6818248764342734</v>
      </c>
    </row>
    <row r="9" spans="1:10" ht="45">
      <c r="A9" s="46" t="s">
        <v>130</v>
      </c>
      <c r="B9" s="47">
        <v>1000</v>
      </c>
      <c r="C9" s="47">
        <v>100000</v>
      </c>
      <c r="D9" s="74"/>
      <c r="E9" s="74"/>
      <c r="F9" s="39"/>
    </row>
    <row r="10" spans="1:10">
      <c r="A10" s="85" t="s">
        <v>133</v>
      </c>
      <c r="B10" s="86">
        <f>1000/C9</f>
        <v>0.01</v>
      </c>
      <c r="C10" s="86">
        <f>1000/B9</f>
        <v>1</v>
      </c>
      <c r="D10" s="74">
        <f>GEOMEAN(B10,C10)</f>
        <v>0.1</v>
      </c>
      <c r="E10" s="74">
        <f>LogVariance(B10,C10)</f>
        <v>0.78030414607237897</v>
      </c>
      <c r="F10" s="39"/>
      <c r="H10" s="15" t="s">
        <v>181</v>
      </c>
      <c r="I10" s="14">
        <f t="shared" ref="I10:I15" si="0">D13*I3</f>
        <v>1.4142135623730952E+45</v>
      </c>
      <c r="J10" s="14">
        <f t="shared" ref="J10:J15" si="1">E13+J3</f>
        <v>3.7840732535075174</v>
      </c>
    </row>
    <row r="11" spans="1:10" ht="45">
      <c r="A11" s="85" t="s">
        <v>134</v>
      </c>
      <c r="B11" s="86"/>
      <c r="C11" s="86"/>
      <c r="D11" s="74">
        <f>PRODUCT(D3:D8)*D10</f>
        <v>1.5491933384829672E-7</v>
      </c>
      <c r="E11" s="74">
        <f>SUM(E3:E8)+E10</f>
        <v>2.489252642362584</v>
      </c>
      <c r="F11" s="39"/>
      <c r="H11" s="15" t="s">
        <v>137</v>
      </c>
      <c r="I11" s="14">
        <f t="shared" si="0"/>
        <v>4.0000000000000004E+44</v>
      </c>
      <c r="J11" s="14">
        <f t="shared" si="1"/>
        <v>3.9015207303618951</v>
      </c>
    </row>
    <row r="12" spans="1:10">
      <c r="A12" s="85"/>
      <c r="B12" s="86"/>
      <c r="C12" s="86"/>
      <c r="D12" s="74"/>
      <c r="E12" s="74"/>
      <c r="F12" s="39"/>
      <c r="H12" s="15" t="s">
        <v>192</v>
      </c>
      <c r="I12" s="14">
        <f t="shared" si="0"/>
        <v>5.4644157967709579E+33</v>
      </c>
      <c r="J12" s="14">
        <f t="shared" si="1"/>
        <v>2.7310645112533267</v>
      </c>
    </row>
    <row r="13" spans="1:10" ht="60">
      <c r="A13" s="46" t="s">
        <v>276</v>
      </c>
      <c r="B13" s="47">
        <v>0.01</v>
      </c>
      <c r="C13" s="47">
        <v>0.05</v>
      </c>
      <c r="D13" s="74">
        <f t="shared" ref="D13:D18" si="2">GEOMEAN(B13,C13)</f>
        <v>2.2360679774997897E-2</v>
      </c>
      <c r="E13" s="74">
        <f t="shared" ref="E13:E18" si="3">LogVariance(B13,C13)</f>
        <v>0.27270459618181209</v>
      </c>
      <c r="F13" s="39"/>
      <c r="H13" s="15" t="s">
        <v>138</v>
      </c>
      <c r="I13" s="14">
        <f t="shared" si="0"/>
        <v>1.0240000000000001E+36</v>
      </c>
      <c r="J13" s="14">
        <f t="shared" si="1"/>
        <v>3.3561115379982707</v>
      </c>
    </row>
    <row r="14" spans="1:10" ht="30">
      <c r="A14" s="46" t="s">
        <v>277</v>
      </c>
      <c r="B14" s="47">
        <v>0.01</v>
      </c>
      <c r="C14" s="47">
        <v>0.1</v>
      </c>
      <c r="D14" s="74">
        <f t="shared" si="2"/>
        <v>3.1622776601683791E-2</v>
      </c>
      <c r="E14" s="74">
        <f t="shared" si="3"/>
        <v>0.39015207303618948</v>
      </c>
      <c r="F14" s="39"/>
      <c r="H14" s="15" t="s">
        <v>139</v>
      </c>
      <c r="I14" s="14">
        <f t="shared" si="0"/>
        <v>1.6190861620062104E+39</v>
      </c>
      <c r="J14" s="14">
        <f t="shared" si="1"/>
        <v>3.7462636110344603</v>
      </c>
    </row>
    <row r="15" spans="1:10" ht="30">
      <c r="A15" s="46" t="s">
        <v>278</v>
      </c>
      <c r="B15" s="47">
        <v>1</v>
      </c>
      <c r="C15" s="47">
        <v>1</v>
      </c>
      <c r="D15" s="74">
        <f t="shared" si="2"/>
        <v>1</v>
      </c>
      <c r="E15" s="74">
        <f t="shared" si="3"/>
        <v>0</v>
      </c>
      <c r="F15" s="39"/>
      <c r="H15" s="15" t="s">
        <v>140</v>
      </c>
      <c r="I15" s="14">
        <f t="shared" si="0"/>
        <v>3.8399999999999994E+37</v>
      </c>
      <c r="J15" s="14">
        <f t="shared" si="1"/>
        <v>4.9167198301430277</v>
      </c>
    </row>
    <row r="16" spans="1:10" ht="30">
      <c r="A16" s="46" t="s">
        <v>135</v>
      </c>
      <c r="B16" s="47">
        <v>0.1</v>
      </c>
      <c r="C16" s="47">
        <v>0.4</v>
      </c>
      <c r="D16" s="74">
        <f t="shared" si="2"/>
        <v>0.2</v>
      </c>
      <c r="E16" s="74">
        <f t="shared" si="3"/>
        <v>0.23489495370875477</v>
      </c>
      <c r="F16" s="39"/>
      <c r="H16" s="30" t="s">
        <v>172</v>
      </c>
      <c r="I16" s="31" t="str">
        <f>WriteArray(SumLognormDists(I10:J15))</f>
        <v>disabled</v>
      </c>
      <c r="J16" s="31" t="s">
        <v>153</v>
      </c>
    </row>
    <row r="17" spans="1:12" ht="30">
      <c r="A17" s="46" t="s">
        <v>136</v>
      </c>
      <c r="B17" s="47">
        <v>0.05</v>
      </c>
      <c r="C17" s="47">
        <v>0.2</v>
      </c>
      <c r="D17" s="74">
        <f t="shared" si="2"/>
        <v>0.1</v>
      </c>
      <c r="E17" s="74">
        <f t="shared" si="3"/>
        <v>0.23489495370875477</v>
      </c>
      <c r="F17" s="39"/>
      <c r="H17" s="3" t="s">
        <v>156</v>
      </c>
      <c r="I17" s="3" t="e">
        <f>STupidExcelMean(I16)</f>
        <v>#VALUE!</v>
      </c>
      <c r="J17" s="3" t="e">
        <f>STupidExcelVariance(I16,I17)</f>
        <v>#VALUE!</v>
      </c>
      <c r="K17" s="3"/>
      <c r="L17" s="3"/>
    </row>
    <row r="18" spans="1:12" ht="30">
      <c r="A18" s="46" t="s">
        <v>128</v>
      </c>
      <c r="B18" s="47">
        <v>0.05</v>
      </c>
      <c r="C18" s="47">
        <v>0.2</v>
      </c>
      <c r="D18" s="74">
        <f t="shared" si="2"/>
        <v>0.1</v>
      </c>
      <c r="E18" s="74">
        <f t="shared" si="3"/>
        <v>0.23489495370875477</v>
      </c>
      <c r="F18" s="39"/>
      <c r="H18" s="15" t="s">
        <v>168</v>
      </c>
      <c r="I18" s="14" t="e">
        <f>EXP(MuFromParams(ABS(I17),J17))</f>
        <v>#VALUE!</v>
      </c>
      <c r="J18" s="14" t="e">
        <f>(SigmaFromParams(I17,J17) / LN(10))^2</f>
        <v>#VALUE!</v>
      </c>
      <c r="K18" s="3"/>
      <c r="L18" s="3"/>
    </row>
    <row r="19" spans="1:12">
      <c r="K19" s="3"/>
      <c r="L19" s="3"/>
    </row>
    <row r="20" spans="1:12">
      <c r="K20" s="3"/>
      <c r="L20" s="3"/>
    </row>
    <row r="21" spans="1:12">
      <c r="K21" s="3"/>
      <c r="L21" s="3"/>
    </row>
    <row r="22" spans="1:12" ht="20">
      <c r="A22" s="6" t="s">
        <v>59</v>
      </c>
    </row>
    <row r="23" spans="1:12">
      <c r="A23" s="33" t="s">
        <v>174</v>
      </c>
      <c r="B23" s="100" t="e">
        <f>ParetoPosterior(median,alpha,I18:J18)</f>
        <v>#VALUE!</v>
      </c>
    </row>
    <row r="24" spans="1:12" ht="30">
      <c r="A24" s="33" t="s">
        <v>175</v>
      </c>
      <c r="B24" s="100"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2016-05-15T02:51:31Z</dcterms:modified>
</cp:coreProperties>
</file>