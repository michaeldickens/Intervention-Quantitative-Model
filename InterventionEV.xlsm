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firstSheet="1" activeTab="3"/>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s>
  <definedNames>
    <definedName name="alpha">Globals!$B$3</definedName>
    <definedName name="enable_calculations">Globals!$N$2</definedName>
    <definedName name="factory_farmed_animals">Globals!$O$18</definedName>
    <definedName name="interest_rate">Globals!$O$19</definedName>
    <definedName name="measurement">Globals!$B$4</definedName>
    <definedName name="median">Globals!$B$2</definedName>
    <definedName name="mu_factory_farming">Globals!$G$2</definedName>
    <definedName name="mu_far_future">Globals!$H$2</definedName>
    <definedName name="mu_far_future_humans">Globals!$H$2</definedName>
    <definedName name="mu_global_poverty">Globals!$F$2</definedName>
    <definedName name="mu_sentient_simulations">Globals!$I$2</definedName>
    <definedName name="mu_wild_animals">Globals!#REF!</definedName>
    <definedName name="p_biological">Globals!$B$8</definedName>
    <definedName name="p_computronium">Globals!$B$11</definedName>
    <definedName name="p_dolorium">Globals!$D$13</definedName>
    <definedName name="p_factory_farming">Globals!$F$8</definedName>
    <definedName name="p_hedonium">Globals!$D$11</definedName>
    <definedName name="p_not_care_about_animals">Globals!$D$8</definedName>
    <definedName name="p_paperclip">Globals!$D$12</definedName>
    <definedName name="p_reduce_WAS">Globals!$D$6</definedName>
    <definedName name="p_society_does_not_care_about_animals">Globals!$D$8</definedName>
    <definedName name="p_spread_was">Globals!$F$9</definedName>
    <definedName name="p_stay_on_earth">Globals!$B$6</definedName>
    <definedName name="p_suffering_simulations">Globals!$F$10</definedName>
    <definedName name="sigma_factory_farming">Globals!$G$3</definedName>
    <definedName name="sigma_far_future">Globals!$H$3</definedName>
    <definedName name="sigma_far_future_humans">Globals!$H$3</definedName>
    <definedName name="sigma_global_poverty">Globals!$F$3</definedName>
    <definedName name="sigma_sentient_simulations">Globals!$I$3</definedName>
    <definedName name="sigma_wild_animals">Globals!#REF!</definedName>
    <definedName name="stay_on_earth">Globals!$B$6</definedName>
    <definedName name="stdev_base10">Globals!#REF!</definedName>
    <definedName name="utility_per_dolorium">Globals!$D$24</definedName>
    <definedName name="utility_per_factory_farmed_animal">Globals!$D$18</definedName>
    <definedName name="utility_per_hedonium">Globals!$D$22</definedName>
    <definedName name="utility_per_human">Globals!$D$17</definedName>
    <definedName name="utility_per_insect">Globals!$D$21</definedName>
    <definedName name="utility_per_paperclip">Globals!$D$23</definedName>
    <definedName name="utility_per_wild_vertebrate">Globals!$D$20</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P8" i="3" l="1"/>
  <c r="I12" i="1"/>
  <c r="G3" i="3"/>
  <c r="G4" i="3"/>
  <c r="G14" i="3"/>
  <c r="G15" i="3"/>
  <c r="G16" i="3"/>
  <c r="L8" i="3"/>
  <c r="I14" i="1"/>
  <c r="I15" i="1"/>
  <c r="D8" i="1"/>
  <c r="I16" i="1"/>
  <c r="I17" i="1"/>
  <c r="N19" i="1"/>
  <c r="H3" i="3"/>
  <c r="H4" i="3"/>
  <c r="H14" i="3"/>
  <c r="H15" i="3"/>
  <c r="H16" i="3"/>
  <c r="M8" i="3"/>
  <c r="J14" i="1"/>
  <c r="J16" i="1"/>
  <c r="J17" i="1"/>
  <c r="O19" i="1"/>
  <c r="I22" i="1"/>
  <c r="G20" i="3"/>
  <c r="G21" i="3"/>
  <c r="G22" i="3"/>
  <c r="P9" i="3"/>
  <c r="L9" i="3"/>
  <c r="I23" i="1"/>
  <c r="I24" i="1"/>
  <c r="I25" i="1"/>
  <c r="I26" i="1"/>
  <c r="N20" i="1"/>
  <c r="J22" i="1"/>
  <c r="H20" i="3"/>
  <c r="H21" i="3"/>
  <c r="H22" i="3"/>
  <c r="M9" i="3"/>
  <c r="J23" i="1"/>
  <c r="J25" i="1"/>
  <c r="J26" i="1"/>
  <c r="O20" i="1"/>
  <c r="I31" i="1"/>
  <c r="G26" i="3"/>
  <c r="G27" i="3"/>
  <c r="G28" i="3"/>
  <c r="P10" i="3"/>
  <c r="L10" i="3"/>
  <c r="I32" i="1"/>
  <c r="I33" i="1"/>
  <c r="I34" i="1"/>
  <c r="I35" i="1"/>
  <c r="N21" i="1"/>
  <c r="J31" i="1"/>
  <c r="H26" i="3"/>
  <c r="H27" i="3"/>
  <c r="H28" i="3"/>
  <c r="M10" i="3"/>
  <c r="J32" i="1"/>
  <c r="J34" i="1"/>
  <c r="J35" i="1"/>
  <c r="O21" i="1"/>
  <c r="N3" i="1"/>
  <c r="G32" i="3"/>
  <c r="G33" i="3"/>
  <c r="G34" i="3"/>
  <c r="G35" i="3"/>
  <c r="P11" i="3"/>
  <c r="L11" i="3"/>
  <c r="N4" i="1"/>
  <c r="N5" i="1"/>
  <c r="N6" i="1"/>
  <c r="N7" i="1"/>
  <c r="N22" i="1"/>
  <c r="O3" i="1"/>
  <c r="H32" i="3"/>
  <c r="H33" i="3"/>
  <c r="H34" i="3"/>
  <c r="H35" i="3"/>
  <c r="M11" i="3"/>
  <c r="O4" i="1"/>
  <c r="O6" i="1"/>
  <c r="O7" i="1"/>
  <c r="O22" i="1"/>
  <c r="N11" i="1"/>
  <c r="B3" i="3"/>
  <c r="B4" i="3"/>
  <c r="B5" i="3"/>
  <c r="B6" i="3"/>
  <c r="B10" i="3"/>
  <c r="B11" i="3"/>
  <c r="P4" i="3"/>
  <c r="L4" i="3"/>
  <c r="N12" i="1"/>
  <c r="N13" i="1"/>
  <c r="N14" i="1"/>
  <c r="N15" i="1"/>
  <c r="N23" i="1"/>
  <c r="O11" i="1"/>
  <c r="C3" i="3"/>
  <c r="C4" i="3"/>
  <c r="C5" i="3"/>
  <c r="C6" i="3"/>
  <c r="C10" i="3"/>
  <c r="C11" i="3"/>
  <c r="M4" i="3"/>
  <c r="O12" i="1"/>
  <c r="O14" i="1"/>
  <c r="O15" i="1"/>
  <c r="O23" i="1"/>
  <c r="N24" i="1"/>
  <c r="D4" i="1"/>
  <c r="B5" i="1"/>
  <c r="C5" i="1"/>
  <c r="D5" i="1"/>
  <c r="D6" i="1"/>
  <c r="D7" i="1"/>
  <c r="E4" i="1"/>
  <c r="E5" i="1"/>
  <c r="E6" i="1"/>
  <c r="E7" i="1"/>
  <c r="E8" i="1"/>
  <c r="D10" i="1"/>
  <c r="E10" i="1"/>
  <c r="D11" i="1"/>
  <c r="E11" i="1"/>
  <c r="D12" i="1"/>
  <c r="E12" i="1"/>
  <c r="D13" i="1"/>
  <c r="E13" i="1"/>
  <c r="I9" i="10"/>
  <c r="I15" i="10"/>
  <c r="J9" i="10"/>
  <c r="J15" i="10"/>
  <c r="B20" i="3"/>
  <c r="B21" i="3"/>
  <c r="P13" i="3"/>
  <c r="L13" i="3"/>
  <c r="I10" i="10"/>
  <c r="I16" i="10"/>
  <c r="C20" i="3"/>
  <c r="C21" i="3"/>
  <c r="M13" i="3"/>
  <c r="J10" i="10"/>
  <c r="J16" i="10"/>
  <c r="I11" i="10"/>
  <c r="I17" i="10"/>
  <c r="J11" i="10"/>
  <c r="J17" i="10"/>
  <c r="I12" i="10"/>
  <c r="I18" i="10"/>
  <c r="J12" i="10"/>
  <c r="J18" i="10"/>
  <c r="I13" i="10"/>
  <c r="I19" i="10"/>
  <c r="J13" i="10"/>
  <c r="J19" i="10"/>
  <c r="I20" i="10"/>
  <c r="J3" i="10"/>
  <c r="I3" i="10"/>
  <c r="C6" i="5"/>
  <c r="B6" i="5"/>
  <c r="J3" i="1"/>
  <c r="J4" i="1"/>
  <c r="J5" i="1"/>
  <c r="I3" i="1"/>
  <c r="I4" i="1"/>
  <c r="I5" i="1"/>
  <c r="G3" i="2"/>
  <c r="I7" i="1"/>
  <c r="N25" i="1"/>
  <c r="O25" i="1"/>
  <c r="C20" i="1"/>
  <c r="B20" i="1"/>
  <c r="C21" i="1"/>
  <c r="B21" i="1"/>
  <c r="H3" i="2"/>
  <c r="B23" i="1"/>
  <c r="B27" i="1"/>
  <c r="B22" i="1"/>
  <c r="I6" i="1"/>
  <c r="B26" i="1"/>
  <c r="E11" i="10"/>
  <c r="D11" i="10"/>
  <c r="E12" i="10"/>
  <c r="E13" i="10"/>
  <c r="E14" i="10"/>
  <c r="E15" i="10"/>
  <c r="D12" i="10"/>
  <c r="D13" i="10"/>
  <c r="D14" i="10"/>
  <c r="D15" i="10"/>
  <c r="I4" i="10"/>
  <c r="J4" i="10"/>
  <c r="I5" i="10"/>
  <c r="J5" i="10"/>
  <c r="I6" i="10"/>
  <c r="J6" i="10"/>
  <c r="I7" i="10"/>
  <c r="J7" i="10"/>
  <c r="I21" i="10"/>
  <c r="J21" i="10"/>
  <c r="J22" i="10"/>
  <c r="I22" i="10"/>
  <c r="B22" i="10"/>
  <c r="C6" i="7"/>
  <c r="B21" i="10"/>
  <c r="B6" i="7"/>
  <c r="C4" i="7"/>
  <c r="B4" i="7"/>
  <c r="E3" i="10"/>
  <c r="E4" i="10"/>
  <c r="E5" i="10"/>
  <c r="E6" i="10"/>
  <c r="E8" i="10"/>
  <c r="E9" i="10"/>
  <c r="L30" i="2"/>
  <c r="L31" i="2"/>
  <c r="L32" i="2"/>
  <c r="L33" i="2"/>
  <c r="P30" i="2"/>
  <c r="P31" i="2"/>
  <c r="P34" i="2"/>
  <c r="P35" i="2"/>
  <c r="P36" i="2"/>
  <c r="P33" i="2"/>
  <c r="G11" i="5"/>
  <c r="B15" i="3"/>
  <c r="B16" i="3"/>
  <c r="P12" i="3"/>
  <c r="L12" i="3"/>
  <c r="C15" i="3"/>
  <c r="C16" i="3"/>
  <c r="M12" i="3"/>
  <c r="L14" i="3"/>
  <c r="L15" i="3"/>
  <c r="M15" i="3"/>
  <c r="G8" i="3"/>
  <c r="G9" i="3"/>
  <c r="G10" i="3"/>
  <c r="P3" i="3"/>
  <c r="L3" i="3"/>
  <c r="P32" i="2"/>
  <c r="H8" i="3"/>
  <c r="H9" i="3"/>
  <c r="H10" i="3"/>
  <c r="M3" i="3"/>
  <c r="L5" i="3"/>
  <c r="L6" i="3"/>
  <c r="M6" i="3"/>
  <c r="M17" i="3"/>
  <c r="L17" i="3"/>
  <c r="L18" i="3"/>
  <c r="G13" i="5"/>
  <c r="B7" i="5"/>
  <c r="C7" i="5"/>
  <c r="G12" i="5"/>
  <c r="G14" i="5"/>
  <c r="H11" i="5"/>
  <c r="H10" i="5"/>
  <c r="H12" i="5"/>
  <c r="M18" i="3"/>
  <c r="H13" i="5"/>
  <c r="H14" i="5"/>
  <c r="H15" i="5"/>
  <c r="G15" i="5"/>
  <c r="G21" i="5"/>
  <c r="G20" i="5"/>
  <c r="G22" i="5"/>
  <c r="G23" i="5"/>
  <c r="G24" i="5"/>
  <c r="H21" i="5"/>
  <c r="H20" i="5"/>
  <c r="H22" i="5"/>
  <c r="H23" i="5"/>
  <c r="H24" i="5"/>
  <c r="H25" i="5"/>
  <c r="G25" i="5"/>
  <c r="C14" i="5"/>
  <c r="B14" i="5"/>
  <c r="C15" i="5"/>
  <c r="B15" i="5"/>
  <c r="B17" i="5"/>
  <c r="G5" i="5"/>
  <c r="B21" i="5"/>
  <c r="B16" i="5"/>
  <c r="G4" i="5"/>
  <c r="B20" i="5"/>
  <c r="I25" i="6"/>
  <c r="K3" i="6"/>
  <c r="K5" i="6"/>
  <c r="K6" i="6"/>
  <c r="K7" i="6"/>
  <c r="E4" i="6"/>
  <c r="K8" i="6"/>
  <c r="K14" i="6"/>
  <c r="K15" i="6"/>
  <c r="K16" i="6"/>
  <c r="K20" i="6"/>
  <c r="I24" i="6"/>
  <c r="I26" i="6"/>
  <c r="H25" i="6"/>
  <c r="H26" i="6"/>
  <c r="F22" i="2"/>
  <c r="F23" i="2"/>
  <c r="F24" i="2"/>
  <c r="F18" i="2"/>
  <c r="F19" i="2"/>
  <c r="F20" i="2"/>
  <c r="F21" i="2"/>
  <c r="F17" i="2"/>
  <c r="E24" i="2"/>
  <c r="K7" i="7"/>
  <c r="I6" i="7"/>
  <c r="H6" i="7"/>
  <c r="K6" i="7"/>
  <c r="K5" i="7"/>
  <c r="I4" i="7"/>
  <c r="H4" i="7"/>
  <c r="K4" i="7"/>
  <c r="J5" i="7"/>
  <c r="J6" i="7"/>
  <c r="J7" i="7"/>
  <c r="J4" i="7"/>
  <c r="D18" i="2"/>
  <c r="D20" i="2"/>
  <c r="D21" i="2"/>
  <c r="D23" i="2"/>
  <c r="H24" i="6"/>
  <c r="G10" i="5"/>
  <c r="I5" i="7"/>
  <c r="N30" i="2"/>
  <c r="N31" i="2"/>
  <c r="N32" i="2"/>
  <c r="O30" i="2"/>
  <c r="O32" i="2"/>
  <c r="O31" i="2"/>
  <c r="D17" i="2"/>
  <c r="J30" i="2"/>
  <c r="J31" i="2"/>
  <c r="J32" i="2"/>
  <c r="J33" i="2"/>
  <c r="B24" i="2"/>
  <c r="D24" i="2"/>
  <c r="K32" i="2"/>
  <c r="K31" i="2"/>
  <c r="K30" i="2"/>
  <c r="K33" i="2"/>
  <c r="C22" i="2"/>
  <c r="D22" i="2"/>
  <c r="N33" i="2"/>
  <c r="O33" i="2"/>
  <c r="N34" i="2"/>
  <c r="N35" i="2"/>
  <c r="N36" i="2"/>
  <c r="O35" i="2"/>
  <c r="O36" i="2"/>
  <c r="O34" i="2"/>
  <c r="J15" i="6"/>
  <c r="J14" i="6"/>
  <c r="J13" i="6"/>
  <c r="D4" i="6"/>
  <c r="J7" i="6"/>
  <c r="J6" i="6"/>
  <c r="J5" i="6"/>
  <c r="J3" i="6"/>
  <c r="H3" i="5"/>
  <c r="C3" i="7"/>
  <c r="D4" i="7"/>
  <c r="J8" i="6"/>
  <c r="J16" i="6"/>
  <c r="J20" i="6"/>
  <c r="I5" i="6"/>
  <c r="H5" i="6"/>
  <c r="C4" i="6"/>
  <c r="B4" i="6"/>
  <c r="I15" i="6"/>
  <c r="H15" i="6"/>
  <c r="C5" i="10"/>
  <c r="B5" i="10"/>
  <c r="D5" i="10"/>
  <c r="D9" i="10"/>
  <c r="D6" i="7"/>
  <c r="D3" i="7"/>
  <c r="B3" i="7"/>
  <c r="C8" i="10"/>
  <c r="B8" i="10"/>
  <c r="D8" i="10"/>
  <c r="D6" i="10"/>
  <c r="D4" i="10"/>
  <c r="D3" i="10"/>
  <c r="D19" i="2"/>
  <c r="K13" i="6"/>
  <c r="B12" i="6"/>
  <c r="C5" i="7"/>
  <c r="D5" i="7"/>
  <c r="B11" i="6"/>
  <c r="B5" i="7"/>
</calcChain>
</file>

<file path=xl/sharedStrings.xml><?xml version="1.0" encoding="utf-8"?>
<sst xmlns="http://schemas.openxmlformats.org/spreadsheetml/2006/main" count="400" uniqueCount="225">
  <si>
    <t>Low CI</t>
  </si>
  <si>
    <t>High CI</t>
  </si>
  <si>
    <t>Mean</t>
  </si>
  <si>
    <t>Variance (orders of magnitude)</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</si>
  <si>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</si>
  <si>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</si>
  <si>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</si>
  <si>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</si>
  <si>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</si>
  <si>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</si>
  <si>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</si>
  <si>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</si>
  <si>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</si>
  <si>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</si>
  <si>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</si>
  <si>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</si>
  <si>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</si>
  <si>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</si>
  <si>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</si>
  <si>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</si>
  <si>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</si>
  <si>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</si>
  <si>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</si>
  <si>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</si>
  <si>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</si>
  <si>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</si>
  <si>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</si>
  <si>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</si>
  <si>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</si>
  <si>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</si>
  <si>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</si>
  <si>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</si>
  <si>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</si>
  <si>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</si>
  <si>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</si>
  <si>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</si>
  <si>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</si>
  <si>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</si>
  <si>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</si>
  <si>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</si>
  <si>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</si>
  <si>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</si>
  <si>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</si>
  <si>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</si>
  <si>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</si>
  <si>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</si>
  <si>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</si>
  <si>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</si>
  <si>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</si>
  <si>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</si>
  <si>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</si>
  <si>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</si>
  <si>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</si>
  <si>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Utility (absolute value so we can combine log-normals)</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</si>
  <si>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</si>
  <si>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</si>
  <si>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</si>
  <si>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</si>
  <si>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</si>
  <si>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</si>
  <si>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</si>
  <si>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</si>
  <si>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</si>
  <si>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</si>
  <si>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</si>
  <si>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</si>
  <si>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</si>
  <si>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</si>
  <si>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</si>
  <si>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</si>
  <si>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</si>
  <si>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</si>
  <si>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</si>
  <si>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</si>
  <si>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</si>
  <si>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</si>
  <si>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</si>
  <si>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</si>
  <si>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</si>
  <si>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</si>
  <si>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</si>
  <si>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</si>
  <si>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</si>
  <si>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</si>
  <si>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</si>
  <si>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</si>
  <si>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</si>
  <si>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</si>
  <si>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</si>
  <si>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</si>
  <si>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</si>
  <si>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</si>
  <si>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</si>
  <si>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</si>
  <si>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</si>
  <si>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</si>
  <si>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</si>
  <si>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</si>
  <si>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</si>
  <si>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</si>
  <si>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</si>
  <si>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</si>
  <si>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</si>
  <si>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</si>
  <si>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</si>
  <si>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</si>
  <si>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</si>
  <si>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</si>
  <si>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</si>
  <si>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</si>
  <si>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</si>
  <si>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</si>
  <si>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</si>
  <si>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</si>
  <si>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</si>
  <si>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</si>
  <si>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center of distribution</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</si>
  <si>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</si>
  <si>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</si>
  <si>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</si>
  <si>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</si>
  <si>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</si>
  <si>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</si>
  <si>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</si>
  <si>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</si>
  <si>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</si>
  <si>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</si>
  <si>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</si>
  <si>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</si>
  <si>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</si>
  <si>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</si>
  <si>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</si>
  <si>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</si>
  <si>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</si>
  <si>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</si>
  <si>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</si>
  <si>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</si>
  <si>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</si>
  <si>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Estimated from FHI x-risk survey</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</si>
  <si>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</si>
  <si>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</si>
  <si>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</si>
  <si>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</si>
  <si>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</si>
  <si>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</si>
  <si>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</si>
  <si>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</si>
  <si>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</si>
  <si>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</si>
  <si>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</si>
  <si>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</si>
  <si>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</si>
  <si>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</si>
  <si>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</si>
  <si>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</si>
  <si>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</si>
  <si>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</si>
  <si>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</si>
  <si>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</si>
  <si>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dolorium scenarios prevented per $1000</t>
  </si>
  <si>
    <t>wild vertebrate scenarios prevented per $1000</t>
  </si>
  <si>
    <t>insect scenarios prevented per $1000</t>
  </si>
  <si>
    <t>simulation scenarios prevented per $1000</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</si>
  <si>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</si>
  <si>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</si>
  <si>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</si>
  <si>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</si>
  <si>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</si>
  <si>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</si>
  <si>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</si>
  <si>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</si>
  <si>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scale (logarithmic base 10); this is the equivalent of standard deviation, not variance</t>
  </si>
  <si>
    <t>global poverty</t>
  </si>
  <si>
    <t>factory farming</t>
  </si>
  <si>
    <t>far future</t>
  </si>
  <si>
    <t>should be 43.27</t>
  </si>
  <si>
    <t>Enable calculations?</t>
  </si>
  <si>
    <t>0 for false, 1 for true</t>
  </si>
  <si>
    <t>animal-years caused per human year</t>
  </si>
  <si>
    <t>This figure is pretty robust but only includes land animals, you could increase the bounds to account for fish/shellfish</t>
  </si>
  <si>
    <t>Correlated with P(AI-related extinction) on the AI Safety sheet</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</si>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</sst>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1">
    <border>
      <left/>
      <right/>
      <top/>
      <bottom/>
      <diagonal/>
    </border>
  </borders>
  <cellStyleXfs count="179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51">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11" fontId="0" fillId="3" borderId="0" xfId="0" applyNumberFormat="1" applyFill="1"/>
    <xf numFmtId="0" fontId="0" fillId="4" borderId="0" xfId="0" applyFill="1" applyAlignment="1">
      <alignment wrapText="1"/>
    </xf>
    <xf numFmtId="0" fontId="0" fillId="5" borderId="0" xfId="0" applyFill="1"/>
    <xf numFmtId="0" fontId="0" fillId="6" borderId="0" xfId="0" applyFill="1"/>
    <xf numFmtId="11" fontId="0" fillId="6" borderId="0" xfId="0" applyNumberFormat="1" applyFill="1"/>
    <xf numFmtId="0" fontId="0" fillId="7" borderId="0" xfId="0" applyFill="1"/>
    <xf numFmtId="0" fontId="0" fillId="8" borderId="0" xfId="0" applyFill="1"/>
    <xf numFmtId="0" fontId="0" fillId="0" borderId="0" xfId="0" applyFill="1" applyAlignment="1">
      <alignment wrapText="1"/>
    </xf>
    <xf numFmtId="0" fontId="5" fillId="9" borderId="0" xfId="0" applyFont="1" applyFill="1" applyAlignment="1">
      <alignment wrapText="1"/>
    </xf>
    <xf numFmtId="11" fontId="5" fillId="10" borderId="0" xfId="0" applyNumberFormat="1" applyFont="1" applyFill="1"/>
    <xf numFmtId="11" fontId="0" fillId="0" borderId="0" xfId="0" applyNumberFormat="1" applyFill="1"/>
    <xf numFmtId="0" fontId="0" fillId="11" borderId="0" xfId="0" applyFill="1" applyAlignment="1">
      <alignment wrapText="1"/>
    </xf>
    <xf numFmtId="0" fontId="3" fillId="0" borderId="0" xfId="0" applyFont="1" applyAlignment="1">
      <alignment wrapText="1"/>
    </xf>
    <xf numFmtId="0" fontId="4" fillId="0" borderId="0" xfId="0" applyFont="1" applyAlignment="1"/>
    <xf numFmtId="0" fontId="0" fillId="0" borderId="0" xfId="0" applyAlignment="1"/>
    <xf numFmtId="11" fontId="0" fillId="5" borderId="0" xfId="0" applyNumberFormat="1" applyFill="1"/>
    <xf numFmtId="0" fontId="3" fillId="0" borderId="0" xfId="0" applyFont="1" applyFill="1"/>
    <xf numFmtId="0" fontId="0" fillId="12" borderId="0" xfId="0" applyFill="1"/>
    <xf numFmtId="11" fontId="0" fillId="8" borderId="0" xfId="0" applyNumberFormat="1" applyFill="1"/>
    <xf numFmtId="0" fontId="0" fillId="13" borderId="0" xfId="0" applyFill="1"/>
    <xf numFmtId="0" fontId="0" fillId="11" borderId="0" xfId="0" applyFill="1"/>
    <xf numFmtId="0" fontId="0" fillId="14"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11" borderId="0" xfId="0" applyFont="1" applyFill="1"/>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6" fillId="8" borderId="0" xfId="0" applyFont="1" applyFill="1"/>
    <xf numFmtId="0" fontId="8" fillId="0" borderId="0" xfId="0" applyFont="1"/>
    <xf numFmtId="0" fontId="0" fillId="18" borderId="0" xfId="0" applyFill="1"/>
    <xf numFmtId="0" fontId="7" fillId="0" borderId="0" xfId="0" applyFont="1"/>
    <xf numFmtId="0" fontId="5" fillId="0" borderId="0" xfId="0" applyFont="1" applyFill="1"/>
    <xf numFmtId="0" fontId="0" fillId="19" borderId="0" xfId="0" applyFill="1"/>
    <xf numFmtId="0" fontId="0" fillId="20" borderId="0" xfId="0" applyFill="1"/>
    <xf numFmtId="0" fontId="6" fillId="19" borderId="0" xfId="0" applyFont="1" applyFill="1"/>
  </cellXfs>
  <cellStyles count="179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C4" sqref="C4"/>
    </sheetView>
  </sheetViews>
  <sheetFormatPr baseColWidth="10" defaultRowHeight="15" x14ac:dyDescent="0"/>
  <cols>
    <col min="1" max="1" width="21.6640625" customWidth="1"/>
    <col min="2" max="5" width="12.1640625" bestFit="1" customWidth="1"/>
  </cols>
  <sheetData>
    <row r="1" spans="1:12" ht="20">
      <c r="A1" s="6" t="s">
        <v>165</v>
      </c>
      <c r="G1" s="6" t="s">
        <v>167</v>
      </c>
    </row>
    <row r="2" spans="1:12">
      <c r="B2" s="29" t="s">
        <v>127</v>
      </c>
      <c r="C2" s="29" t="s">
        <v>128</v>
      </c>
      <c r="D2" s="29" t="s">
        <v>166</v>
      </c>
      <c r="J2" t="s">
        <v>164</v>
      </c>
    </row>
    <row r="3" spans="1:12">
      <c r="A3" s="29" t="s">
        <v>129</v>
      </c>
      <c r="B3" s="4">
        <f>GiveDirectly!B20</f>
        <v>-2.06660348229223E+16</v>
      </c>
      <c r="C3" s="4">
        <f>GiveDirectly!B21</f>
        <v>-93.241580839240868</v>
      </c>
      <c r="D3" s="4">
        <f>C3/$C$3</f>
        <v>1</v>
      </c>
      <c r="H3" t="s">
        <v>136</v>
      </c>
      <c r="I3" t="s">
        <v>34</v>
      </c>
      <c r="J3" s="29" t="s">
        <v>127</v>
      </c>
      <c r="K3" s="29" t="s">
        <v>128</v>
      </c>
    </row>
    <row r="4" spans="1:12">
      <c r="A4" s="29" t="s">
        <v>207</v>
      </c>
      <c r="B4" s="4">
        <f>THL!B26</f>
        <v>2.1475438900215126E+25</v>
      </c>
      <c r="C4" s="4">
        <f>THL!B27</f>
        <v>605.46436056108371</v>
      </c>
      <c r="D4" s="4">
        <f>C4/C3</f>
        <v>-6.4935016664397125</v>
      </c>
      <c r="G4" s="40" t="s">
        <v>129</v>
      </c>
      <c r="H4" s="3">
        <f>GiveDirectly!G3</f>
        <v>1</v>
      </c>
      <c r="I4">
        <f>GiveDirectly!H3</f>
        <v>6.25E-2</v>
      </c>
      <c r="J4" s="4">
        <f>ParetoPosterior(median,alpha,H4:I4)</f>
        <v>1.0718443947358864</v>
      </c>
      <c r="K4" s="4">
        <f>LognormPosterior(mu_global_poverty,sigma_global_poverty,H4:I4)</f>
        <v>1.1516259366300541</v>
      </c>
    </row>
    <row r="5" spans="1:12">
      <c r="A5" s="29" t="s">
        <v>130</v>
      </c>
      <c r="B5" s="4">
        <f>'AI Safety'!B11</f>
        <v>1.7616230324321696E+25</v>
      </c>
      <c r="C5" s="4">
        <f>'AI Safety'!B12</f>
        <v>325.50189986219328</v>
      </c>
      <c r="D5" s="4">
        <f>C5/$C$3</f>
        <v>-3.4909521796224769</v>
      </c>
      <c r="G5" s="28" t="s">
        <v>134</v>
      </c>
      <c r="H5" s="14">
        <v>11</v>
      </c>
      <c r="I5" s="14">
        <f>0.5^2</f>
        <v>0.25</v>
      </c>
      <c r="J5" s="4">
        <f>ParetoPosterior(median,alpha,H5:I5)</f>
        <v>5.5189570936889352</v>
      </c>
      <c r="K5" s="4">
        <f>LognormPosterior(mu_global_poverty,sigma_global_poverty,H5:I5)</f>
        <v>6.0877279886251294</v>
      </c>
    </row>
    <row r="6" spans="1:12">
      <c r="A6" s="29" t="s">
        <v>163</v>
      </c>
      <c r="B6" s="4">
        <f>'AI Targeted Values Spreading'!B21</f>
        <v>6.7574228412184617E+34</v>
      </c>
      <c r="C6" s="4">
        <f>'AI Targeted Values Spreading'!B22</f>
        <v>4025.9078377376763</v>
      </c>
      <c r="D6" s="4">
        <f>C6/$C$3</f>
        <v>-43.177172689497844</v>
      </c>
      <c r="G6" s="3" t="s">
        <v>207</v>
      </c>
      <c r="H6" s="18">
        <f>THL!I5</f>
        <v>15083.103128998355</v>
      </c>
      <c r="I6">
        <f>THL!J5</f>
        <v>0.79504262895320132</v>
      </c>
      <c r="J6" s="4">
        <f>ParetoPosterior(median,alpha,H6:I6)</f>
        <v>278.14172544025013</v>
      </c>
      <c r="K6" s="4">
        <f>LognormPosterior(mu_factory_farming,sigma_factory_farming,H6:I6)</f>
        <v>38.692316763766371</v>
      </c>
    </row>
    <row r="7" spans="1:12">
      <c r="G7" s="28" t="s">
        <v>135</v>
      </c>
      <c r="H7" s="26">
        <v>22000</v>
      </c>
      <c r="I7" s="14">
        <v>0.5</v>
      </c>
      <c r="J7" s="4">
        <f>ParetoPosterior(median,alpha,H7:I7)</f>
        <v>1582.0302237467174</v>
      </c>
      <c r="K7" s="4">
        <f>LognormPosterior(mu_factory_farming,sigma_factory_farming,H7:I7)</f>
        <v>114.47918763046155</v>
      </c>
    </row>
    <row r="8" spans="1:12">
      <c r="G8" s="3"/>
      <c r="H8" s="18"/>
      <c r="I8" s="3"/>
      <c r="K8" s="3"/>
      <c r="L8" s="3"/>
    </row>
    <row r="12" spans="1:12">
      <c r="A12" s="24"/>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24"/>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2"/>
  <sheetViews>
    <sheetView workbookViewId="0">
      <selection activeCell="N9" sqref="N9"/>
    </sheetView>
  </sheetViews>
  <sheetFormatPr baseColWidth="10" defaultRowHeight="15" x14ac:dyDescent="0"/>
  <cols>
    <col min="1" max="1" width="21.6640625" customWidth="1"/>
    <col min="2" max="2" width="12.1640625" bestFit="1" customWidth="1"/>
    <col min="4" max="5" width="10.83203125" customWidth="1"/>
    <col min="7" max="8" width="10.83203125" customWidth="1"/>
    <col min="10" max="10" width="10.83203125" customWidth="1"/>
    <col min="13" max="13" width="10.83203125" customWidth="1"/>
    <col min="14" max="14" width="21.6640625" customWidth="1"/>
  </cols>
  <sheetData>
    <row r="1" spans="1:15" ht="20">
      <c r="A1" s="6" t="s">
        <v>6</v>
      </c>
      <c r="E1" s="6" t="s">
        <v>89</v>
      </c>
      <c r="F1" t="s">
        <v>172</v>
      </c>
      <c r="G1" t="s">
        <v>173</v>
      </c>
      <c r="H1" t="s">
        <v>174</v>
      </c>
      <c r="M1" s="1"/>
      <c r="N1" s="6" t="s">
        <v>176</v>
      </c>
    </row>
    <row r="2" spans="1:15">
      <c r="A2" s="4" t="s">
        <v>5</v>
      </c>
      <c r="B2" s="23">
        <v>1</v>
      </c>
      <c r="D2" t="s">
        <v>116</v>
      </c>
      <c r="E2" s="4" t="s">
        <v>90</v>
      </c>
      <c r="F2" s="10">
        <v>1</v>
      </c>
      <c r="G2" s="10">
        <v>1</v>
      </c>
      <c r="H2" s="10">
        <v>1</v>
      </c>
      <c r="I2" s="3"/>
      <c r="N2" s="39">
        <v>1</v>
      </c>
      <c r="O2" t="s">
        <v>177</v>
      </c>
    </row>
    <row r="3" spans="1:15">
      <c r="A3" s="4" t="s">
        <v>4</v>
      </c>
      <c r="B3" s="10">
        <v>1.5</v>
      </c>
      <c r="D3" t="s">
        <v>171</v>
      </c>
      <c r="E3" s="4" t="s">
        <v>91</v>
      </c>
      <c r="F3" s="10">
        <v>0.6</v>
      </c>
      <c r="G3" s="10">
        <f>sigma_global_poverty</f>
        <v>0.6</v>
      </c>
      <c r="H3" s="10">
        <f>sigma_global_poverty</f>
        <v>0.6</v>
      </c>
      <c r="I3" s="3"/>
    </row>
    <row r="5" spans="1:15" ht="20">
      <c r="A5" s="6" t="s">
        <v>17</v>
      </c>
      <c r="N5" s="6" t="s">
        <v>98</v>
      </c>
    </row>
    <row r="6" spans="1:15">
      <c r="A6" s="13" t="s">
        <v>7</v>
      </c>
      <c r="B6" s="11">
        <v>0.2</v>
      </c>
      <c r="C6" s="13" t="s">
        <v>16</v>
      </c>
      <c r="D6" s="11">
        <v>0.7</v>
      </c>
      <c r="N6" s="29" t="s">
        <v>100</v>
      </c>
    </row>
    <row r="7" spans="1:15">
      <c r="N7" s="32" t="s">
        <v>99</v>
      </c>
    </row>
    <row r="8" spans="1:15">
      <c r="A8" s="13" t="s">
        <v>8</v>
      </c>
      <c r="B8" s="11">
        <v>0.7</v>
      </c>
      <c r="C8" s="13" t="s">
        <v>9</v>
      </c>
      <c r="D8" s="11">
        <v>0.8</v>
      </c>
      <c r="E8" s="13" t="s">
        <v>69</v>
      </c>
      <c r="F8" s="11">
        <v>0.3</v>
      </c>
      <c r="N8" s="27" t="s">
        <v>60</v>
      </c>
    </row>
    <row r="9" spans="1:15">
      <c r="A9" s="13"/>
      <c r="B9" s="11"/>
      <c r="C9" s="13"/>
      <c r="D9" s="11"/>
      <c r="E9" s="13" t="s">
        <v>11</v>
      </c>
      <c r="F9" s="12">
        <v>0.4</v>
      </c>
      <c r="N9" s="50" t="s">
        <v>223</v>
      </c>
    </row>
    <row r="10" spans="1:15">
      <c r="E10" s="13" t="s">
        <v>10</v>
      </c>
      <c r="F10" s="12">
        <v>0.3</v>
      </c>
      <c r="N10" t="s">
        <v>224</v>
      </c>
    </row>
    <row r="11" spans="1:15">
      <c r="A11" s="13" t="s">
        <v>13</v>
      </c>
      <c r="B11" s="11">
        <v>0.1</v>
      </c>
      <c r="C11" s="13" t="s">
        <v>12</v>
      </c>
      <c r="D11" s="11">
        <v>0.2</v>
      </c>
      <c r="E11" s="3"/>
      <c r="N11" s="28" t="s">
        <v>149</v>
      </c>
    </row>
    <row r="12" spans="1:15">
      <c r="C12" s="13" t="s">
        <v>14</v>
      </c>
      <c r="D12" s="11">
        <v>0.75</v>
      </c>
    </row>
    <row r="13" spans="1:15">
      <c r="C13" s="13" t="s">
        <v>15</v>
      </c>
      <c r="D13" s="11">
        <v>0.05</v>
      </c>
    </row>
    <row r="15" spans="1:15" ht="20">
      <c r="A15" s="6" t="s">
        <v>41</v>
      </c>
    </row>
    <row r="16" spans="1:15" ht="20">
      <c r="B16" t="s">
        <v>50</v>
      </c>
      <c r="C16" s="3" t="s">
        <v>51</v>
      </c>
      <c r="D16" t="s">
        <v>53</v>
      </c>
      <c r="E16" t="s">
        <v>193</v>
      </c>
      <c r="F16" t="s">
        <v>192</v>
      </c>
      <c r="G16" t="s">
        <v>31</v>
      </c>
      <c r="N16" s="6" t="s">
        <v>73</v>
      </c>
    </row>
    <row r="17" spans="1:16">
      <c r="A17" s="19" t="s">
        <v>42</v>
      </c>
      <c r="B17" s="14">
        <v>1</v>
      </c>
      <c r="C17" s="14">
        <v>1</v>
      </c>
      <c r="D17">
        <f>B17*C17</f>
        <v>1</v>
      </c>
      <c r="E17" s="43">
        <v>0</v>
      </c>
      <c r="F17" s="3">
        <f>E17^2</f>
        <v>0</v>
      </c>
      <c r="G17" t="s">
        <v>182</v>
      </c>
      <c r="O17" t="s">
        <v>190</v>
      </c>
    </row>
    <row r="18" spans="1:16" ht="30">
      <c r="A18" s="19" t="s">
        <v>43</v>
      </c>
      <c r="B18" s="14">
        <v>-10</v>
      </c>
      <c r="C18" s="14">
        <v>0.5</v>
      </c>
      <c r="D18">
        <f t="shared" ref="D18:D24" si="0">ABS(B18)*C18</f>
        <v>5</v>
      </c>
      <c r="E18" s="43">
        <v>0.3</v>
      </c>
      <c r="F18" s="3">
        <f t="shared" ref="F18:F24" si="1">E18^2</f>
        <v>0.09</v>
      </c>
      <c r="G18" t="s">
        <v>183</v>
      </c>
      <c r="L18" s="2"/>
      <c r="N18" s="28" t="s">
        <v>30</v>
      </c>
      <c r="O18" s="26">
        <v>20000000000</v>
      </c>
      <c r="P18" s="2"/>
    </row>
    <row r="19" spans="1:16">
      <c r="A19" s="28" t="s">
        <v>132</v>
      </c>
      <c r="B19" s="14">
        <v>2</v>
      </c>
      <c r="C19" s="14">
        <v>0.5</v>
      </c>
      <c r="D19">
        <f t="shared" si="0"/>
        <v>1</v>
      </c>
      <c r="E19" s="43">
        <v>0.4</v>
      </c>
      <c r="F19" s="3">
        <f t="shared" si="1"/>
        <v>0.16000000000000003</v>
      </c>
      <c r="G19" t="s">
        <v>169</v>
      </c>
      <c r="L19" s="2"/>
      <c r="N19" s="28" t="s">
        <v>105</v>
      </c>
      <c r="O19" s="14">
        <v>0.05</v>
      </c>
      <c r="P19" s="2"/>
    </row>
    <row r="20" spans="1:16" ht="30">
      <c r="A20" s="19" t="s">
        <v>44</v>
      </c>
      <c r="B20" s="14">
        <v>-2</v>
      </c>
      <c r="C20" s="14">
        <v>0.2</v>
      </c>
      <c r="D20">
        <f t="shared" si="0"/>
        <v>0.4</v>
      </c>
      <c r="E20" s="43">
        <v>0.6</v>
      </c>
      <c r="F20" s="3">
        <f t="shared" si="1"/>
        <v>0.36</v>
      </c>
      <c r="G20" t="s">
        <v>168</v>
      </c>
      <c r="L20" s="2"/>
      <c r="N20" s="2"/>
      <c r="P20" s="2"/>
    </row>
    <row r="21" spans="1:16">
      <c r="A21" s="19" t="s">
        <v>45</v>
      </c>
      <c r="B21" s="14">
        <v>-4</v>
      </c>
      <c r="C21" s="14">
        <v>0.01</v>
      </c>
      <c r="D21">
        <f t="shared" si="0"/>
        <v>0.04</v>
      </c>
      <c r="E21" s="43">
        <v>0.8</v>
      </c>
      <c r="F21" s="3">
        <f t="shared" si="1"/>
        <v>0.64000000000000012</v>
      </c>
      <c r="G21" t="s">
        <v>170</v>
      </c>
      <c r="L21" s="2"/>
      <c r="N21" s="2"/>
      <c r="P21" s="2"/>
    </row>
    <row r="22" spans="1:16">
      <c r="A22" s="19" t="s">
        <v>47</v>
      </c>
      <c r="B22" s="14">
        <v>1000</v>
      </c>
      <c r="C22" s="14">
        <f>C17</f>
        <v>1</v>
      </c>
      <c r="D22">
        <f t="shared" si="0"/>
        <v>1000</v>
      </c>
      <c r="E22" s="43">
        <v>1</v>
      </c>
      <c r="F22" s="3">
        <f t="shared" si="1"/>
        <v>1</v>
      </c>
      <c r="G22" t="s">
        <v>52</v>
      </c>
    </row>
    <row r="23" spans="1:16">
      <c r="A23" s="19" t="s">
        <v>48</v>
      </c>
      <c r="B23" s="14">
        <v>-2</v>
      </c>
      <c r="C23" s="14">
        <v>0.1</v>
      </c>
      <c r="D23">
        <f t="shared" si="0"/>
        <v>0.2</v>
      </c>
      <c r="E23" s="43">
        <v>1.2</v>
      </c>
      <c r="F23" s="3">
        <f t="shared" si="1"/>
        <v>1.44</v>
      </c>
    </row>
    <row r="24" spans="1:16">
      <c r="A24" s="19" t="s">
        <v>49</v>
      </c>
      <c r="B24" s="14">
        <f>-B22</f>
        <v>-1000</v>
      </c>
      <c r="C24" s="14">
        <v>1</v>
      </c>
      <c r="D24">
        <f t="shared" si="0"/>
        <v>1000</v>
      </c>
      <c r="E24" s="43">
        <f>E22</f>
        <v>1</v>
      </c>
      <c r="F24" s="3">
        <f t="shared" si="1"/>
        <v>1</v>
      </c>
    </row>
    <row r="27" spans="1:16" ht="20">
      <c r="A27" s="6" t="s">
        <v>33</v>
      </c>
      <c r="J27" s="6" t="s">
        <v>35</v>
      </c>
    </row>
    <row r="28" spans="1:16">
      <c r="A28" s="1" t="s">
        <v>40</v>
      </c>
      <c r="E28" s="1" t="s">
        <v>32</v>
      </c>
    </row>
    <row r="29" spans="1:16">
      <c r="B29" t="s">
        <v>0</v>
      </c>
      <c r="C29" t="s">
        <v>1</v>
      </c>
      <c r="D29" t="s">
        <v>31</v>
      </c>
      <c r="F29" t="s">
        <v>0</v>
      </c>
      <c r="G29" t="s">
        <v>1</v>
      </c>
      <c r="H29" t="s">
        <v>31</v>
      </c>
      <c r="K29" s="7" t="s">
        <v>190</v>
      </c>
      <c r="L29" s="7" t="s">
        <v>191</v>
      </c>
      <c r="O29" s="7" t="s">
        <v>190</v>
      </c>
      <c r="P29" s="7" t="s">
        <v>191</v>
      </c>
    </row>
    <row r="30" spans="1:16" ht="30">
      <c r="A30" s="9" t="s">
        <v>18</v>
      </c>
      <c r="B30" s="8">
        <v>100000000000</v>
      </c>
      <c r="C30" s="8">
        <v>100000000000000</v>
      </c>
      <c r="D30" t="s">
        <v>37</v>
      </c>
      <c r="E30" s="9" t="s">
        <v>18</v>
      </c>
      <c r="F30" s="8">
        <v>10000000000</v>
      </c>
      <c r="G30" s="8">
        <v>100000000000000</v>
      </c>
      <c r="H30" t="s">
        <v>37</v>
      </c>
      <c r="J30" s="15" t="str">
        <f>A30</f>
        <v>accessible stars</v>
      </c>
      <c r="K30">
        <f>SQRT(B30*C30)</f>
        <v>3162277660168.3794</v>
      </c>
      <c r="L30" s="2">
        <f>LogVariance(B30,C30)</f>
        <v>1.1704562191085683</v>
      </c>
      <c r="N30" s="15" t="str">
        <f>E30</f>
        <v>accessible stars</v>
      </c>
      <c r="O30">
        <f>SQRT(F30*G30)</f>
        <v>1000000000000</v>
      </c>
      <c r="P30" s="2">
        <f>LogVariance(F30,G30)</f>
        <v>1.5606082921447579</v>
      </c>
    </row>
    <row r="31" spans="1:16" ht="30">
      <c r="A31" s="9" t="s">
        <v>20</v>
      </c>
      <c r="B31" s="8">
        <v>100000000000</v>
      </c>
      <c r="C31" s="8">
        <v>1000000000000</v>
      </c>
      <c r="D31" t="s">
        <v>36</v>
      </c>
      <c r="E31" s="16" t="s">
        <v>20</v>
      </c>
      <c r="F31" s="17">
        <v>100000000000</v>
      </c>
      <c r="G31" s="17">
        <v>1000000000000</v>
      </c>
      <c r="H31" s="7" t="s">
        <v>36</v>
      </c>
      <c r="J31" s="15" t="str">
        <f t="shared" ref="J31:J32" si="2">A31</f>
        <v>years of future</v>
      </c>
      <c r="K31">
        <f t="shared" ref="K31:K33" si="3">SQRT(B31*C31)</f>
        <v>316227766016.83789</v>
      </c>
      <c r="L31" s="2">
        <f t="shared" ref="L31:L33" si="4">LogVariance(B31,C31)</f>
        <v>0.39015207303618948</v>
      </c>
      <c r="M31" s="2"/>
      <c r="N31" s="15" t="str">
        <f t="shared" ref="N31:N35" si="5">E31</f>
        <v>years of future</v>
      </c>
      <c r="O31">
        <f t="shared" ref="O31:O35" si="6">SQRT(F31*G31)</f>
        <v>316227766016.83789</v>
      </c>
      <c r="P31" s="2">
        <f t="shared" ref="P31:P36" si="7">LogVariance(F31,G31)</f>
        <v>0.39015207303618948</v>
      </c>
    </row>
    <row r="32" spans="1:16" ht="30">
      <c r="A32" s="9" t="s">
        <v>19</v>
      </c>
      <c r="B32" s="8">
        <v>1E+20</v>
      </c>
      <c r="C32" s="8">
        <v>1.0000000000000001E+25</v>
      </c>
      <c r="D32" t="s">
        <v>37</v>
      </c>
      <c r="E32" s="9" t="s">
        <v>21</v>
      </c>
      <c r="F32" s="8">
        <v>10000000000</v>
      </c>
      <c r="G32" s="8">
        <v>1000000000000</v>
      </c>
      <c r="J32" s="15" t="str">
        <f t="shared" si="2"/>
        <v>usable wattage</v>
      </c>
      <c r="K32">
        <f t="shared" si="3"/>
        <v>3.1622776601683796E+22</v>
      </c>
      <c r="L32" s="2">
        <f t="shared" si="4"/>
        <v>1.9507603651809475</v>
      </c>
      <c r="N32" s="15" t="str">
        <f t="shared" si="5"/>
        <v>humans per star</v>
      </c>
      <c r="O32">
        <f t="shared" si="6"/>
        <v>100000000000</v>
      </c>
      <c r="P32" s="2">
        <f t="shared" si="7"/>
        <v>0.78030414607237897</v>
      </c>
    </row>
    <row r="33" spans="1:16" ht="60">
      <c r="A33" s="9" t="s">
        <v>46</v>
      </c>
      <c r="B33" s="8">
        <v>0.1</v>
      </c>
      <c r="C33" s="8">
        <v>0.1</v>
      </c>
      <c r="D33" t="s">
        <v>37</v>
      </c>
      <c r="E33" s="9" t="s">
        <v>22</v>
      </c>
      <c r="F33" s="8">
        <v>10000000000</v>
      </c>
      <c r="G33" s="8">
        <v>1000000000000</v>
      </c>
      <c r="J33" s="15" t="str">
        <f>A33</f>
        <v>brains per watt</v>
      </c>
      <c r="K33">
        <f t="shared" si="3"/>
        <v>0.1</v>
      </c>
      <c r="L33" s="2">
        <f t="shared" si="4"/>
        <v>0</v>
      </c>
      <c r="N33" s="15" t="str">
        <f t="shared" si="5"/>
        <v>factory farmed animals per star</v>
      </c>
      <c r="O33">
        <f t="shared" si="6"/>
        <v>100000000000</v>
      </c>
      <c r="P33" s="2">
        <f t="shared" si="7"/>
        <v>0.78030414607237897</v>
      </c>
    </row>
    <row r="34" spans="1:16" ht="45">
      <c r="A34" s="15"/>
      <c r="B34" s="18"/>
      <c r="C34" s="18"/>
      <c r="E34" s="9" t="s">
        <v>23</v>
      </c>
      <c r="F34" s="8">
        <v>10000000000000</v>
      </c>
      <c r="G34" s="8">
        <v>1E+16</v>
      </c>
      <c r="H34" t="s">
        <v>38</v>
      </c>
      <c r="J34" s="15"/>
      <c r="L34" s="2"/>
      <c r="N34" s="15" t="str">
        <f t="shared" si="5"/>
        <v>wild vertebrates per star</v>
      </c>
      <c r="O34">
        <f t="shared" si="6"/>
        <v>316227766016837.94</v>
      </c>
      <c r="P34" s="2">
        <f t="shared" si="7"/>
        <v>1.1704562191085683</v>
      </c>
    </row>
    <row r="35" spans="1:16" ht="30">
      <c r="A35" s="15"/>
      <c r="B35" s="18"/>
      <c r="C35" s="18"/>
      <c r="E35" s="9" t="s">
        <v>62</v>
      </c>
      <c r="F35" s="8">
        <v>1E+17</v>
      </c>
      <c r="G35" s="8">
        <v>1E+21</v>
      </c>
      <c r="H35" t="s">
        <v>39</v>
      </c>
      <c r="J35" s="15"/>
      <c r="L35" s="2"/>
      <c r="N35" s="15" t="str">
        <f t="shared" si="5"/>
        <v>insects per star</v>
      </c>
      <c r="O35">
        <f t="shared" si="6"/>
        <v>1E+19</v>
      </c>
      <c r="P35" s="2">
        <f t="shared" si="7"/>
        <v>1.5606082921447579</v>
      </c>
    </row>
    <row r="36" spans="1:16" ht="30">
      <c r="E36" s="9" t="s">
        <v>66</v>
      </c>
      <c r="F36" s="8">
        <v>1E-3</v>
      </c>
      <c r="G36" s="8">
        <v>1</v>
      </c>
      <c r="N36" s="15" t="str">
        <f>E36</f>
        <v>simulations per insect</v>
      </c>
      <c r="O36">
        <f>SQRT(F36*G36)</f>
        <v>3.1622776601683791E-2</v>
      </c>
      <c r="P36" s="2">
        <f t="shared" si="7"/>
        <v>1.1704562191085683</v>
      </c>
    </row>
    <row r="39" spans="1:16" ht="20">
      <c r="A39" s="6" t="s">
        <v>24</v>
      </c>
    </row>
    <row r="40" spans="1:16">
      <c r="A40">
        <v>1</v>
      </c>
      <c r="B40" t="s">
        <v>29</v>
      </c>
      <c r="C40" t="s">
        <v>25</v>
      </c>
    </row>
    <row r="41" spans="1:16">
      <c r="A41">
        <v>2</v>
      </c>
      <c r="B41" t="s">
        <v>141</v>
      </c>
      <c r="C41" t="s">
        <v>26</v>
      </c>
    </row>
    <row r="42" spans="1:16">
      <c r="A42">
        <v>3</v>
      </c>
      <c r="B42" t="s">
        <v>27</v>
      </c>
      <c r="C42" t="s">
        <v>28</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I13" sqref="I13"/>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22" customFormat="1" ht="30" customHeight="1">
      <c r="A1" s="21" t="s">
        <v>59</v>
      </c>
      <c r="F1" s="21" t="s">
        <v>54</v>
      </c>
      <c r="K1" s="21" t="s">
        <v>67</v>
      </c>
    </row>
    <row r="2" spans="1:18" ht="15" customHeight="1">
      <c r="B2" s="7" t="s">
        <v>190</v>
      </c>
      <c r="C2" s="7" t="s">
        <v>191</v>
      </c>
      <c r="F2" s="5"/>
      <c r="G2" s="7" t="s">
        <v>190</v>
      </c>
      <c r="H2" s="7" t="s">
        <v>191</v>
      </c>
      <c r="L2" s="27" t="s">
        <v>194</v>
      </c>
      <c r="M2" s="27" t="s">
        <v>192</v>
      </c>
      <c r="N2" t="s">
        <v>68</v>
      </c>
      <c r="P2" t="s">
        <v>195</v>
      </c>
      <c r="Q2" s="3"/>
      <c r="R2" s="3"/>
    </row>
    <row r="3" spans="1:18" ht="15" customHeight="1">
      <c r="A3" s="5" t="s">
        <v>18</v>
      </c>
      <c r="B3" s="3">
        <f>VLOOKUP($A3,Globals!$J$30:$L$34,2,FALSE)</f>
        <v>3162277660168.3794</v>
      </c>
      <c r="C3" s="3">
        <f>VLOOKUP($A3,Globals!$J$30:$L$34,3,FALSE)</f>
        <v>1.1704562191085683</v>
      </c>
      <c r="F3" s="5" t="s">
        <v>18</v>
      </c>
      <c r="G3">
        <f>VLOOKUP($F3,Globals!$N$30:$P$36,2,FALSE)</f>
        <v>1000000000000</v>
      </c>
      <c r="H3">
        <f>VLOOKUP($F3,Globals!$N$30:$P$36,3,FALSE)</f>
        <v>1.5606082921447579</v>
      </c>
      <c r="K3" t="s">
        <v>221</v>
      </c>
      <c r="L3" s="25">
        <f>G10*P3</f>
        <v>2.2135943621178649E+34</v>
      </c>
      <c r="M3" s="25">
        <f>H10</f>
        <v>2.7310645112533267</v>
      </c>
      <c r="N3">
        <v>1</v>
      </c>
      <c r="O3" t="s">
        <v>80</v>
      </c>
      <c r="P3">
        <f>p_biological</f>
        <v>0.7</v>
      </c>
      <c r="Q3" s="3"/>
      <c r="R3" s="3"/>
    </row>
    <row r="4" spans="1:18" ht="15" customHeight="1">
      <c r="A4" s="5" t="s">
        <v>20</v>
      </c>
      <c r="B4" s="3">
        <f>VLOOKUP($A4,Globals!$J$30:$L$34,2,FALSE)</f>
        <v>316227766016.83789</v>
      </c>
      <c r="C4" s="3">
        <f>VLOOKUP($A4,Globals!$J$30:$L$34,3,FALSE)</f>
        <v>0.39015207303618948</v>
      </c>
      <c r="F4" s="5" t="s">
        <v>20</v>
      </c>
      <c r="G4">
        <f>VLOOKUP($F4,Globals!$N$30:$P$36,2,FALSE)</f>
        <v>316227766016.83789</v>
      </c>
      <c r="H4">
        <f>VLOOKUP($F4,Globals!$N$30:$P$36,3,FALSE)</f>
        <v>0.39015207303618948</v>
      </c>
      <c r="K4" t="s">
        <v>215</v>
      </c>
      <c r="L4" s="25">
        <f>B11*P4</f>
        <v>6.3245553203367595E+46</v>
      </c>
      <c r="M4" s="25">
        <f>C11</f>
        <v>4.5113686573257059</v>
      </c>
      <c r="N4">
        <v>1</v>
      </c>
      <c r="O4" t="s">
        <v>84</v>
      </c>
      <c r="P4">
        <f>p_computronium*p_hedonium</f>
        <v>2.0000000000000004E-2</v>
      </c>
      <c r="Q4" s="3"/>
      <c r="R4" s="3"/>
    </row>
    <row r="5" spans="1:18" ht="15" customHeight="1">
      <c r="A5" s="5" t="s">
        <v>19</v>
      </c>
      <c r="B5" s="3">
        <f>VLOOKUP($A5,Globals!$J$30:$L$34,2,FALSE)</f>
        <v>3.1622776601683796E+22</v>
      </c>
      <c r="C5" s="3">
        <f>VLOOKUP($A5,Globals!$J$30:$L$34,3,FALSE)</f>
        <v>1.9507603651809475</v>
      </c>
      <c r="K5" s="48" t="s">
        <v>186</v>
      </c>
      <c r="L5" s="49" t="str">
        <f>WriteArray(SumLognormDists(L3:M4))</f>
        <v>0,0,0,0,0,0,0,0,0,0,0,0,0,0,0,0,0,0,0,0,0,0,0,0,0,0,0,0,0,0,0,0,0,0,0,0,0,0,0,0,0,0,0,0,0,0,0,0,0,0,0,0,0,0,0,0,0,0,0,0,0,0,0,0,0,0,0,0,0,0,0,0,0,0,0,0,0,0,0,0,0,0,0,0,0,0,0,0,0,0,0,0,0,9.25222180720831E-312,1.25830216577955E-310,1.69619131947086E-309,2.26527549803281E-308,3.00958307913845E-307,3.97639344322915E-306,5.22487494679996E-305,6.82757918618528E-304,8.87282369776892E-303,1.14673013433407E-301,1.47388931767237E-300,1.88396485374497E-299,2.39488689650078E-298,3.02762101743269E-297,3.80646914708132E-296,4.75934757245288E-295,5.91802564404609E-294,7.31830629476429E-293,9.00012719734056E-292,1.1007559582334E-290,1.33886806202927E-289,1.61952950646907E-288,1.94824827795581E-287,2.33079510424652E-286,2.77311742891182E-285,3.2812309365365E-284,3.86108814171215E-283,4.5184244228413E-282,5.25858289557229E-281,6.08632065299862E-280,7.00560011123535E-279,8.01937043867467E-278,9.12934525385341E-277,1.03357838811535E-275,1.16372843813614E-274,1.30305972505261E-273,1.45104690345598E-272,1.60695250766383E-271,1.76982001519009E-270,1.9384724820487E-269,2.11151739401375E-268,2.28735819441581E-267,2.46421272582009E-266,2.64013856762793E-265,2.81306497446464E-264,2.98083083349441E-263,3.14122777644845E-262,3.29204731888508E-261,3.43113066971955E-260,3.55641967210611E-259,3.6660072142182E-258,3.75818539454263E-257,3.83148974678169E-256,3.88473792622468E-255,3.91706143022726E-254,3.92792916376467E-253,3.91716195653719E-252,3.88493747710324E-251,3.83178535569047E-250,3.75857270278029E-249,3.66648057679007E-248,3.55697229327907E-247,3.43175476376646E-246,3.29273429076727E-245,3.14196841664451E-244,2.98161552087907E-243,2.81388388107912E-242,2.64098185935391E-241,2.46507075336567E-240,2.28822166960761E-239,2.11237754713986E-238,1.93932119686694E-237,1.77064993916513E-236,1.60775713597894E-235,1.4518206363173E-234,1.30379789872569E-233,1.16442733099018E-232,1.03423520367255E-231,9.13547354957833E-231,8.02504811801268E-230,7.01082405951288E-229,6.09109460234815E-228,5.26291655749364E-227,4.52233258120361E-226,3.86458973655024E-225,3.28434816567335E-224,2.77587489050456E-223,2.3332189990421E-222,1.95036568558456E-221,1.62136774570669E-220,1.34045414079584E-219,1.10211611531527E-218,9.01172056914543E-218,7.32812830010076E-217,5.92629691602518E-216,4.7662712535021E-215,3.81223023204878E-214,3.03238623720013E-213,2.39880504738524E-212,1.88716748075309E-211,1.47649166536303E-210,1.14883228685707E-209,8.88970510872593E-209,6.84105652105947E-208,5.23557176090897E-207,3.98483351238643E-206,3.01620867614255E-205,2.27048031231971E-204,1.69972734212699E-203,1.26545282111249E-202,9.36953087400028E-202,6.89913969232875E-201,5.05216176036998E-200,3.67929649250695E-199,2.66475673910319E-198,1.91935632959067E-197,1.37486140366118E-196,9.79416725056986E-196,6.93875271797068E-195,4.88878139188383E-194,3.42550930676541E-193,2.38701433502364E-192,1.65420853824619E-191,1.14006827155253E-190,7.8140618662021E-190,5.32633197240407E-189,3.61064700271722E-188,2.43414957490559E-187,1.63198039190406E-186,1.0881482593527E-185,7.21550418099883E-185,4.75828866253233E-184,3.12061645799643E-183,2.03533324902692E-182,1.32018927120938E-181,8.51613282019103E-181,5.46328963451396E-180,3.48555236931122E-179,2.21153900957009E-178,1.39547871990522E-177,8.75704276873355E-177,5.46509076623135E-176,3.3918993835685E-175,2.09360252482127E-174,1.28514228712717E-173,7.84537886258549E-173,4.76301963744695E-172,2.87578613434654E-171,1.72677828838473E-170,1.03115125003476E-169,6.12370108807367E-169,3.61669121638691E-168,2.12429455064065E-167,1.24086322498577E-166,7.20840180846805E-166,4.16447226778582E-165,2.39269254139399E-164,1.36716134690571E-163,7.76888371747141E-163,4.39039369156847E-162,2.46748388874338E-161,1.37914910504295E-160,7.66609462520433E-160,4.23782684691987E-159,2.32979838810691E-158,1.27379516162574E-157,6.92607186239111E-157,3.74524780205207E-156,2.01409666741901E-155,1.07717502418523E-154,5.72925923579797E-154,3.03051842782701E-153,1.59419581804993E-152,8.34012781174938E-152,4.33920406918665E-151,2.24519360433465E-150,1.15532426421014E-149,5.91235352004149E-149,3.00900784616075E-148,1.52297473202084E-147,7.66599537414041E-147,3.83752228722072E-146,1.91046813177688E-145,9.45878251798429E-145,4.65733271312928E-144,2.28058307950118E-143,1.11060894611531E-142,5.37877157266694E-142,2.59066779329579E-141,1.24092939184594E-140,5.91138390106217E-140,2.80051585100142E-139,1.31945235356238E-138,6.18238753841016E-138,2.88088288572535E-137,1.33506336302528E-136,6.15297398731888E-136,2.82016966823793E-135,1.28550089744291E-134,5.82742310078581E-134,2.62716754588506E-133,1.17789363332853E-132,5.25208196996475E-132,2.328970927337E-131,1.02707893706715E-130,4.50454361883387E-130,1.96473970921304E-129,8.5224906984589E-129,3.67650678163222E-128,1.57729005424781E-127,6.72969144382239E-127,2.85552633805185E-126,1.20499336526881E-125,5.05697312943393E-125,2.11059147219413E-124,8.76042736680247E-124,3.61621320149849E-123,1.48453492989122E-122,6.0608636381237E-122,2.4608568137711E-121,9.93678645377459E-121,3.99037205311625E-120,1.59363436788535E-119,6.32953622464936E-119,2.50013258909582E-118,9.82114639727417E-118,3.83680179714613E-117,1.49068069031886E-116,5.75980808361827E-116,2.21329637232458E-115,8.45822726002008E-115,3.21460334955051E-114,1.21502090178733E-113,4.56718355957286E-113,1.70734620902553E-112,6.3475069112473E-112,2.34689295014865E-111,8.62962530929038E-111,3.15572544191669E-110,1.14766502814128E-109,4.15087641025582E-109,1.49304614082034E-108,5.34091273518164E-108,1.90005694251044E-107,6.72243618591559E-107,2.36535186360368E-106,8.27701747962433E-106,2.88045503770051E-105,9.96913548016676E-105,3.43133503889788E-104,1.17456766896521E-103,3.99854797959232E-103,1.3537422877748E-102,4.55805076162433E-102,1.52627173637517E-101,5.08269646086032E-101,1.68331797456615E-100,5.54431489800777E-100,1.81609861066368e-99,5.91617269095933e-99,1.91669145924274e-98,6.17552086138996e-98,1.97881444140499e-97,6.30589471218663e-97,1.99847444666696e-96,6.29884323663004e-96,1.97439204685792e-95,6.15483559176645e-95,1.90813927067807e-94,5.88320948396651e-94,1.80396981670763e-93,5.50116935431636e-93,1.66836719222795e-92,5.03198375336707e-92,1.50937749105026e-91,4.50264436063043e-91,1.33582217702786e-90,3.94131340409414e-90,1.1564975074395e-89,3.37489243169934e-89,9.79460141402921e-89,2.82699665317352e-88,8.11475877511155e-88,2.31652945451104e-87,6.5767605891438e-87,1.85694198429621e-86,5.21430990617423e-86,1.45615515050077e-85,4.04418372735634e-85,1.11703460946165e-84,3.06842150450707e-84,8.38255007422404e-84,2.27745686654269e-83,6.15371171961226e-83,1.65362578515247e-82,4.41927011301737e-82,1.17456540410334e-81,3.10468350433966e-81,8.16152025064935e-81,2.13372536311349e-80,5.54778774990761e-80,1.43454821588984e-79,3.68913538497761e-79,9.43513910015708e-79,2.39986290379469e-78,6.0707047766629e-78,1.52723720600142e-77,3.82110286040454e-77,9.50792974244853e-77,2.35287229426178e-76,5.79063327358232e-76,1.41732432555425e-75,3.45007119484415e-75,8.35223443684288e-75,2.01091292846476e-74,4.81504111928744e-74,1.14662934749018e-73,2.71558001322759e-73,6.39615284774239e-73,1.49827636316696e-72,3.49045526680501e-72,8.08703776358445e-72,1.86343525639649e-71,4.27028427858345e-71,9.73233642901633e-71,2.20594912970876e-70,4.97269862462044e-70,1.11482645860532e-69,2.48565642186103e-69,5.51180515813465e-69,1.21553025284789e-68,2.66598117593021e-68,5.81524497365266e-68,1.26153360518198e-67,2.72175954863303e-67,5.84011047214889e-67,1.24627247807675e-66,2.64500103315908e-66,5.5829001068825e-66,1.17196681343157e-65,2.44676634365222e-65,5.08032735253852e-65,1.04909110660517e-64,2.15455370273769e-64,4.40072629454249e-64,8.93952871320177e-64,1.80604447351131e-63,3.62882593629089e-63,7.25150328814389e-63,1.44116769182306e-62,2.84856343765777e-62,5.59967138887141e-62,1.09477487712275e-61,2.12869340514815e-61,4.11649699161567e-61,7.91715740611617e-61,1.51439075382201e-60,2.8809400748241e-60,5.45077843137344e-60,1.02567860012085e-59,1.91952143303436e-59,3.57276126728624e-59,6.61370555470276e-59,1.21763190500713e-58,2.22955390567037e-58,4.06023557734781e-58,7.35387596407855e-58,1.3246883300417e-57,2.37325281583367e-57,4.22870842394816e-57,7.49385853480549e-57,1.32080237350084e-56,2.31528999296872e-56,4.03653545939389e-56,6.99920331107437e-56,1.20705083250218e-55,2.07033344136012e-55,3.53177893677382e-55,5.99219469464404e-55,1.01115617728406e-54,1.69703670398787e-54,2.83273323825313e-54,4.70286341163727e-54,7.76536934977766e-54,1.27528067632323e-53,2.08302375094345e-53,3.38398432604853e-53,5.4677552558269e-53,8.78693364942253e-53,1.40447549766732e-52,2.23275227535383e-52,3.53034797444978e-52,5.55195795208941e-52,8.68415601411923e-52,1.35102383828695e-51,2.090516223322e-51,3.2173657642784e-51,4.92498558608076e-51,7.49839712666661e-51,1.13551327303104e-50,1.7103212838563e-50,2.56227858037896e-50,3.81803280992851e-50,5.65873279785218e-50,8.34193020214775e-50,1.22316042089639e-49,1.78390417507119e-49,2.58781158303269e-49,3.73395148961976e-49,5.35897225159224e-49,7.65020661875464e-49,1.08628984244901e-48,1.53426835067019e-48,2.15547121741198e-48,3.01210946020173e-48,4.18686839933302e-48,5.78895831267018e-48,7.96171629680905e-48,1.08920808431126e-47,1.48223042483049e-47,2.00643106347855e-47,2.70171464888827e-47,3.61880029653505e-47,4.82173107436581e-47,6.39084142112234e-47,8.42623167684988e-47,1.10517947125207e-46,1.44198321259993e-46,1.8716285986207e-46,2.41665960503795e-46,3.10421712253235e-46,3.96674374039773e-46,5.04273914948494e-46,6.3775553552593e-46,8.02421658258918e-46,1.00442440073083e-45,1.25084603913288e-45,1.54977445019305e-45,1.91037000847091e-45,2.34291994033879e-45,2.85887572693092e-45,3.47086884013062e-45,4.19269992424961e-45,5.03929653731379e-45,6.02663477342253e-45,7.17162053038346e-45,8.4919268862935e-45,1.00057850165433e-44,1.17317273180972e-44,1.36882828956932e-44,1.58936272738514e-44,1.83651900819109e-44,2.11192264533161e-44,2.41703599070355e-44,2.75311064483285e-44,3.12113914397983e-44,3.5218072349916e-44,3.95544816850532e-44,4.42200051604412e-44,4.92097103873957e-44,5.45140409903913e-44,6.01185900849832e-44,6.60039654419095e-44,7.21457564612387e-44,7.85146103425746e-44,8.50764216534756e-44,9.17926359863716e-44,9.86206646948604e-44,1.05514403969462e-43,1.12424847914286e-43,1.19300781981923e-43,1.26089540265962e-43,1.32737807871417e-43,1.39192447988832e-43,1.45401332460563e-43,1.51314154583082e-43,1.56883203633643e-43,1.62064082100536e-43,1.66816348755385e-43,1.71104073424095e-43,1.748962924567e-43,1.78167357315808e-43,1.80897172241538e-43,1.83071320452164e-43,1.84681081658261e-43,1.85723346675692e-43,1.86200437513846e-43,1.86119843412507e-43,1.85493884855514e-43,1.84339318584087e-43,1.82676897077893e-43,1.80530895903994e-43,1.77928621809779e-43,1.74899913529359e-43,1.71476646066959e-43,1.67692247803849e-43,1.6358123823439e-43,1.59178792553853e-43,1.54520337768203e-43,1.4964118353461e-43,1.44576189617946e-43,1.39359470695346e-43,1.34024138276866e-43,1.28602078740897e-43,1.23123765903306e-43,1.1761810613491e-43,1.12112313792504e-43,1.06631814609291e-43,1.01200174674767e-43,9.58390526952408e-44,9.05681733394055e-44,8.5405319616653e-44,8.03663423907939e-44,7.54651852842059e-44,7.07139233669096e-44,6.61228141453783e-44,6.17003594640551e-44,5.74533770085614e-44,5.33870801555493e-44,4.95051649537595e-44,4.58099030487026e-44,4.23022393843492e-44,3.8981893534173e-44,3.58474635350862e-44,3.28965311248576e-44,3.0125767319186e-44,2.75310373104739e-44,2.51075037273183e-44,2.2849727361779e-44,2.0751764549836e-44,1.88072604777355e-44,1.70095377813601e-44,1.53516799052402e-44,1.38266087901283e-44,1.24271565609303e-44,1.11461309880647e-44,9.97637459301594e-45,8.91081736121392e-45,7.94252311093375e-45,7.06472964449858e-45,6.27088287682909e-45,5.5546651957525e-45,4.91001835819248e-45,4.33116126639335e-45,3.8126029989019e-45,3.34915149254767e-45,2.9359182846932e-45,2.56831973026268e-45,2.24207510628071e-45,1.95320200870217e-45,1.69800943306057e-45,1.47308891277776e-45,1.27530406772307e-45,1.10177889160452e-45,9.49885080793406e-46,8.17228679938491e-46,7.01636291859732e-46,6.01141071295701e-46,5.13968694605559e-46,4.38523470914059e-46,3.73374734778138e-46,3.17243636517119e-46,2.68990424088585e-46,2.27602289950057e-46,1.9218183780841e-46,1.61936207560686e-46,1.36166882065139e-46,1.14260186607462e-46,9.56784809718163e-47,7.99520347937145e-47,6.66715692483626e-47,5.54814419873334e-47,4.60734474442337e-47,3.81812010481617e-47,3.15750733737816e-47,2.60576386829195e-47,2.14596015438815e-47,1.76361651272656e-47,1.4463805255279e-47,1.18374152191159e-47,9.66778767936085e-48,7.87940154132541e-48,6.40848347456084e-48,5.20131565723186e-48,4.21276331484163e-48,3.40499764111879e-48,2.74639169716864e-48,2.21056885125875e-48,1.77558522066641e-48,1.4232293897096e-48,1.13842439054446e-48,9.08718536218205e-49,7.23853183355481e-49,5.75396872481477e-49,4.56436547728e-49,3.61317697007255e-49,2.85426282776067e-49,2.25006257567997e-49,1.77007283716193e-49,1.38958009855724e-49,1.08860904913323e-49,8.51052204945432e-50,6.63951519248475e-50,5.16907035562976e-50,4.01591418854227e-50,3.11352467468565e-50,2.40888521472606e-50,1.85984095429285e-50,1.43295124507328e-50,1.10174966753404e-50,8.45337915714165e-51,6.47252409570405e-51,4.94553078572468e-51,3.77092634811209e-51,2.86932073701247e-51,2.17874323005584e-51,1.65093095579541e-51,1.24838251614871e-51,9.42024832022366e-52,7.09370185088015e-52,5.33064078383381e-52,3.99743868400967e-52,2.9914387202409e-52,2.23395446791571e-52,1.66480905813404e-52,1.23808496543347e-52,9.18824096177586e-53,6.80471920554839e-53,5.02902678063796e-53,3.708972338598e-53,2.7297265701813e-53,2.0048440976117e-53,1.46939301881975e-53,1.07470988785247e-53,7.84405127103597e-54,5.71328000782312e-54,4.15266121457001e-54,3.01205848651179e-54,2.18019935079314e-54,1.57479823028803e-54,1.13514028534659e-54,8.16526082461484e-55,5.86119936585422e-55,4.19854519465187e-55,3.00128389330949e-55,2.14097319155923e-55,1.52409236534877e-55,1.08269779545297e-55,7.67536653055074e-56,5.42983836987821e-56,3.83328038500748e-56,2.7005372876918e-56,1.89856589930096e-56,1.33197808866988e-56,9.32533391767083e-57,6.51519786306819e-57,4.5424142110865e-57,3.16039790212908e-57,2.19428332299794e-57,1.52033588546219e-57,1.05119260571586e-57,7.25305473196802e-58,4.99408027179789e-58,3.43151569208619e-58,2.35294820049511e-58,1.61003252755387e-58,1.09939267889849e-58,7.4914681519062e-59,5.09421113922173e-59,3.45686843751723e-59,2.34090973737717e-59,1.5819122587703e-59,1.06678284108946e-59,7.17902652853917e-60,4.82115396903287e-60,3.23096572714397e-60,2.1607753043884e-60,1.44205814102906e-60,9.60399312044234e-61,6.38288201173994e-61,4.23328686794817e-61,2.80178295453891e-61,1.85049188471174e-61,1.21965159338886e-61,8.0219563911803e-62,5.26527080188255e-62,3.44871284864902e-62,2.254183487459e-62,1.47033873919859e-62,9.57065017088485e-63,6.21672119783286e-63,4.02974204300351e-63,2.60668773498027e-63,1.68266118687299e-63,1.08392754415592e-63,6.96786510578623e-64,4.46987237138191e-64,2.86145168913813e-64,1.82798917530303e-64,1.16535093238133e-64,7.41371254417343e-65,4.70663656460674e-65,2.98182047481756e-65,1.8851600480793e-65,1.18935326347454e-65,7.48806173906298e-66,4.70461263962209e-66,2.94967544034346e-66,1.84552741059776e-66,1.15229233838143e-66,7.1796083702947e-67,4.46410851224866e-67,2.76990348641749e-67,1.71510391261323e-67,1.05977127796264e-67,6.53476176034286e-68,4.02108524085874e-68,2.46917975078879e-68,1.51306658584044e-68,9.25250398711889e-69,5.64620221293805e-69,3.43834523981853e-69,2.08948107360276e-69,1.26713623007051e-69,7.66838805254081e-70,4.63106377631129e-70,2.79095830511475e-70,1.67850191745566e-70,1.00736357095886e-70,6.03318368482196e-71,3.60580935354639e-71,2.15057642455231e-71,1.27997918383486e-71,7.60233213971196e-72,4.50595322465538e-72,2.66515471373332e-72,1.57309183820197e-72,9.26577258842716e-73,5.44634442964607e-73,3.19465875906974e-73,1.86999202501215e-73,1.09232265237334e-73,6.36733987696787e-74,3.70391516686327e-74,2.1501063245689e-74,1.24553159537951e-74,7.2002150444679e-75,4.15367098414535e-75,2.39119296661172e-75,1.37370368452065e-75,7.87530546733768e-76,4.50544466256598e-76,2.57219457665993e-76,1.46543271639426e-76,8.33151258419008e-77,4.72691434597816e-77,2.67625515883512e-77,1.51207456747247e-77,8.52540082591496e-78,4.79680773237072e-78,2.69330614753322e-78,1.50908964854987e-78,8.43801444392494e-79,4.70827038495104e-79,2.62167246612306e-79,1.45677130105395e-79,8.07793264918048e-80,4.46997387850118e-80,2.46834379704363e-80,1.36019827504603e-80,7.47988114374981e-81,4.10471568318846e-81,2.24785022708396e-81,1.22842195014448e-81,6.69921123131739e-82,3.64582385160363e-82,1.97999274358551e-82,1.07306844000369e-82,5.80346209253194e-83,3.13215170350874e-83,1.68691939646385e-83,9.06654416973009e-84,4.86278578033968e-84,2.60270173205094e-84,1.39014329942278e-84,7.40952976421906e-85,3.94110158936086e-85,2.09189806983599e-85,1.10804989072218e-85,5.85698373372474e-86,3.08947458651205e-86,1.62626435458155e-86,8.54266872880719e-87,4.47808048046476e-87,2.34253522501543e-87,1.2228586851881e-87,6.37033573176536e-88,3.31164882352617e-88,1.71799596242402e-88,8.89397506453736e-89,4.59478910691578e-89,2.36881511026765e-89,1.21868833215044e-89,6.25676795046201e-90,3.20555586489443e-90,1.63890038880244e-90,8.36175951741119e-91,4.25734352372134e-91,2.16309514616939e-91,1.09675205672847e-91,5.54928715888119e-92,2.80195945561682e-92,1.41182998468225e-92,7.09902756331489e-93,3.56214201726342e-93,1.78369052146883e-93,8.91299546237359e-94,4.4445088260115e-94,2.21166714861404e-94,1.09827644143245e-94,5.44251300197426e-95,2.69143062114822e-95,1.32819796272265e-95,6.54091246167653e-96,3.21447291445344e-96,1.57643878438756e-96,7.71507865513301e-97,3.76790124521725e-97,1.83634624734536e-97,8.93111206103419e-98,4.33463378856483e-98,2.09939999581431e-98,1.01469116418038e-98,4.89405078662944e-99,2.35558603857458e-99,1.13142397702881e-99,5.42310097778357E-100,2.59397574365033E-100,1.23816931501783E-100,5.89780038825428E-101,2.80347062024674E-101,1.32983529456095E-101,6.29499816463963E-102,2.97364600496541E-102,1.40177668690348E-102,6.59423325754391E-103,3.09560603322858E-103,1.45018353538678E-103,6.77947654173703E-104,3.16275288962129E-104,1.47241511377853E-104,6.84055247416488E-105,3.17137791432422E-105,1.46723852847737E-105,6.77406492213929E-106,3.12100089395867E-106,1.43494196961222E-106,6.58370995563476E-107,3.01441434712201E-107,1.37730813631634E-107,6.27993551946637E-108,2.85742712219803E-108,1.29745124576585E-108,5.87899158684368E-109,2.65834006404369E-109,1.19953836088149E-109,5.40149094352555E-110,2.42721959761429E-110,1.08842972621158E-110,4.87065787903876E-111,2.17505760178409E-111,9.69281239355982E-112,4.31047129890494E-112,1.91291474626558E-112,8.47154025810286E-113,3.74390697767677E-113,1.65113896639163E-113,7.26671471523569E-114,3.19145335166454E-114,1.39873292478015E-114,6.11754258818722E-115,2.67002367112135E-115,1.16291809558647E-115,5.0545099033854E-116,2.19232472471839E-116,9.48913484913898E-117,4.09868235021124E-117,1.76667966984267E-117,7.59918938138434E-118,3.26191493205675E-118,1.39724929912463E-118,5.97270516198381E-119,2.54779311393563E-119,1.0845589158539E-119,4.60721039019781E-120,1.95307467008092E-120,8.26219720811377E-121,3.48793331098216E-121,1.46938869807483E-121,6.17733457575556E-122,2.59156114393787E-122,1.08496993053581E-122,4.53283437757935E-123,1.88980897154544E-123,7.86252190619075E-124,3.2643877326573E-124,1.35250074317153E-124,5.59202615850069E-125,</v>
      </c>
      <c r="M5" s="49" t="s">
        <v>181</v>
      </c>
      <c r="Q5" s="3"/>
      <c r="R5" s="3"/>
    </row>
    <row r="6" spans="1:18" ht="15" customHeight="1">
      <c r="A6" s="5" t="s">
        <v>46</v>
      </c>
      <c r="B6" s="3">
        <f>VLOOKUP($A6,Globals!$J$30:$L$34,2,FALSE)</f>
        <v>0.1</v>
      </c>
      <c r="C6" s="3">
        <f>VLOOKUP($A6,Globals!$J$30:$L$34,3,FALSE)</f>
        <v>0</v>
      </c>
      <c r="K6" s="3" t="s">
        <v>189</v>
      </c>
      <c r="L6" s="3">
        <f>STupidExcelMean(L5)</f>
        <v>9.9251351342794744E+51</v>
      </c>
      <c r="M6" s="3">
        <f>STupidExcelVariance(L5,L6)</f>
        <v>2.3959694081509975E+114</v>
      </c>
      <c r="N6" t="s">
        <v>184</v>
      </c>
      <c r="Q6" s="3"/>
      <c r="R6" s="3"/>
    </row>
    <row r="7" spans="1:18" ht="15" customHeight="1">
      <c r="F7" s="20" t="s">
        <v>58</v>
      </c>
      <c r="Q7" s="3"/>
      <c r="R7" s="3"/>
    </row>
    <row r="8" spans="1:18" ht="15" customHeight="1">
      <c r="F8" s="5" t="s">
        <v>21</v>
      </c>
      <c r="G8">
        <f>VLOOKUP($F8,Globals!$N$30:$P$36,2,FALSE)</f>
        <v>100000000000</v>
      </c>
      <c r="H8">
        <f>VLOOKUP($F8,Globals!$N$30:$P$36,3,FALSE)</f>
        <v>0.78030414607237897</v>
      </c>
      <c r="K8" t="s">
        <v>220</v>
      </c>
      <c r="L8" s="25">
        <f>G16*P8</f>
        <v>2.6563132345414381E+34</v>
      </c>
      <c r="M8" s="25">
        <f>H16</f>
        <v>2.8210645112533266</v>
      </c>
      <c r="N8">
        <v>-1</v>
      </c>
      <c r="O8" t="s">
        <v>70</v>
      </c>
      <c r="P8">
        <f>p_biological*p_not_care_about_animals*p_factory_farming</f>
        <v>0.16799999999999998</v>
      </c>
      <c r="Q8" s="3"/>
      <c r="R8" s="3"/>
    </row>
    <row r="9" spans="1:18" ht="15" customHeight="1">
      <c r="A9" s="20" t="s">
        <v>55</v>
      </c>
      <c r="F9" s="5" t="s">
        <v>42</v>
      </c>
      <c r="G9">
        <f>VLOOKUP($F9,Globals!$A$17:$F$24,4,FALSE)</f>
        <v>1</v>
      </c>
      <c r="H9">
        <f>VLOOKUP($F9,Globals!$A$17:$F$24,6,FALSE)</f>
        <v>0</v>
      </c>
      <c r="K9" t="s">
        <v>217</v>
      </c>
      <c r="L9" s="25">
        <f>G22*P9</f>
        <v>8.9599999999999976E+36</v>
      </c>
      <c r="M9" s="25">
        <f>H22</f>
        <v>3.4812165842895157</v>
      </c>
      <c r="N9">
        <v>-1</v>
      </c>
      <c r="O9" t="s">
        <v>81</v>
      </c>
      <c r="P9">
        <f>p_biological*p_not_care_about_animals*p_spread_was</f>
        <v>0.22399999999999998</v>
      </c>
      <c r="Q9" s="3"/>
      <c r="R9" s="3"/>
    </row>
    <row r="10" spans="1:18" ht="15" customHeight="1">
      <c r="A10" s="5" t="s">
        <v>47</v>
      </c>
      <c r="B10" s="3">
        <f>VLOOKUP($A10,Globals!$A$17:$F$24,4,FALSE)</f>
        <v>1000</v>
      </c>
      <c r="C10" s="3">
        <f>VLOOKUP($A10,Globals!$A$17:$F$24,6,FALSE)</f>
        <v>1</v>
      </c>
      <c r="F10" s="31" t="s">
        <v>60</v>
      </c>
      <c r="G10" s="25">
        <f>PRODUCT(G$3:G$4)*PRODUCT(G8:G9)</f>
        <v>3.1622776601683788E+34</v>
      </c>
      <c r="H10" s="25">
        <f>SUM(H$3:H$4)+SUM(H8:H9)</f>
        <v>2.7310645112533267</v>
      </c>
      <c r="K10" t="s">
        <v>218</v>
      </c>
      <c r="L10" s="25">
        <f>G28*P10</f>
        <v>2.8334007835108666E+40</v>
      </c>
      <c r="M10" s="25">
        <f>H28</f>
        <v>4.1513686573257056</v>
      </c>
      <c r="N10">
        <v>-1</v>
      </c>
      <c r="O10" t="s">
        <v>82</v>
      </c>
      <c r="P10">
        <f>p_biological*p_not_care_about_animals*p_spread_was</f>
        <v>0.22399999999999998</v>
      </c>
      <c r="Q10" s="3"/>
      <c r="R10" s="3"/>
    </row>
    <row r="11" spans="1:18" ht="15" customHeight="1">
      <c r="A11" s="30" t="s">
        <v>60</v>
      </c>
      <c r="B11" s="25">
        <f>PRODUCT($B$3:$B$6)*B10</f>
        <v>3.1622776601683793E+48</v>
      </c>
      <c r="C11" s="25">
        <f>SUM(C$3:C$6)+C10</f>
        <v>4.5113686573257059</v>
      </c>
      <c r="K11" t="s">
        <v>219</v>
      </c>
      <c r="L11" s="25">
        <f>G35*P11</f>
        <v>6.7199999999999966E+38</v>
      </c>
      <c r="M11" s="25">
        <f>H35</f>
        <v>5.3218248764342739</v>
      </c>
      <c r="N11">
        <v>-1</v>
      </c>
      <c r="O11" t="s">
        <v>83</v>
      </c>
      <c r="P11">
        <f>p_biological*p_not_care_about_animals*p_suffering_simulations</f>
        <v>0.16799999999999998</v>
      </c>
      <c r="Q11" s="3"/>
      <c r="R11" s="3"/>
    </row>
    <row r="12" spans="1:18" ht="15" customHeight="1">
      <c r="B12" s="3"/>
      <c r="K12" t="s">
        <v>222</v>
      </c>
      <c r="L12" s="25">
        <f>B16*P12</f>
        <v>4.7434164902525701E+43</v>
      </c>
      <c r="M12" s="25">
        <f>C16</f>
        <v>4.9513686573257054</v>
      </c>
      <c r="N12">
        <v>-1</v>
      </c>
      <c r="O12" t="s">
        <v>85</v>
      </c>
      <c r="P12">
        <f>p_computronium*p_paperclip</f>
        <v>7.5000000000000011E-2</v>
      </c>
      <c r="Q12" s="3"/>
      <c r="R12" s="3"/>
    </row>
    <row r="13" spans="1:18" ht="15" customHeight="1">
      <c r="F13" s="1" t="s">
        <v>61</v>
      </c>
      <c r="K13" t="s">
        <v>216</v>
      </c>
      <c r="L13" s="25">
        <f>B21*P13</f>
        <v>1.5811388300841899E+46</v>
      </c>
      <c r="M13" s="25">
        <f>C21</f>
        <v>4.5113686573257059</v>
      </c>
      <c r="N13">
        <v>-1</v>
      </c>
      <c r="O13" t="s">
        <v>86</v>
      </c>
      <c r="P13">
        <f>p_computronium*p_dolorium</f>
        <v>5.000000000000001E-3</v>
      </c>
      <c r="Q13" s="3"/>
      <c r="R13" s="3"/>
    </row>
    <row r="14" spans="1:18" ht="15" customHeight="1">
      <c r="A14" s="20" t="s">
        <v>56</v>
      </c>
      <c r="F14" t="s">
        <v>22</v>
      </c>
      <c r="G14">
        <f>VLOOKUP($F14,Globals!$N$30:$P$36,2,FALSE)</f>
        <v>100000000000</v>
      </c>
      <c r="H14">
        <f>VLOOKUP($F14,Globals!$N$30:$P$36,3,FALSE)</f>
        <v>0.78030414607237897</v>
      </c>
      <c r="K14" s="48" t="s">
        <v>187</v>
      </c>
      <c r="L14" s="49" t="str">
        <f>WriteArray(SumLognormDists(L8:M13))</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-324,1.00295326105773E-321,6.53401816625049E-320,4.21317443884998E-318,2.67974096699648E-316,1.68075811529373E-314,1.03955527097089E-312,6.34044964843011E-311,3.81349133279253E-309,2.26180848825459E-307,1.32287675321539E-305,7.62980711827111E-304,4.33948792281089E-302,2.4338527066333E-300,1.34611175248776E-298,7.34174153645528E-297,3.94864739123529E-295,2.09425248804866E-293,1.09532068444675E-291,5.64917775567007E-290,2.87316809154088E-288,1.44101603739684E-286,7.12703222514924E-285,3.4760090964395E-283,1.67180456118951E-281,7.92907771410716E-280,3.70845112105529E-278,1.71039063633556E-276,7.77913089958415E-275,3.48899237046018E-273,1.54312918774606E-271,6.73035595567465E-270,2.89472572899506E-268,1.22775187826837E-266,5.13508636661577E-265,2.11796617014614E-263,8.61439081322974E-262,3.45513143783485E-260,1.36659300472663E-258,5.33026253271356E-257,2.05018458340677E-255,7.77629013771383E-254,2.90862177718322E-252,1.07284634351248E-250,3.90232517183093E-249,1.39973306102506E-247,4.95111486668835E-246,1.72701847350554E-244,5.94055947717354E-243,2.01508924384161E-241,6.74059107862769E-240,2.22350765234509E-238,7.23296592808156E-237,2.32023272963628E-235,7.33979979180674E-234,2.28967906671416E-232,7.04373404402575E-231,2.13682730803544E-229,6.39255165830944E-228,1.88589548509183E-226,5.48655527874447E-225,1.57405851927802E-223,4.45329208670171E-222,1.24245565479565E-220,3.41837924066504E-219,9.27469079321855E-218,2.48152533794654E-216,6.54754200113991E-215,1.70364227049798E-213,4.37138733373E-212,1.10611727725993E-210,2.7600967454031E-209,6.79186301636486E-208,1.64814440216705E-206,3.94406058094922E-205,9.30752305229766E-204,2.16604334624581E-202,4.97099014383142E-201,1.12502366047024E-199,2.51086676810005E-198,5.52623317545589E-197,1.19944002382735E-195,2.5672722963035E-194,5.4188817644688E-193,1.1279556890996E-191,2.31536417576988E-190,4.68696568034621E-189,9.35642028980833E-188,1.84193139312429E-186,3.57588262916394E-185,6.84604014660632E-184,1.29253500780804E-182,2.4065350166074E-181,4.41864761935881E-180,8.00081417391891E-179,1.42865364651931E-177,2.51575304922412E-176,4.36875487164596E-175,7.48163126644756E-174,1.26352610155035E-172,2.10436842813048E-171,3.45628328076717E-170,5.59818483974006E-169,8.94202437155089E-168,1.40856062460374E-166,2.18809760153544E-165,3.35204365499519E-164,5.06413010748712E-163,7.54488538003416E-162,1.1085452754515E-160,1.6062295918911E-159,2.2951740009662E-158,3.23428158190627E-157,4.49463757486455E-156,6.15979974510362E-155,8.3251871747648E-154,1.10962787166615E-152,1.45853579196018E-151,1.89066098696223E-150,2.41694925962117E-149,3.04704712065527E-148,3.78834088056382E-147,4.64491378590802E-146,5.61649637471229E-145,6.69750469492051E-144,7.87627365972308E-143,9.13459530203982E-142,1.04476615242994E-140,1.17844869766669E-139,1.31088506228672E-138,1.4380747101585E-137,1.55582858430097E-136,1.6599923222903E-135,1.74668677076882E-134,1.81254665494808E-133,1.85493703644801E-132,1.87212818237063E-131,1.86341267492241E-130,1.82915371083635E-129,1.77075999452532E-128,1.69058964337426E-127,1.59179223994593E-126,1.4781037709264E-125,1.35361303765667E-124,1.22251981499267E-123,1.08890448401853E-122,9.56526280263307E-122,8.2866314371072E-121,7.08001056580483E-120,5.96575397648004E-119,4.95761873983061E-118,4.06310531095711E-117,3.28413525682815E-116,2.61795902130897E-115,2.05818483657926E-114,1.59582958158813E-113,1.22030997116495E-112,9.20314456390971E-112,6.8451931482743E-111,5.02133865259143E-110,3.63277620768335E-109,2.59205438483373E-108,1.82405082254483E-107,1.26595471598058E-106,8.66540553435249E-106,5.84992362800073E-105,3.89496183168113E-104,2.55769685961036E-103,1.65649055215166E-102,1.05809359888231E-101,6.66585207435645E-101,4.141760445586E-100,2.53812664987721e-99,1.53405853055676e-98,9.14475869467773e-98,5.37657407272729e-97,3.11776586496192e-96,1.78314761142315e-95,1.00586226832197e-94,5.59627036035889e-94,3.0709261409691e-93,1.66208095625872e-92,8.87255580564453e-92,4.67154738038582e-91,2.42599533167312e-90,1.24261938956255e-89,6.27779425532423e-89,3.12823010650682e-88,1.53749916797615e-87,7.45345525486647e-87,3.56392863789251e-86,1.68085801011843e-85,7.81926405215756e-85,3.58786222271185e-84,1.62383885660582e-83,7.24919407366222e-83,3.19211513984245e-82,1.38647441922644e-81,5.9400788001053e-81,2.51028018702048e-80,1.04641638133077e-79,4.30270898856433e-79,1.7451685874906e-78,6.98222297561327e-78,2.75558611404043e-77,1.07275694915774e-76,4.11963734078219e-76,1.56059518565107e-75,5.83174598764384e-75,2.14974791857544e-74,7.81737116322548e-74,2.80428377844162e-73,9.92373405856692e-73,3.46436970150723e-72,1.19309070869994e-71,4.05347139888267e-71,1.35859378991715e-70,4.49226736851612e-70,1.46541212720842e-69,4.71603585200826e-69,1.49734761937206e-68,4.69031126540712e-68,1.44950473426495e-67,4.41959226501594e-67,1.32952104560345e-66,3.94606955080356e-66,1.15557209459092e-65,3.3388634668521e-65,9.51867135822943e-65,2.67754677983526e-64,7.43169931346496e-64,2.03534042929486e-63,5.50036715390041e-63,1.46676356463551e-62,3.85967548612412e-62,1.00224170740816e-61,2.56823197281239e-61,6.49449774630063e-61,1.62075083871273e-60,3.99168722510763e-60,9.70234964334118e-60,2.32749377749864e-59,5.51064945111653e-59,1.28775013827991e-58,2.97021151599399e-58,6.76212174621108e-58,1.51960889635803e-57,3.37091527615781e-57,7.3815150026021e-57,1.59565834489102e-56,3.40523206698648e-56,7.17434449471515e-56,1.49232492667845e-55,3.06484020445565e-55,6.21489612277254e-55,1.24440156114996e-54,2.4604108896982e-54,4.80391935391146e-54,9.26288125639788e-54,1.76392846842674e-53,3.31759469235972e-53,6.16306903584407e-53,1.13090682918748e-52,2.04992679498733e-52,3.67077841528444e-52,6.49402223948674e-52,1.13509863112068e-51,1.96041065326882e-51,3.34568076925315e-51,5.64257418495239e-51,9.40497619097575e-51,1.54938396013764e-50,2.52299039990409e-50,4.0612763335994e-50,6.46302803088569e-50,1.01688812911803e-49,1.58201988576845e-49,2.4338352611065e-49,3.70297343762784e-49,5.57225126636795e-49,8.29416598363442e-49,1.22128960282281e-48,1.77914414675557e-48,2.56444499687504e-48,3.65770942687348e-48,5.16300856580663e-48,7.2130511790465e-48,9.97476694150547e-48,1.36552426232696e-47,1.85077906318198e-47,2.48378480622558e-47,3.3008320447742e-47,4.34439040588367e-47,5.66338516053542e-47,7.31325973421464e-47,9.35576381203923e-47,1.18584085759948e-46,1.48935370843523e-46,1.85369693912832e-46,2.28661989004063e-46,2.79581384219529e-46,3.38864407529495e-46,4.07184481172668e-46,4.8511855808774e-46,5.73112058033874e-46,6.71443536079588e-46,7.8019073770155e-46,8.99199839754999e-46,1.02805972534407e-45,1.16608307890387e-45,1.31229590865579e-45,1.46543680860309e-45,1.623966872081e-45,1.78609068308667e-45,1.94978826745059e-45,2.11285731650576e-45,2.27296443778878e-45,2.42770367751684e-45,2.57466013271507e-45,2.711476156243e-45,2.83591747727687e-45,2.94593652540481e-45,3.03973036052492e-45,3.11579086511707e-45,3.17294523271673e-45,3.21038526127996e-45,3.22768450166308e-45,3.2248028855549e-45,3.20207902924339e-45,3.16021094684515e-45,3.10022638044514e-45,3.02344434214503e-45,2.93142974838376e-45,2.82594320159906e-45,2.70888803725091e-45,2.58225671112366e-45,2.44807846413538e-45,2.30836998555019e-45,2.16509051942869e-45,2.0201025437446e-45,1.87513881724067e-45,1.73177625493886e-45,1.59141677612366e-45,1.45527498241883e-45,1.32437227863976e-45,1.19953685215416e-45,1.08140878071836e-45,9.70449444151678e-46,8.66954369000371e-46,7.71068632591535e-46,6.82803987115228e-46,6.02056928207811e-46,5.28627018211587e-46,4.62234874284068e-46,4.02539338817418e-46,3.49153458057186e-46,3.01658999280018e-46,2.59619333441279e-46,2.22590596013923e-46,1.90131112061932e-46,1.61809131632428e-46,1.37208968321917e-46,1.15935668022913e-46,9.76183575045199e-47,8.19124350502691e-47,6.85007694609364e-47,5.70940709687257e-47,4.74305895935469e-47,3.92752846758675e-47,3.241859505265e-47,2.66749237208846e-47,2.18809347740888e-47,1.78937446207397e-47,1.45890745361206e-47,1.1859417832798e-47,9.61226259159775e-48,7.76840009024665e-48,6.2603398246616e-48,5.03084429267054e-48,4.03159040675874e-48,3.22195939389868e-48,2.5679531809474e-48,2.04123240059048e-48,1.61826913370115e-48,1.27960618488429e-48,1.0092139358493e-48,7.93935516829556e-49,6.23011075161654e-49,4.87672213026602e-49,3.80798138416097e-49,2.96625663285641e-49,2.3050584144191e-49,1.78700727565007e-49,1.38214428713358e-49,1.06653289324329e-49,8.21106851751584e-50,6.30724912885587e-50,4.83398277621617e-50,3.69661735607557e-50,2.82063714085098e-50,2.14754287490029e-50,1.63153531770387e-50,1.23685494093707e-50,9.35655278488923e-51,7.0630856584807e-51,5.32060203528979e-51,3.99963637828096e-51,3.0003984543944e-51,2.24616080010208e-51,1.67807199009418e-51,1.25110014784502e-51,9.3086947619046e-52,6.91200126613207e-52,5.12200292192935e-52,3.78790559964127e-52,2.79565614920588e-52,2.05918461615635e-52,1.51368348932346e-52,1.11046320139762e-52,8.13024000512385e-53,5.94063960335736e-53,4.33205558861661e-53,3.15272392384422e-53,2.28985997373848e-53,1.65982678678853e-53,1.20073489381189e-53,8.66885127065465e-54,6.24605011954855e-54,4.49136361399658e-54,3.22313932371378e-54,2.30837979178201e-54,1.64991638017166e-54,1.17690718910364e-54,8.37813215141018e-55,5.95217902939798e-55,4.22014741275212e-55,2.98607821476306e-55,2.10860739425834e-55,1.4859709995379e-55,1.04506689546649e-55,7.33493209807392e-56,5.13766135362521e-56,3.5912973263869e-56,2.50526069466103e-56,1.74409184280644e-56,1.21171324440729e-56,8.40124553432991e-57,5.81299683567166e-57,4.01391689561793e-57,2.76597257335319e-57,1.90212000738997e-57,1.30538279495342e-57,8.94019892677788e-58,6.11033799107598e-58,4.16765239663813e-58,2.83677848212261e-58,1.92693264824573e-58,1.30621402512923e-58,8.83625799564336e-59,5.96524426755965e-59,4.01877282791139e-59,2.70186511086726e-59,1.81275231579614e-59,1.21371720562903e-59,8.10961870001396e-60,5.40738031022953e-60,3.59812819263467e-60,2.38929229245372e-60,1.58330497169438e-60,1.04703749775193e-60,6.90974463640623e-61,4.5505470464682e-61,2.99065852387876e-61,1.96142372171518e-61,1.2837402997094e-61,8.38462939307552e-62,5.46501439449577e-62,3.55467007959251e-62,2.30731905010146e-62,1.49456976642394e-62,9.66105939430346e-63,6.23208212753331e-63,4.01181857715492e-63,2.57720493956534e-63,1.65217495924619e-63,1.05696934193395e-63,6.74788836689885e-64,4.2990491158392e-64,2.73322776372584e-64,1.73411551783498e-64,1.09794073900856e-64,6.93710621304983e-65,4.37397459125383e-65,2.75215277625234e-65,1.72809295315336e-65,1.08282892582395e-65,6.77096706556327e-66,4.22512512972048e-66,2.63103358592475e-66,1.63497484733209e-66,1.01389633760918e-66,6.27442247999897e-67,3.87482078039395e-67,2.38796015929226e-67,1.46858830791103e-67,9.01302404497526e-68,5.51999151649393e-68,3.3736781904889e-68,2.05762490260106e-68,1.25235086856393e-68,7.60646808092272e-69,4.61038547749742e-69,2.78861494739267e-69,1.68320472420967e-69,1.01387022452787e-69,6.09431353428356e-70,3.65564637197247e-70,2.18826787420765e-70,1.30717483636089e-70,7.79226523946408e-71,4.6354360738151e-71,2.75178345565969e-71,1.63017667184861e-71,9.63722111496868e-72,5.68546088225644e-72,3.34715792846323e-72,1.96645214738375e-72,1.1528881790939e-72,6.74508755301253e-73,3.93808036510275e-73,2.29444744235667e-73,1.33403796147154e-73,7.74024622465795e-74,4.48164919382144e-74,2.5895089487773e-74,1.49311559133413e-74,8.59143846179502e-75,4.93326856416681e-75,2.82683226322176e-75,1.61644789273556e-75,9.22400975626782e-76,5.25259791942466e-76,2.98486646129306e-76,1.69266878962287e-76,9.57889439020884e-77,5.4094746395904e-77,3.04853430346825e-77,1.7144442393938e-77,9.62170224233078e-78,5.38860959201794e-78,3.01160337275387e-78,1.67963558698376e-78,9.34821276093065e-79,5.19204355427627e-79,2.87769176963832e-79,1.59164578110455e-79,8.78506059799288e-80,4.83881795720426e-80,2.65968363320407e-80,1.45887084484705e-80,7.9854587225249e-81,4.36193355343871e-81,2.37768527075643e-81,1.29337906768504e-81,7.02091023733663e-82,3.80326983613225e-82,2.05597096505921e-82,1.10910567906155e-82,5.97069640634429e-83,3.20754790718898e-83,1.71956030615135e-83,9.19936315263839e-84,4.91127443278855e-84,2.61653605596947e-84,1.39109030128891e-84,7.38040160940152e-85,3.9075157380598e-85,2.06451261762852e-85,1.08850494826244e-85,5.72716018800191e-86,3.00707531869684e-86,1.5755976735298e-86,8.23839102356395e-87,4.29868393019616e-87,2.23833283362707e-87,1.16308070878173e-87,6.03102421383937e-88,3.12081713155282e-88,1.61154188371376e-88,8.30445042796008e-89,4.27047533543621e-89,2.1914802311749e-89,1.12226369236452e-89,5.73519622869518e-90,2.92481002079906e-90,1.48848016288271e-90,7.55934988195055e-91,3.83108552626024e-91,1.9375604027411e-91,9.77877951017051e-92,4.92504333291082e-92,2.47532059296968e-92,1.24150607432478e-92,6.21387104108828e-93,3.10364195977137e-93,1.54695251709592e-93,7.69446344417914e-94,3.8192288729562e-94,1.89177296452528e-94,9.35100584689135e-95,4.61257695935258e-95,2.27051776150877e-95,1.11532686243482e-95,5.46733140939436e-96,2.67451240025795e-96,1.30559899939393e-96,6.36020299805541e-97,3.09191909046604e-97,1.49996538971014e-97,7.26156666477985e-98,3.50812768077423e-98,1.69128355255338e-98,8.1367960411486e-99,3.90648718840387e-99,1.87160996039834e-99,8.94829430907479E-100,4.2693439009043E-100,2.03272199237644E-100,9.65808001749595E-101,4.57930508814428E-101,2.16672764030375E-101,1.02306925496492E-101,4.82060679086869E-102,2.26670157905873E-102,1.06361131786955E-102,4.98043775161126E-103,2.32727683162314E-103,1.0852368665091E-103,5.05006530390344E-104,2.34512184464028E-104,1.0867503593449E-104,5.02562564330376E-105,2.31924398948703E-105,1.06806751549337E-105,4.90847897703469E-106,2.2510810186419E-106,1.03022308843306E-106,4.7050841309901E-107,2.14436875303328E-107,9.75275937554995E-108,4.42640869791583E-108,2.00480194253538E-108,9.06123514986948E-109,4.08694967940935E-109,1.83953113614823E-109,8.26249023634524E-110,3.70348627264782E-110,1.65655737890334E-110,7.39431915876026E-111,3.29371384666133E-111,1.46409583302331E-111,6.4945506704812E-112,2.87491282907444E-112,1.26997806302086E-112,5.59839742221646E-113,2.46278896690185E-113,1.08115171696505E-113,4.73633110231572E-114,2.07058678498225E-114,9.03318265496796E-115,3.93263932702331E-115,1.70853317755138E-115,7.40727876383011E-116,3.20471885948728E-116,1.3836210442664E-116,5.96129149032248E-117,2.56306449829232E-117,1.09970117978258E-117,4.70853525797912E-118,2.01183770776962E-118,8.57819754671793E-119,3.65001901246708E-119,1.54985188226032E-119,6.56721523373544E-120,2.77695148931624E-120,1.17179415046284E-120,4.9343545232319E-121,2.07350633217419E-121,8.69513595670432E-122,3.63867598347553E-122,1.51951989158159E-122,6.33235705687345E-123,2.63342165425277E-123,1.09287732096027E-123,4.52604045154048E-124,1.87051612685603E-124,7.71437050232312E-125,3.17494014525836E-125,1.30396701819145E-125,5.34433519334492E-126,2.18583206058415E-126,8.92145968738157E-127,</v>
      </c>
      <c r="M14" s="49" t="s">
        <v>181</v>
      </c>
    </row>
    <row r="15" spans="1:18" ht="15" customHeight="1">
      <c r="A15" s="5" t="s">
        <v>48</v>
      </c>
      <c r="B15" s="3">
        <f>VLOOKUP($A15,Globals!$A$17:$F$24,4,FALSE)</f>
        <v>0.2</v>
      </c>
      <c r="C15" s="3">
        <f>VLOOKUP($A15,Globals!$A$17:$F$24,6,FALSE)</f>
        <v>1.44</v>
      </c>
      <c r="F15" s="5" t="s">
        <v>43</v>
      </c>
      <c r="G15">
        <f>VLOOKUP($F15,Globals!$A$17:$F$24,4,FALSE)</f>
        <v>5</v>
      </c>
      <c r="H15">
        <f>VLOOKUP($F15,Globals!$A$17:$F$24,6,FALSE)</f>
        <v>0.09</v>
      </c>
      <c r="K15" s="3" t="s">
        <v>188</v>
      </c>
      <c r="L15" s="3">
        <f>STupidExcelMean(L14)</f>
        <v>2.5260339072773361E+51</v>
      </c>
      <c r="M15" s="3">
        <f>STupidExcelVariance(L14,L15)</f>
        <v>1.5113997487584372E+113</v>
      </c>
      <c r="N15" s="7" t="s">
        <v>184</v>
      </c>
    </row>
    <row r="16" spans="1:18" ht="15" customHeight="1">
      <c r="A16" s="30" t="s">
        <v>60</v>
      </c>
      <c r="B16" s="25">
        <f>PRODUCT($B$3:$B$6)*B15</f>
        <v>6.3245553203367596E+44</v>
      </c>
      <c r="C16" s="25">
        <f>SUM(C$3:C$6)+C15</f>
        <v>4.9513686573257054</v>
      </c>
      <c r="F16" s="31" t="s">
        <v>60</v>
      </c>
      <c r="G16" s="25">
        <f>PRODUCT(G$3:G$4)*PRODUCT(G14:G15)</f>
        <v>1.5811388300841894E+35</v>
      </c>
      <c r="H16" s="25">
        <f>SUM(H$3:H$4)+SUM(H14:H15)</f>
        <v>2.8210645112533266</v>
      </c>
    </row>
    <row r="17" spans="1:23" ht="15" customHeight="1">
      <c r="K17" s="3" t="s">
        <v>185</v>
      </c>
      <c r="L17" s="3">
        <f>L6-L15</f>
        <v>7.3991012270021376E+51</v>
      </c>
      <c r="M17">
        <f>DifferenceVariance(L6:M6,L15:M15)</f>
        <v>2.5471093830769836E+114</v>
      </c>
    </row>
    <row r="18" spans="1:23" ht="15" customHeight="1">
      <c r="K18" s="42" t="s">
        <v>121</v>
      </c>
      <c r="L18" s="33">
        <f>EXP(BucketMu(L17,M17))</f>
        <v>3.4303160870117568E+46</v>
      </c>
      <c r="M18" s="33">
        <f>(BucketSigma(L17,M17) / LN(10))^2</f>
        <v>4.6329187530560025</v>
      </c>
    </row>
    <row r="19" spans="1:23" ht="15" customHeight="1">
      <c r="A19" s="20" t="s">
        <v>57</v>
      </c>
      <c r="F19" s="1" t="s">
        <v>63</v>
      </c>
      <c r="S19" s="3"/>
      <c r="T19" s="3"/>
      <c r="U19" s="3"/>
      <c r="V19" s="3"/>
      <c r="W19" s="3"/>
    </row>
    <row r="20" spans="1:23" ht="15" customHeight="1">
      <c r="A20" s="5" t="s">
        <v>49</v>
      </c>
      <c r="B20" s="3">
        <f>VLOOKUP($A20,Globals!$A$17:$F$24,4,FALSE)</f>
        <v>1000</v>
      </c>
      <c r="C20" s="3">
        <f>VLOOKUP($A20,Globals!$A$17:$F$24,6,FALSE)</f>
        <v>1</v>
      </c>
      <c r="F20" t="s">
        <v>23</v>
      </c>
      <c r="G20">
        <f>VLOOKUP($F20,Globals!$N$30:$P$36,2,FALSE)</f>
        <v>316227766016837.94</v>
      </c>
      <c r="H20">
        <f>VLOOKUP($F20,Globals!$N$30:$P$36,3,FALSE)</f>
        <v>1.1704562191085683</v>
      </c>
      <c r="S20" s="37"/>
      <c r="T20" s="3"/>
      <c r="U20" s="3"/>
      <c r="V20" s="3"/>
      <c r="W20" s="3"/>
    </row>
    <row r="21" spans="1:23" ht="15" customHeight="1">
      <c r="A21" s="30" t="s">
        <v>60</v>
      </c>
      <c r="B21" s="25">
        <f>PRODUCT($B$3:$B$6)*B20</f>
        <v>3.1622776601683793E+48</v>
      </c>
      <c r="C21" s="25">
        <f>SUM(C$3:C$6)+C20</f>
        <v>4.5113686573257059</v>
      </c>
      <c r="F21" s="5" t="s">
        <v>44</v>
      </c>
      <c r="G21">
        <f>VLOOKUP($F21,Globals!$A$17:$F$24,4,FALSE)</f>
        <v>0.4</v>
      </c>
      <c r="H21">
        <f>VLOOKUP($F21,Globals!$A$17:$F$24,6,FALSE)</f>
        <v>0.36</v>
      </c>
      <c r="L21" s="3"/>
      <c r="M21" s="3"/>
      <c r="N21" s="44"/>
      <c r="S21" s="15"/>
      <c r="T21" s="3"/>
      <c r="U21" s="3"/>
      <c r="V21" s="3"/>
      <c r="W21" s="3"/>
    </row>
    <row r="22" spans="1:23" ht="15" customHeight="1">
      <c r="F22" s="31" t="s">
        <v>60</v>
      </c>
      <c r="G22" s="25">
        <f>PRODUCT(G$3:G$4)*PRODUCT(G20:G21)</f>
        <v>3.9999999999999993E+37</v>
      </c>
      <c r="H22" s="25">
        <f>SUM(H$3:H$4)+SUM(H20:H21)</f>
        <v>3.4812165842895157</v>
      </c>
      <c r="L22" s="2"/>
      <c r="M22" s="2"/>
      <c r="S22" s="15"/>
      <c r="T22" s="3"/>
      <c r="U22" s="3"/>
      <c r="V22" s="3"/>
      <c r="W22" s="3"/>
    </row>
    <row r="23" spans="1:23" ht="15" customHeight="1">
      <c r="B23" s="3"/>
      <c r="C23" s="3"/>
      <c r="K23" s="3"/>
      <c r="L23" s="3"/>
      <c r="M23" s="3"/>
      <c r="S23" s="15"/>
      <c r="T23" s="3"/>
      <c r="U23" s="3"/>
      <c r="V23" s="3"/>
      <c r="W23" s="3"/>
    </row>
    <row r="24" spans="1:23" ht="15" customHeight="1">
      <c r="B24" s="3"/>
      <c r="C24" s="3"/>
      <c r="L24" s="3"/>
      <c r="M24" s="3"/>
      <c r="S24" s="15"/>
      <c r="T24" s="3"/>
      <c r="U24" s="3"/>
      <c r="V24" s="3"/>
      <c r="W24" s="3"/>
    </row>
    <row r="25" spans="1:23" ht="15" customHeight="1">
      <c r="B25" s="3"/>
      <c r="C25" s="3"/>
      <c r="F25" s="1" t="s">
        <v>64</v>
      </c>
      <c r="M25" s="44"/>
      <c r="S25" s="15"/>
      <c r="T25" s="3"/>
      <c r="U25" s="3"/>
      <c r="V25" s="3"/>
      <c r="W25" s="3"/>
    </row>
    <row r="26" spans="1:23" ht="15" customHeight="1">
      <c r="B26" s="3"/>
      <c r="C26" s="3"/>
      <c r="F26" t="s">
        <v>62</v>
      </c>
      <c r="G26">
        <f>VLOOKUP($F26,Globals!$N$30:$P$36,2,FALSE)</f>
        <v>1E+19</v>
      </c>
      <c r="H26">
        <f>VLOOKUP($F26,Globals!$N$30:$P$36,3,FALSE)</f>
        <v>1.5606082921447579</v>
      </c>
      <c r="M26" s="44"/>
      <c r="S26" s="38"/>
      <c r="T26" s="3"/>
      <c r="U26" s="3"/>
      <c r="V26" s="3"/>
      <c r="W26" s="3"/>
    </row>
    <row r="27" spans="1:23" ht="15" customHeight="1">
      <c r="A27" s="15"/>
      <c r="B27" s="3"/>
      <c r="C27" s="3"/>
      <c r="F27" t="s">
        <v>45</v>
      </c>
      <c r="G27">
        <f>VLOOKUP($F27,Globals!$A$17:$F$24,4,FALSE)</f>
        <v>0.04</v>
      </c>
      <c r="H27">
        <f>VLOOKUP($F27,Globals!$A$17:$F$24,6,FALSE)</f>
        <v>0.64000000000000012</v>
      </c>
      <c r="M27" s="44"/>
      <c r="S27" s="3"/>
      <c r="T27" s="3"/>
      <c r="U27" s="3"/>
      <c r="V27" s="3"/>
      <c r="W27" s="3"/>
    </row>
    <row r="28" spans="1:23" ht="15" customHeight="1">
      <c r="F28" s="31" t="s">
        <v>60</v>
      </c>
      <c r="G28" s="25">
        <f>PRODUCT(G$3:G$4)*PRODUCT(G26:G27)</f>
        <v>1.2649110640673514E+41</v>
      </c>
      <c r="H28" s="25">
        <f>SUM(H$3:H$4)+SUM(H26:H27)</f>
        <v>4.1513686573257056</v>
      </c>
      <c r="S28" s="3"/>
      <c r="T28" s="3"/>
      <c r="U28" s="3"/>
      <c r="V28" s="3"/>
      <c r="W28" s="3"/>
    </row>
    <row r="29" spans="1:23" ht="15" customHeight="1">
      <c r="S29" s="24"/>
      <c r="T29" s="3"/>
      <c r="U29" s="3"/>
      <c r="V29" s="3"/>
      <c r="W29" s="3"/>
    </row>
    <row r="30" spans="1:23" ht="15" customHeight="1">
      <c r="S30" s="3"/>
      <c r="T30" s="3"/>
      <c r="U30" s="3"/>
      <c r="V30" s="3"/>
      <c r="W30" s="3"/>
    </row>
    <row r="31" spans="1:23" ht="15" customHeight="1">
      <c r="A31" s="15"/>
      <c r="B31" s="3"/>
      <c r="C31" s="3"/>
      <c r="F31" s="1" t="s">
        <v>65</v>
      </c>
      <c r="S31" s="3"/>
      <c r="T31" s="3"/>
      <c r="U31" s="3"/>
      <c r="V31" s="3"/>
      <c r="W31" s="3"/>
    </row>
    <row r="32" spans="1:23" ht="15" customHeight="1">
      <c r="A32" s="15"/>
      <c r="B32" s="3"/>
      <c r="C32" s="3"/>
      <c r="F32" t="s">
        <v>62</v>
      </c>
      <c r="G32">
        <f>VLOOKUP($F32,Globals!$N$30:$P$36,2,FALSE)</f>
        <v>1E+19</v>
      </c>
      <c r="H32">
        <f>VLOOKUP($F32,Globals!$N$30:$P$36,3,FALSE)</f>
        <v>1.5606082921447579</v>
      </c>
      <c r="S32" s="3"/>
      <c r="T32" s="3"/>
      <c r="U32" s="3"/>
      <c r="V32" s="3"/>
      <c r="W32" s="3"/>
    </row>
    <row r="33" spans="1:23" ht="15" customHeight="1">
      <c r="A33" s="15"/>
      <c r="B33" s="3"/>
      <c r="C33" s="3"/>
      <c r="F33" t="s">
        <v>66</v>
      </c>
      <c r="G33">
        <f>VLOOKUP($F33,Globals!$N$30:$P$36,2,FALSE)</f>
        <v>3.1622776601683791E-2</v>
      </c>
      <c r="H33">
        <f>VLOOKUP($F33,Globals!$N$30:$P$36,3,FALSE)</f>
        <v>1.1704562191085683</v>
      </c>
      <c r="S33" s="3"/>
      <c r="T33" s="3"/>
      <c r="U33" s="3"/>
      <c r="V33" s="3"/>
      <c r="W33" s="3"/>
    </row>
    <row r="34" spans="1:23" ht="15" customHeight="1">
      <c r="A34" s="15"/>
      <c r="B34" s="3"/>
      <c r="C34" s="3"/>
      <c r="F34" t="s">
        <v>45</v>
      </c>
      <c r="G34">
        <f>VLOOKUP($F34,Globals!$A$17:$F$24,4,FALSE)</f>
        <v>0.04</v>
      </c>
      <c r="H34">
        <f>VLOOKUP($F34,Globals!$A$17:$F$24,6,FALSE)</f>
        <v>0.64000000000000012</v>
      </c>
      <c r="S34" s="15"/>
      <c r="T34" s="3"/>
      <c r="U34" s="3"/>
      <c r="V34" s="3"/>
      <c r="W34" s="3"/>
    </row>
    <row r="35" spans="1:23" ht="15" customHeight="1">
      <c r="A35" s="15"/>
      <c r="B35" s="3"/>
      <c r="C35" s="3"/>
      <c r="F35" s="27" t="s">
        <v>60</v>
      </c>
      <c r="G35" s="25">
        <f>PRODUCT(G$3:G$4)*PRODUCT(G32:G34)</f>
        <v>3.9999999999999985E+39</v>
      </c>
      <c r="H35" s="25">
        <f>SUM(H$3:H$4)+SUM(H32:H34)</f>
        <v>5.3218248764342739</v>
      </c>
      <c r="S35" s="15"/>
      <c r="T35" s="3"/>
      <c r="U35" s="3"/>
      <c r="V35" s="3"/>
      <c r="W35" s="3"/>
    </row>
    <row r="36" spans="1:23" ht="15" customHeight="1">
      <c r="A36" s="15"/>
      <c r="B36" s="3"/>
      <c r="C36" s="3"/>
      <c r="S36" s="3"/>
      <c r="T36" s="3"/>
      <c r="U36" s="3"/>
      <c r="V36" s="3"/>
      <c r="W36" s="3"/>
    </row>
    <row r="37" spans="1:23" ht="15" customHeight="1">
      <c r="A37" s="15"/>
      <c r="B37" s="3"/>
      <c r="C37" s="3"/>
      <c r="S37" s="3"/>
      <c r="T37" s="3"/>
      <c r="U37" s="3"/>
      <c r="V37" s="3"/>
      <c r="W37" s="3"/>
    </row>
    <row r="38" spans="1:23" ht="15" customHeight="1">
      <c r="S38" s="24"/>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15"/>
      <c r="T43" s="3"/>
      <c r="U43" s="3"/>
      <c r="V43" s="3"/>
      <c r="W43" s="3"/>
    </row>
    <row r="44" spans="1:23" ht="15" customHeight="1">
      <c r="S44" s="15"/>
      <c r="T44" s="3"/>
      <c r="U44" s="3"/>
      <c r="V44" s="3"/>
      <c r="W44" s="3"/>
    </row>
    <row r="45" spans="1:23" ht="15" customHeight="1">
      <c r="S45" s="3"/>
      <c r="T45" s="3"/>
      <c r="U45" s="3"/>
      <c r="V45" s="3"/>
      <c r="W45" s="3"/>
    </row>
    <row r="46" spans="1:23" ht="15" customHeight="1">
      <c r="S46" s="3"/>
      <c r="T46" s="3"/>
      <c r="U46" s="3"/>
      <c r="V46" s="3"/>
      <c r="W46" s="3"/>
    </row>
    <row r="47" spans="1:23" ht="15" customHeight="1">
      <c r="S47" s="24"/>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15"/>
      <c r="T52" s="3"/>
      <c r="U52" s="3"/>
      <c r="V52" s="3"/>
      <c r="W52" s="3"/>
    </row>
    <row r="53" spans="19:23" ht="15" customHeight="1">
      <c r="S53" s="15"/>
      <c r="T53" s="3"/>
      <c r="U53" s="3"/>
      <c r="V53" s="3"/>
      <c r="W53" s="3"/>
    </row>
    <row r="54" spans="19:23" ht="15" customHeight="1">
      <c r="S54" s="3"/>
      <c r="T54" s="3"/>
      <c r="U54" s="3"/>
      <c r="V54" s="3"/>
      <c r="W54" s="3"/>
    </row>
    <row r="55" spans="19:23" ht="15" customHeight="1">
      <c r="S55" s="3"/>
      <c r="T55" s="3"/>
      <c r="U55" s="3"/>
      <c r="V55" s="3"/>
      <c r="W55" s="3"/>
    </row>
    <row r="56" spans="19:23" ht="15" customHeight="1">
      <c r="S56" s="24"/>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15"/>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B15" sqref="B15"/>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6" t="s">
        <v>139</v>
      </c>
      <c r="F1" s="1" t="s">
        <v>71</v>
      </c>
    </row>
    <row r="2" spans="1:16">
      <c r="B2" t="s">
        <v>0</v>
      </c>
      <c r="C2" t="s">
        <v>1</v>
      </c>
      <c r="G2" s="7" t="s">
        <v>190</v>
      </c>
      <c r="H2" s="7" t="s">
        <v>191</v>
      </c>
      <c r="I2" t="s">
        <v>193</v>
      </c>
    </row>
    <row r="3" spans="1:16">
      <c r="A3" s="28" t="s">
        <v>107</v>
      </c>
      <c r="B3" s="26">
        <v>50000000000</v>
      </c>
      <c r="C3" s="26">
        <v>1000000000000</v>
      </c>
      <c r="D3" t="s">
        <v>198</v>
      </c>
      <c r="F3" s="27" t="s">
        <v>60</v>
      </c>
      <c r="G3" s="25">
        <v>1</v>
      </c>
      <c r="H3" s="25">
        <f>I3^2</f>
        <v>6.25E-2</v>
      </c>
      <c r="I3">
        <v>0.25</v>
      </c>
    </row>
    <row r="4" spans="1:16">
      <c r="A4" s="28" t="s">
        <v>101</v>
      </c>
      <c r="B4" s="14">
        <v>0.1</v>
      </c>
      <c r="C4" s="14">
        <v>0.5</v>
      </c>
      <c r="D4" t="s">
        <v>180</v>
      </c>
      <c r="F4" s="32" t="s">
        <v>88</v>
      </c>
      <c r="G4" s="33">
        <f>ParetoPosterior(median,alpha,G3:H3)</f>
        <v>1.0718443947358864</v>
      </c>
      <c r="H4" s="3"/>
    </row>
    <row r="5" spans="1:16">
      <c r="A5" s="28" t="s">
        <v>102</v>
      </c>
      <c r="B5" s="14">
        <v>5.0000000000000001E-3</v>
      </c>
      <c r="C5" s="14">
        <v>0.2</v>
      </c>
      <c r="F5" s="32" t="s">
        <v>95</v>
      </c>
      <c r="G5" s="33">
        <f>LognormPosterior(mu_global_poverty,sigma_global_poverty,G3:H3)</f>
        <v>1.1516259366300541</v>
      </c>
      <c r="H5" s="3"/>
    </row>
    <row r="6" spans="1:16">
      <c r="A6" s="28" t="s">
        <v>103</v>
      </c>
      <c r="B6" s="14">
        <f>B5*1.1</f>
        <v>5.5000000000000005E-3</v>
      </c>
      <c r="C6" s="14">
        <f>C5*1.1</f>
        <v>0.22000000000000003</v>
      </c>
    </row>
    <row r="7" spans="1:16">
      <c r="A7" s="3" t="s">
        <v>97</v>
      </c>
      <c r="B7" s="18">
        <f>1000/C3*interest_rate</f>
        <v>5.0000000000000008E-11</v>
      </c>
      <c r="C7" s="18">
        <f>1000/B3*interest_rate</f>
        <v>1.0000000000000001E-9</v>
      </c>
    </row>
    <row r="8" spans="1:16">
      <c r="F8" s="1" t="s">
        <v>96</v>
      </c>
    </row>
    <row r="9" spans="1:16">
      <c r="G9" t="s">
        <v>2</v>
      </c>
      <c r="H9" t="s">
        <v>34</v>
      </c>
      <c r="J9" s="24"/>
      <c r="K9" s="3"/>
      <c r="L9" s="3"/>
      <c r="M9" s="3"/>
      <c r="N9" s="24"/>
      <c r="O9" s="3"/>
      <c r="P9" s="3"/>
    </row>
    <row r="10" spans="1:16">
      <c r="F10" t="s">
        <v>101</v>
      </c>
      <c r="G10">
        <f>GEOMEAN($B$4,$C$4)</f>
        <v>0.22360679774997896</v>
      </c>
      <c r="H10">
        <f>LogVariance($B$4,$C$4)</f>
        <v>0.27270459618181209</v>
      </c>
      <c r="J10" s="3"/>
      <c r="K10" s="3"/>
      <c r="L10" s="3"/>
      <c r="M10" s="3"/>
      <c r="N10" s="3"/>
      <c r="O10" s="3"/>
      <c r="P10" s="3"/>
    </row>
    <row r="11" spans="1:16">
      <c r="F11" s="3" t="s">
        <v>102</v>
      </c>
      <c r="G11">
        <f>GEOMEAN($B$5,$C$5)</f>
        <v>3.1622776601683791E-2</v>
      </c>
      <c r="H11">
        <f>LogVariance($B$5,$C$5)</f>
        <v>0.62504702674494428</v>
      </c>
      <c r="J11" s="3"/>
      <c r="K11" s="3"/>
      <c r="L11" s="3"/>
      <c r="M11" s="3"/>
      <c r="N11" s="3"/>
      <c r="O11" s="3"/>
      <c r="P11" s="3"/>
    </row>
    <row r="12" spans="1:16" ht="20">
      <c r="A12" s="6" t="s">
        <v>67</v>
      </c>
      <c r="F12" t="s">
        <v>97</v>
      </c>
      <c r="G12">
        <f>GEOMEAN($B$7,$C$7)</f>
        <v>2.2360679774997899E-10</v>
      </c>
      <c r="H12">
        <f>LogVariance($B$7,$C$7)</f>
        <v>0.50759954989056688</v>
      </c>
      <c r="J12" s="3"/>
      <c r="K12" s="3"/>
      <c r="L12" s="3"/>
      <c r="M12" s="3"/>
      <c r="N12" s="3"/>
      <c r="O12" s="3"/>
      <c r="P12" s="3"/>
    </row>
    <row r="13" spans="1:16">
      <c r="A13" s="24" t="s">
        <v>199</v>
      </c>
      <c r="B13" s="3"/>
      <c r="C13" s="3"/>
      <c r="F13" t="s">
        <v>121</v>
      </c>
      <c r="G13">
        <f>VLOOKUP(F13,'EV of Far Future'!$K$17:$M$18,2,FALSE)</f>
        <v>3.4303160870117568E+46</v>
      </c>
      <c r="H13">
        <f>VLOOKUP(F13,'EV of Far Future'!$K$17:$M$18,3,FALSE)</f>
        <v>4.6329187530560025</v>
      </c>
      <c r="J13" s="3"/>
      <c r="K13" s="3"/>
      <c r="L13" s="3"/>
      <c r="M13" s="3"/>
      <c r="N13" s="3"/>
      <c r="O13" s="3"/>
      <c r="P13" s="3"/>
    </row>
    <row r="14" spans="1:16">
      <c r="A14" t="s">
        <v>196</v>
      </c>
      <c r="B14">
        <f>G15-G25</f>
        <v>-4.8542183064103303E+40</v>
      </c>
      <c r="C14">
        <f>DifferenceVariance(G15:H15,G25:H25)</f>
        <v>4.1712017879079925E+97</v>
      </c>
      <c r="F14" s="27" t="s">
        <v>60</v>
      </c>
      <c r="G14" s="25">
        <f>PRODUCT(G10:G13)</f>
        <v>5.423805964636745E+34</v>
      </c>
      <c r="H14" s="25">
        <f>SUM(H10:H13)</f>
        <v>6.0382699258733261</v>
      </c>
      <c r="J14" s="3"/>
      <c r="K14" s="3"/>
      <c r="L14" s="3"/>
      <c r="M14" s="3"/>
      <c r="N14" s="3"/>
      <c r="O14" s="3"/>
      <c r="P14" s="3"/>
    </row>
    <row r="15" spans="1:16">
      <c r="A15" s="27" t="s">
        <v>197</v>
      </c>
      <c r="B15" s="25">
        <f>EXP(BucketMu(ABS(B14),C14))</f>
        <v>3.6484467123263977E+32</v>
      </c>
      <c r="C15" s="25">
        <f>(BucketSigma(B14,C14) / LN(10))^2</f>
        <v>7.0564265537513728</v>
      </c>
      <c r="F15" s="3" t="s">
        <v>189</v>
      </c>
      <c r="G15">
        <f>meanFromParams(G14:H14)</f>
        <v>4.8542183064100974E+41</v>
      </c>
      <c r="H15">
        <f>VarianceFromParams(G14:H14)</f>
        <v>1.8874216234877469E+97</v>
      </c>
      <c r="J15" s="3"/>
      <c r="K15" s="3"/>
      <c r="L15" s="3"/>
      <c r="M15" s="3"/>
      <c r="N15" s="3"/>
      <c r="O15" s="3"/>
      <c r="P15" s="3"/>
    </row>
    <row r="16" spans="1:16">
      <c r="A16" s="32" t="s">
        <v>88</v>
      </c>
      <c r="B16" s="33">
        <f>ParetoPosterior(median,alpha,B15:C15)*SIGN(B14)</f>
        <v>-2.06660348229223E+16</v>
      </c>
      <c r="J16" s="3"/>
      <c r="K16" s="3"/>
      <c r="L16" s="3"/>
      <c r="M16" s="3"/>
      <c r="N16" s="3"/>
      <c r="O16" s="3"/>
      <c r="P16" s="3"/>
    </row>
    <row r="17" spans="1:16">
      <c r="A17" s="32" t="s">
        <v>95</v>
      </c>
      <c r="B17" s="33">
        <f>LognormPosterior(mu_far_future,sigma_far_future,B15:C15)*SIGN(B14)</f>
        <v>-94.393206775870922</v>
      </c>
      <c r="J17" s="3"/>
      <c r="K17" s="3"/>
      <c r="L17" s="3"/>
      <c r="M17" s="3"/>
      <c r="N17" s="3"/>
      <c r="O17" s="3"/>
      <c r="P17" s="3"/>
    </row>
    <row r="18" spans="1:16">
      <c r="F18" s="1" t="s">
        <v>104</v>
      </c>
      <c r="J18" s="3"/>
      <c r="K18" s="3"/>
      <c r="L18" s="3"/>
      <c r="M18" s="3"/>
      <c r="N18" s="3"/>
      <c r="O18" s="3"/>
      <c r="P18" s="3"/>
    </row>
    <row r="19" spans="1:16">
      <c r="G19" s="7" t="s">
        <v>190</v>
      </c>
      <c r="H19" s="7" t="s">
        <v>192</v>
      </c>
      <c r="J19" s="3"/>
      <c r="K19" s="3"/>
      <c r="L19" s="3"/>
      <c r="M19" s="3"/>
      <c r="N19" s="3"/>
      <c r="O19" s="3"/>
      <c r="P19" s="3"/>
    </row>
    <row r="20" spans="1:16">
      <c r="A20" s="29" t="s">
        <v>93</v>
      </c>
      <c r="B20" s="4">
        <f>B16+G4</f>
        <v>-2.06660348229223E+16</v>
      </c>
      <c r="F20" t="s">
        <v>101</v>
      </c>
      <c r="G20">
        <f>GEOMEAN($B$4,$C$4)</f>
        <v>0.22360679774997896</v>
      </c>
      <c r="H20">
        <f>LogVariance($B$4,$C$4)</f>
        <v>0.27270459618181209</v>
      </c>
      <c r="J20" s="24"/>
      <c r="K20" s="3"/>
      <c r="L20" s="3"/>
      <c r="M20" s="3"/>
      <c r="N20" s="24"/>
      <c r="O20" s="3"/>
      <c r="P20" s="3"/>
    </row>
    <row r="21" spans="1:16">
      <c r="A21" s="29" t="s">
        <v>94</v>
      </c>
      <c r="B21" s="4">
        <f>B17+G5</f>
        <v>-93.241580839240868</v>
      </c>
      <c r="F21" s="3" t="s">
        <v>103</v>
      </c>
      <c r="G21">
        <f>GEOMEAN($B$6,$C$6)</f>
        <v>3.4785054261852175E-2</v>
      </c>
      <c r="H21">
        <f>LogVariance($B$6,$C$6)</f>
        <v>0.62504702674494428</v>
      </c>
      <c r="J21" s="3"/>
      <c r="K21" s="3"/>
      <c r="L21" s="3"/>
      <c r="M21" s="3"/>
      <c r="N21" s="3"/>
      <c r="O21" s="3"/>
      <c r="P21" s="3"/>
    </row>
    <row r="22" spans="1:16">
      <c r="F22" t="s">
        <v>97</v>
      </c>
      <c r="G22">
        <f>GEOMEAN($B$7,$C$7)</f>
        <v>2.2360679774997899E-10</v>
      </c>
      <c r="H22">
        <f>LogVariance($B$7,$C$7)</f>
        <v>0.50759954989056688</v>
      </c>
      <c r="J22" s="3"/>
      <c r="K22" s="3"/>
      <c r="L22" s="3"/>
      <c r="M22" s="3"/>
      <c r="N22" s="3"/>
      <c r="O22" s="3"/>
      <c r="P22" s="3"/>
    </row>
    <row r="23" spans="1:16">
      <c r="F23" t="s">
        <v>121</v>
      </c>
      <c r="G23">
        <f>VLOOKUP(F23,'EV of Far Future'!$K$17:$M$18,2,FALSE)</f>
        <v>3.4303160870117568E+46</v>
      </c>
      <c r="H23">
        <f>VLOOKUP(F23,'EV of Far Future'!$K$17:$M$18,3,FALSE)</f>
        <v>4.6329187530560025</v>
      </c>
      <c r="J23" s="3"/>
      <c r="K23" s="3"/>
      <c r="L23" s="3"/>
      <c r="M23" s="3"/>
      <c r="N23" s="3"/>
      <c r="O23" s="3"/>
      <c r="P23" s="3"/>
    </row>
    <row r="24" spans="1:16">
      <c r="F24" s="27" t="s">
        <v>60</v>
      </c>
      <c r="G24" s="25">
        <f>PRODUCT(G20:G23)</f>
        <v>5.9661865611004199E+34</v>
      </c>
      <c r="H24" s="25">
        <f>SUM(H20:H23)</f>
        <v>6.0382699258733261</v>
      </c>
      <c r="J24" s="3"/>
      <c r="K24" s="3"/>
      <c r="L24" s="3"/>
      <c r="M24" s="3"/>
      <c r="N24" s="3"/>
      <c r="O24" s="3"/>
      <c r="P24" s="3"/>
    </row>
    <row r="25" spans="1:16">
      <c r="F25" t="s">
        <v>188</v>
      </c>
      <c r="G25">
        <f>meanFromParams(G24:H24)</f>
        <v>5.3396401370511304E+41</v>
      </c>
      <c r="H25">
        <f>VarianceFromParams(G24:H24)</f>
        <v>2.2837801644201937E+97</v>
      </c>
    </row>
    <row r="36" spans="1:2">
      <c r="A36" s="24"/>
      <c r="B36" s="3"/>
    </row>
    <row r="37" spans="1:2">
      <c r="A37" s="3"/>
      <c r="B37" s="3"/>
    </row>
    <row r="38" spans="1:2">
      <c r="A38" s="3"/>
      <c r="B38" s="3"/>
    </row>
    <row r="39" spans="1:2">
      <c r="A39" s="3"/>
      <c r="B39" s="3"/>
    </row>
    <row r="40" spans="1:2">
      <c r="A40" s="3"/>
      <c r="B40" s="3"/>
    </row>
    <row r="41" spans="1:2">
      <c r="A41" s="24"/>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32" sqref="I32"/>
    </sheetView>
  </sheetViews>
  <sheetFormatPr baseColWidth="10" defaultRowHeight="15" x14ac:dyDescent="0"/>
  <cols>
    <col min="1" max="1" width="21.664062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6" t="s">
        <v>139</v>
      </c>
      <c r="H1" s="1" t="s">
        <v>71</v>
      </c>
      <c r="M1" s="1" t="s">
        <v>87</v>
      </c>
    </row>
    <row r="2" spans="1:15">
      <c r="B2" t="s">
        <v>0</v>
      </c>
      <c r="C2" t="s">
        <v>1</v>
      </c>
      <c r="D2" s="7" t="s">
        <v>190</v>
      </c>
      <c r="E2" s="7" t="s">
        <v>191</v>
      </c>
      <c r="F2" t="s">
        <v>31</v>
      </c>
      <c r="I2" s="7" t="s">
        <v>190</v>
      </c>
      <c r="J2" s="7" t="s">
        <v>191</v>
      </c>
      <c r="N2" s="7" t="s">
        <v>190</v>
      </c>
      <c r="O2" s="7" t="s">
        <v>192</v>
      </c>
    </row>
    <row r="3" spans="1:15">
      <c r="A3" s="28" t="s">
        <v>133</v>
      </c>
      <c r="B3" s="14">
        <v>0.7</v>
      </c>
      <c r="C3" s="26">
        <v>13</v>
      </c>
      <c r="F3" s="7" t="s">
        <v>137</v>
      </c>
      <c r="G3" s="7"/>
      <c r="H3" t="s">
        <v>76</v>
      </c>
      <c r="I3">
        <f>D5</f>
        <v>3016.620625799671</v>
      </c>
      <c r="J3">
        <f>E5</f>
        <v>0.49504262895320128</v>
      </c>
      <c r="M3" s="3" t="s">
        <v>211</v>
      </c>
      <c r="N3" s="40">
        <f>VLOOKUP(M3,$A$10:$E$13,4,FALSE)</f>
        <v>4.4721359549995794E-2</v>
      </c>
      <c r="O3" s="40">
        <f>VLOOKUP(M3,$A$10:$E$13,5,FALSE)</f>
        <v>0.50759954989056688</v>
      </c>
    </row>
    <row r="4" spans="1:15">
      <c r="A4" s="28" t="s">
        <v>178</v>
      </c>
      <c r="B4" s="14">
        <v>3</v>
      </c>
      <c r="C4" s="26">
        <v>4</v>
      </c>
      <c r="D4">
        <f>GEOMEAN(B4,C4)</f>
        <v>3.4641016151377548</v>
      </c>
      <c r="E4">
        <f>LogVariance(B4,C4)</f>
        <v>4.8745107090250664E-2</v>
      </c>
      <c r="F4" t="s">
        <v>179</v>
      </c>
      <c r="H4" t="s">
        <v>43</v>
      </c>
      <c r="I4">
        <f>VLOOKUP($H4,Globals!A17:F24,4,FALSE)</f>
        <v>5</v>
      </c>
      <c r="J4">
        <f>VLOOKUP($H4,Globals!A17:F24,5,FALSE)</f>
        <v>0.3</v>
      </c>
      <c r="M4" s="3" t="s">
        <v>219</v>
      </c>
      <c r="N4">
        <f>VLOOKUP($M4,'EV of Far Future'!$K$3:$N$13,2,FALSE)</f>
        <v>6.7199999999999966E+38</v>
      </c>
      <c r="O4">
        <f>VLOOKUP($M4,'EV of Far Future'!$K$3:$N$13,3,FALSE)</f>
        <v>5.3218248764342739</v>
      </c>
    </row>
    <row r="5" spans="1:15">
      <c r="A5" t="s">
        <v>76</v>
      </c>
      <c r="B5">
        <f>B3*1000</f>
        <v>700</v>
      </c>
      <c r="C5">
        <f>C3*1000</f>
        <v>13000</v>
      </c>
      <c r="D5">
        <f>GEOMEAN(B5,C5)</f>
        <v>3016.620625799671</v>
      </c>
      <c r="E5">
        <f>LogVariance(B5,C5)</f>
        <v>0.49504262895320128</v>
      </c>
      <c r="H5" s="27" t="s">
        <v>60</v>
      </c>
      <c r="I5" s="25">
        <f>PRODUCT(I3:I4)</f>
        <v>15083.103128998355</v>
      </c>
      <c r="J5" s="25">
        <f>SUM(J3:J4)</f>
        <v>0.79504262895320132</v>
      </c>
      <c r="M5" s="3" t="s">
        <v>74</v>
      </c>
      <c r="N5">
        <f>1/factory_farmed_animals</f>
        <v>5.0000000000000002E-11</v>
      </c>
      <c r="O5">
        <v>0</v>
      </c>
    </row>
    <row r="6" spans="1:15">
      <c r="A6" t="s">
        <v>75</v>
      </c>
      <c r="D6">
        <f>PRODUCT(D4:D5)</f>
        <v>10449.880382090505</v>
      </c>
      <c r="E6">
        <f>SUM(E4:E5)</f>
        <v>0.54378773604345199</v>
      </c>
      <c r="H6" s="32" t="s">
        <v>88</v>
      </c>
      <c r="I6" s="33">
        <f>ParetoPosterior(median,alpha,I5:J5)</f>
        <v>278.14172544025013</v>
      </c>
      <c r="M6" s="3" t="s">
        <v>106</v>
      </c>
      <c r="N6">
        <f>$D$8</f>
        <v>626.99282292543035</v>
      </c>
      <c r="O6">
        <f>$E$8</f>
        <v>0.54378773604345199</v>
      </c>
    </row>
    <row r="7" spans="1:15">
      <c r="A7" s="28" t="s">
        <v>117</v>
      </c>
      <c r="B7" s="14">
        <v>0.01</v>
      </c>
      <c r="C7" s="14">
        <v>0.01</v>
      </c>
      <c r="D7">
        <f>GEOMEAN(B7,C7)</f>
        <v>0.01</v>
      </c>
      <c r="E7">
        <f>LogVariance(B7,C7)</f>
        <v>0</v>
      </c>
      <c r="F7" t="s">
        <v>118</v>
      </c>
      <c r="H7" s="32" t="s">
        <v>77</v>
      </c>
      <c r="I7" s="34">
        <f>LognormPosterior(mu_factory_farming,sigma_factory_farming,I5:J5)</f>
        <v>38.692316763766371</v>
      </c>
      <c r="J7" t="s">
        <v>175</v>
      </c>
      <c r="M7" s="27" t="s">
        <v>60</v>
      </c>
      <c r="N7" s="25">
        <f>PRODUCT(N3:N6)</f>
        <v>9.4214304136898395E+29</v>
      </c>
      <c r="O7" s="25">
        <f>SUM(O3:O6)</f>
        <v>6.3732121623682927</v>
      </c>
    </row>
    <row r="8" spans="1:15">
      <c r="A8" t="s">
        <v>106</v>
      </c>
      <c r="D8">
        <f>D6*(interest_rate+D7)</f>
        <v>626.99282292543035</v>
      </c>
      <c r="E8">
        <f>E6+E7</f>
        <v>0.54378773604345199</v>
      </c>
      <c r="I8" s="36"/>
    </row>
    <row r="9" spans="1:15">
      <c r="I9" s="2"/>
    </row>
    <row r="10" spans="1:15">
      <c r="A10" s="28" t="s">
        <v>210</v>
      </c>
      <c r="B10" s="14">
        <v>0.01</v>
      </c>
      <c r="C10" s="14">
        <v>0.2</v>
      </c>
      <c r="D10">
        <f>GEOMEAN(B10,C10)</f>
        <v>4.4721359549995794E-2</v>
      </c>
      <c r="E10">
        <f>LogVariance(B10,C10)</f>
        <v>0.50759954989056688</v>
      </c>
      <c r="F10" t="s">
        <v>213</v>
      </c>
      <c r="H10" s="24" t="s">
        <v>72</v>
      </c>
      <c r="M10" s="1" t="s">
        <v>208</v>
      </c>
    </row>
    <row r="11" spans="1:15">
      <c r="A11" s="28" t="s">
        <v>153</v>
      </c>
      <c r="B11" s="14">
        <v>5.0000000000000001E-3</v>
      </c>
      <c r="C11" s="14">
        <v>0.1</v>
      </c>
      <c r="D11">
        <f>GEOMEAN(B11,C11)</f>
        <v>2.2360679774997897E-2</v>
      </c>
      <c r="E11">
        <f>LogVariance(B11,C11)</f>
        <v>0.50759954989056688</v>
      </c>
      <c r="I11" s="7" t="s">
        <v>190</v>
      </c>
      <c r="J11" s="7" t="s">
        <v>191</v>
      </c>
      <c r="M11" s="3" t="s">
        <v>212</v>
      </c>
      <c r="N11" s="40">
        <f>VLOOKUP(M11,$A$10:$E$13,4,FALSE)</f>
        <v>2.6457513110645908E-2</v>
      </c>
      <c r="O11" s="40">
        <f>VLOOKUP(M11,$A$10:$E$13,5,FALSE)</f>
        <v>0.32971675223038294</v>
      </c>
    </row>
    <row r="12" spans="1:15">
      <c r="A12" s="28" t="s">
        <v>211</v>
      </c>
      <c r="B12" s="14">
        <v>0.01</v>
      </c>
      <c r="C12" s="14">
        <v>0.2</v>
      </c>
      <c r="D12">
        <f>GEOMEAN(B12,C12)</f>
        <v>4.4721359549995794E-2</v>
      </c>
      <c r="E12">
        <f>LogVariance(B12,C12)</f>
        <v>0.50759954989056688</v>
      </c>
      <c r="H12" s="3" t="s">
        <v>70</v>
      </c>
      <c r="I12">
        <f>VLOOKUP($H12,'EV of Far Future'!$O$3:$P$13,2,FALSE)</f>
        <v>0.16799999999999998</v>
      </c>
      <c r="J12">
        <v>0</v>
      </c>
      <c r="M12" s="3" t="s">
        <v>215</v>
      </c>
      <c r="N12">
        <f>VLOOKUP($M12,'EV of Far Future'!$K$3:$N$13,2,FALSE)</f>
        <v>6.3245553203367595E+46</v>
      </c>
      <c r="O12">
        <f>VLOOKUP($M12,'EV of Far Future'!$K$3:$N$13,3,FALSE)</f>
        <v>4.5113686573257059</v>
      </c>
    </row>
    <row r="13" spans="1:15">
      <c r="A13" s="28" t="s">
        <v>212</v>
      </c>
      <c r="B13" s="14">
        <v>0.01</v>
      </c>
      <c r="C13" s="14">
        <v>7.0000000000000007E-2</v>
      </c>
      <c r="D13">
        <f>GEOMEAN(B13,C13)</f>
        <v>2.6457513110645908E-2</v>
      </c>
      <c r="E13">
        <f>LogVariance(B13,C13)</f>
        <v>0.32971675223038294</v>
      </c>
      <c r="H13" s="3" t="s">
        <v>78</v>
      </c>
      <c r="I13">
        <v>1</v>
      </c>
      <c r="J13">
        <v>0</v>
      </c>
      <c r="M13" s="3" t="s">
        <v>74</v>
      </c>
      <c r="N13">
        <f>1/factory_farmed_animals</f>
        <v>5.0000000000000002E-11</v>
      </c>
      <c r="O13">
        <v>0</v>
      </c>
    </row>
    <row r="14" spans="1:15">
      <c r="H14" s="3" t="s">
        <v>220</v>
      </c>
      <c r="I14">
        <f>VLOOKUP($H14,'EV of Far Future'!$K$3:$N$13,2,FALSE)</f>
        <v>2.6563132345414381E+34</v>
      </c>
      <c r="J14">
        <f>VLOOKUP($H14,'EV of Far Future'!$K$3:$N$13,3,FALSE)</f>
        <v>2.8210645112533266</v>
      </c>
      <c r="M14" s="3" t="s">
        <v>106</v>
      </c>
      <c r="N14">
        <f>$D$8</f>
        <v>626.99282292543035</v>
      </c>
      <c r="O14">
        <f>$E$8</f>
        <v>0.54378773604345199</v>
      </c>
    </row>
    <row r="15" spans="1:15">
      <c r="H15" s="3" t="s">
        <v>74</v>
      </c>
      <c r="I15">
        <f>1/factory_farmed_animals</f>
        <v>5.0000000000000002E-11</v>
      </c>
      <c r="J15">
        <v>0</v>
      </c>
      <c r="M15" s="27" t="s">
        <v>60</v>
      </c>
      <c r="N15" s="25">
        <f>PRODUCT(N11:N14)</f>
        <v>5.2457983186546567E+37</v>
      </c>
      <c r="O15" s="25">
        <f>SUM(O11:O14)</f>
        <v>5.3848731455995411</v>
      </c>
    </row>
    <row r="16" spans="1:15">
      <c r="H16" s="3" t="s">
        <v>106</v>
      </c>
      <c r="I16">
        <f>$D$8</f>
        <v>626.99282292543035</v>
      </c>
      <c r="J16">
        <f>$E$8</f>
        <v>0.54378773604345199</v>
      </c>
    </row>
    <row r="17" spans="1:15">
      <c r="H17" s="27" t="s">
        <v>60</v>
      </c>
      <c r="I17" s="25">
        <f>PRODUCT(I12:I16)</f>
        <v>1.3990110401394262E+26</v>
      </c>
      <c r="J17" s="25">
        <f>SUM(J12:J16)</f>
        <v>3.3648522472967786</v>
      </c>
    </row>
    <row r="18" spans="1:15" ht="20">
      <c r="A18" s="6" t="s">
        <v>67</v>
      </c>
      <c r="M18" t="s">
        <v>200</v>
      </c>
    </row>
    <row r="19" spans="1:15">
      <c r="A19" s="1" t="s">
        <v>203</v>
      </c>
      <c r="B19" t="s">
        <v>190</v>
      </c>
      <c r="C19" t="s">
        <v>192</v>
      </c>
      <c r="M19" t="s">
        <v>201</v>
      </c>
      <c r="N19">
        <f>I17</f>
        <v>1.3990110401394262E+26</v>
      </c>
      <c r="O19">
        <f>J17</f>
        <v>3.3648522472967786</v>
      </c>
    </row>
    <row r="20" spans="1:15">
      <c r="A20" s="3" t="s">
        <v>185</v>
      </c>
      <c r="B20">
        <f>N25</f>
        <v>8.3922694510618595E+43</v>
      </c>
      <c r="C20">
        <f>O25</f>
        <v>1.7473654833187088E+100</v>
      </c>
      <c r="H20" s="1" t="s">
        <v>79</v>
      </c>
      <c r="N20">
        <f>I26</f>
        <v>1.2561907218253124E+28</v>
      </c>
      <c r="O20">
        <f>J26</f>
        <v>4.5326038702235341</v>
      </c>
    </row>
    <row r="21" spans="1:15">
      <c r="A21" s="27" t="s">
        <v>197</v>
      </c>
      <c r="B21" s="25">
        <f>EXP(BucketMu(ABS(B20),C20))</f>
        <v>5.3280336908464884E+37</v>
      </c>
      <c r="C21" s="25">
        <f>(BucketSigma(B20,C20) / LN(10))^2</f>
        <v>5.3829172053879963</v>
      </c>
      <c r="I21" s="7" t="s">
        <v>190</v>
      </c>
      <c r="J21" s="7" t="s">
        <v>192</v>
      </c>
      <c r="N21">
        <f>I35</f>
        <v>1.9862119282694878E+31</v>
      </c>
      <c r="O21">
        <f>J35</f>
        <v>5.2027559432597243</v>
      </c>
    </row>
    <row r="22" spans="1:15">
      <c r="A22" s="32" t="s">
        <v>88</v>
      </c>
      <c r="B22" s="33">
        <f>ParetoPosterior(median,alpha,B21:C21)*SIGN(B20)</f>
        <v>2.1475438900215126E+25</v>
      </c>
      <c r="H22" s="3" t="s">
        <v>210</v>
      </c>
      <c r="I22" s="40">
        <f>VLOOKUP(H22,$A$10:$E$13,4,FALSE)</f>
        <v>4.4721359549995794E-2</v>
      </c>
      <c r="J22" s="40">
        <f>VLOOKUP(H22,$A$10:$E$13,5,FALSE)</f>
        <v>0.50759954989056688</v>
      </c>
      <c r="M22" s="3"/>
      <c r="N22" s="3">
        <f>N7</f>
        <v>9.4214304136898395E+29</v>
      </c>
      <c r="O22" s="3">
        <f>O7</f>
        <v>6.3732121623682927</v>
      </c>
    </row>
    <row r="23" spans="1:15">
      <c r="A23" s="32" t="s">
        <v>95</v>
      </c>
      <c r="B23" s="33">
        <f>LognormPosterior(mu_far_future,sigma_far_future,B21:C21)*SIGN(B20)</f>
        <v>566.77204379731734</v>
      </c>
      <c r="H23" s="3" t="s">
        <v>217</v>
      </c>
      <c r="I23">
        <f>VLOOKUP($H23,'EV of Far Future'!$K$3:$N$13,2,FALSE)</f>
        <v>8.9599999999999976E+36</v>
      </c>
      <c r="J23">
        <f>VLOOKUP($H23,'EV of Far Future'!$K$3:$N$13,3,FALSE)</f>
        <v>3.4812165842895157</v>
      </c>
      <c r="N23">
        <f>N15</f>
        <v>5.2457983186546567E+37</v>
      </c>
      <c r="O23">
        <f>O15</f>
        <v>5.3848731455995411</v>
      </c>
    </row>
    <row r="24" spans="1:15">
      <c r="H24" s="3" t="s">
        <v>74</v>
      </c>
      <c r="I24">
        <f>1/factory_farmed_animals</f>
        <v>5.0000000000000002E-11</v>
      </c>
      <c r="J24">
        <v>0</v>
      </c>
      <c r="M24" s="48" t="s">
        <v>202</v>
      </c>
      <c r="N24" s="49" t="str">
        <f>WriteArray(SumLognormDists(N19:O23))</f>
        <v>0,0,0,0,0,0,0,0,0,0,0,0,0,0,0,0,0,0,0,0,0,0,0,0,0,0,0,0,0,0,0,0,0,0,0,0,0,0,0,0,0,0,0,0,0,0,0,0,0,0,0,0,0,0,0,0,0,0,0,0,0,0,0,0,0,0,0,0,0,0,0,0,0,0,0,0,0,0,0,0,0,0,0,0,0,0,0,0,0,0,0,0,0,0,0,0,0,0,0,0,0,0,0,0,0,0,0,0,0,0,0,0,0,0,0,0,0,0,0,0,0,0,0,0,0,0,0,0,0,0,0,0,0,0,0,2.7548219987127E-316,1.18693471280304E-314,4.14224472583832E-313,1.41816596518312E-311,4.80755159165411E-310,1.6137610825164E-308,5.36380253694348E-307,1.76532473722951E-305,5.75300516840122E-304,1.85645019618E-302,5.93185153153728E-301,1.87679018697837E-299,5.87976146903193E-298,1.82398925381935E-296,5.60277881304454E-295,1.70413253059355E-293,5.13241771237618E-292,1.53059191496681E-290,4.51976317480675E-289,1.32157203980057E-287,3.82635231829787E-286,1.09697839966816E-284,3.11408352318603E-283,8.75349630359183E-282,2.4364192354141E-280,6.71493345434373E-279,1.83252829713756E-277,4.95198140869845E-276,1.32503307205088E-274,3.51070133899846E-273,9.21044394546323E-272,2.39269208644483E-270,6.15478224147786E-269,1.56768303869375E-267,3.95388083101197E-266,9.87435417426095E-265,2.44182027133034E-263,5.97913858770551E-262,1.44971802023972E-260,3.48055506754445E-259,8.27434449975825E-258,1.94777536390926E-256,4.54008916631328E-255,1.04787675061744E-253,2.39483943085286E-252,5.41954758660556E-251,1.21442352638921E-249,2.69462218181549E-248,5.92033424552372E-247,1.2879982628231E-245,2.77463014873501E-244,5.91855606688584E-243,1.25010744549263E-241,2.61456773726331E-240,5.41468884041385E-239,1.11037131268267E-237,2.25467606431124E-236,4.53337182477647E-235,9.02567863075E-234,1.77934352460801E-232,3.4734513781088E-231,6.71404435296437E-230,1.28507603114266E-228,2.43553935922492E-227,4.57070581393777E-226,8.49362831803536E-225,1.56287836298973E-223,2.84760093893758E-222,5.13753954836162E-221,9.17811321731097E-220,1.62358079755969E-218,2.84391587983798E-217,4.932669449487E-216,8.47168482903297E-215,1.44072191237707E-213,2.42612521425568E-212,4.04547037751705E-211,6.67955745743815E-210,1.09206702089448E-208,1.76796604479819E-207,2.8341423631117E-206,4.49875774670791E-205,7.07109785933647E-204,1.10053655740705E-202,1.6960770479288E-201,2.58827401234288E-200,3.91109703945591E-199,5.85208588447163E-198,8.67054999249299E-197,1.27205694892937E-195,1.847951263633E-194,2.65826712925521E-193,3.78643911383599E-192,5.3405708888703E-191,7.45879793570749E-190,1.03151263987963E-188,1.41255356097805E-187,1.91540253384362E-186,2.5718169835214E-185,3.41936166500811E-184,4.50168498768778E-183,5.86854390247845E-182,7.57549330408936E-181,9.68315525796199E-180,1.22559900769528E-178,1.53605069363256E-177,1.90628774048894E-176,2.34259512697498E-175,2.85057195761022E-174,3.43473228843446E-173,4.09807600365948E-172,4.84165096473355E-171,5.66413275145134E-170,6.56145220516331E-169,7.52650305695595E-168,8.548961644503E-167,9.61524770707024E-166,1.07086493375795E-164,1.18096264786191E-163,1.28962962956212E-162,1.39450910647576E-161,1.49315658523719E-160,1.58313203917194E-159,1.662098840396E-158,1.72792393246186E-157,1.77877329494957E-156,1.81319675542402E-155,1.83019668103807E-154,1.82927601019687E-153,1.81046239722373E-152,1.77430683335503E-151,1.72185683996204E-150,1.65460605392742E-149,1.57442359079217E-148,1.48346784562174E-147,1.38409027204174E-146,1.27873510462953E-145,1.16984094248629E-144,1.05974962134796E-143,9.50626936939301E-143,8.44398642716281E-142,7.42703848001203E-141,6.4686660976349E-140,5.57885256776742E-139,4.76437903610136E-138,4.02901772559882E-137,3.37383382688634E-136,2.79756394849794E-135,2.29703901087277E-134,1.86762175874707E-133,1.50363310775331E-132,1.19874672047852E-131,9.46336916239167E-131,7.39770710432953E-130,5.72640009660367E-129,4.38934440068501E-128,3.33158772200009E-127,2.50401361825052E-126,1.86361490789447E-125,1.3734407891703E-124,1.00230109616561E-123,7.24304518739053E-123,5.18297529336053E-122,3.67258849975681E-121,2.57691933888626E-120,1.7904617294069E-119,1.23187081519538E-118,8.39269503651372E-118,5.66205549259339E-117,3.78253936959244E-116,2.50224428854461E-115,1.63912899223109E-114,1.06324658971938E-113,6.82955765049894E-113,4.34399319691447E-112,2.73604955649843E-111,1.70646476653681E-110,1.05392455345099E-109,6.44556273825143E-109,3.90347654137543E-108,2.3408954833728E-107,1.3901206493872E-106,8.1745394852836E-106,4.76008537721619E-105,2.74477755271288E-104,1.56725929312222E-103,8.86168224605077E-103,4.96173365900028E-102,2.75101538061548E-101,1.51041131824812E-100,8.21183924487359E-100,4.42108637492078e-99,2.35700920197247e-98,1.24433593789169e-97,6.50516737464727e-97,3.36762832942511e-96,1.72637473378604e-95,8.76378315225269e-95,4.40548993093391e-94,2.19302333024443e-93,1.08103351317298e-92,5.27694242676901e-92,2.55078162238057e-91,1.2209907362228e-90,5.78762086097563e-90,2.71666976665305e-89,1.26276682282703e-88,5.81245344491994e-88,2.64939251849682e-87,1.19587038018704e-86,5.34531618110962e-86,2.36599970508504e-85,1.03707099974437e-84,4.50148016511941e-84,1.93488776776512e-83,8.23588654574476e-83,3.47151967665416e-82,1.44905269579169e-81,5.98969327281997e-81,2.45177966338258e-80,9.93837437512993e-80,3.98939413418339e-79,1.58583079655461e-78,6.24260284144392e-78,2.43351584069583e-77,9.39426777066916e-77,3.59130808927251e-76,1.35957779840309e-75,5.09703775775634e-75,1.89232076044605e-74,6.95721651778028e-74,2.53303335497043e-73,9.13296303384704e-73,3.26098415120472e-72,1.15306206910441e-71,4.03761145382479e-71,1.40011932646074e-70,4.8081181803042e-70,1.6351427054774e-69,5.50690444015589e-69,1.83667239743247e-68,6.06637268365267e-68,1.98426958876528e-67,6.42757954870429e-67,2.06191356807456e-66,6.55044352039945e-66,2.06086373155259e-65,6.42106783310612e-65,1.98127960588365e-64,6.05432813562758e-64,1.83218359239609e-63,5.4910585429858e-63,1.62977795948326e-62,4.79057177197522e-62,1.39455003480856e-61,4.02040696410754e-61,1.14787992135845e-60,3.24574819964033e-60,9.08921853284159e-60,2.52076923606409e-59,6.92366372872701e-59,1.88337466169967e-58,5.07384210998209e-58,1.35374939030363e-57,3.57719302575918e-57,9.36161924715986e-57,2.42641921899611e-56,6.22857621816144e-56,1.58351316805024e-55,3.98718553510937e-55,9.94317435666271e-55,2.45583700421222e-54,6.00747518186497e-54,1.45547430386486e-53,3.49252417680814e-53,8.30039761538263e-53,1.95382342548082e-52,4.55513318099381e-52,1.05183757657525e-51,2.40564023553652e-51,5.44941279554545e-51,1.22266782423199e-50,2.71712618895286e-50,5.98076267647098e-50,1.3039223937529e-49,2.81577794684574e-49,6.02281766183278e-49,1.27602431340714e-48,2.67780828013684e-48,5.5662766875559e-48,1.14608935016067e-47,2.33746035882265e-47,4.72221721150044e-47,9.4499075068358e-47,1.87323880379589e-46,3.67829839972992e-46,7.15473206175627e-46,1.37859570883246e-45,2.63137221896902e-45,4.9754722518209e-45,9.3196157314878e-45,1.72933274958937e-44,3.17893289970298e-44,5.78911200557492e-44,1.04442221162905e-43,1.86672252595736e-43,3.30543894134832e-43,5.79869967526284e-43,1.00783824998366e-42,1.73546827876743e-42,2.96084230705881e-42,5.00488410474833e-42,8.38224965335769e-42,1.39098655078151e-41,2.28712180569479e-41,3.72621785774736e-41,6.01545743415295e-41,9.62276228143681e-41,1.52535561795669e-40,2.39603210064386e-40,3.72970635858617e-40,5.75344318872343e-40,8.79555605321156e-40,1.3325778274586e-39,2.00091040246786e-39,2.97769972461507e-39,4.39202955893789e-39,6.42087312482826e-39,9.3042484089328e-39,1.33641487008379e-38,1.90278211061581e-38,2.68559243072845e-38,3.75759993885544e-38,5.2121520180248e-38,7.16765394990119e-38,9.772560492883e-38,1.32108177352702e-37,1.77076249367362e-37,2.3535324030878e-37,3.10191562309176e-37,4.05425542344646e-37,5.25515695940869e-37,6.7557973796905e-37,8.61405252717485e-37,1.08943870202527e-36,1.36674549884519e-36,1.70093627865249e-36,2.10005531180068e-36,2.57242824232917e-36,3.12646800886204e-36,3.77043986173208e-36,4.51218875981165e-36,5.35883499562083e-36,6.31644650966817e-36,7.38969884098298e-36,8.58153583310492e-36,9.89284588676071e-36,1.13221695519501e-35,1.28654544455063e-35,1.45158727745583e-35,1.62637151090239e-35,1.80963715096681e-35,1.99984077812503e-35,2.19517406440022e-35,2.39359112146502e-35,2.59284516116006e-35,2.79053350183894e-35,2.98414954249998e-35,3.17113997673399e-35,3.34896525110421e-35,3.5151611032743e-35,3.667398953172e-35,3.80354296795196e-35,3.92170177387159e-35,4.02027303451164e-35,4.09797943889709e-35,4.15389502494362e-35,4.18746118084843e-35,4.19849209638118e-35,4.18716985508886e-35,4.15402974688384e-35,4.09993672118396e-35,4.02605418049201e-35,3.93380652416463e-35,3.82483698770848e-35,3.70096238409546e-35,3.56412634398365e-35,3.41635257825968e-35,3.25969955836449e-35,3.09621783851068e-35,2.92791104114584e-35,2.75670130503414e-35,2.58439976581254e-35,2.41268241249732e-35,2.24307144940294e-35,2.07692209879776e-35,1.91541461099825e-35,1.75955110922864e-35,1.61015678835473e-35,1.46788490977867e-35,1.33322498815757e-35,1.20651354681114e-35,1.08794682446041e-35,9.77594842446624e-36,8.75416284660863e-36,7.8127369784676e-36,6.94948583645582e-36,6.16156021971262e-36,5.44558534708032e-36,4.797789665067e-36,4.21412223364169e-36,3.69035768011171e-36,3.22218822745223e-36,2.80530274556527e-36,2.43545313955167e-36,2.10850867923406e-36,1.82049909271576e-36,1.56764739961459e-36,1.34639355408237e-36,1.1534100119167e-36,9.85610338383283e-37,8.40151942058241e-37,7.14433962888242e-37,6.06091266895168e-37,5.12985411845346e-37,4.33193353186429e-37,3.64994562136769e-37,3.06857131608713e-37,2.57423353440479e-37,2.15495164228547e-37,1.80019778260764e-37,1.50075755455077e-37,1.24859690153524e-37,1.03673653081823e-37,8.59134734574357e-38,7.1057910605939e-38,5.86587338834515e-38,4.8331705477784e-38,3.97484420141484e-38,3.26291170642732e-38,2.67359569195974e-38,2.18674756549735e-38,1.78533919527703e-38,1.45501688179443e-38,1.18371177005748e-38,9.61301022963041e-39,7.7931433916292e-39,6.30680726229931e-39,5.09510807535167e-39,4.10910329601693e-39,3.30820930674623e-39,2.65884619365835e-39,2.13328786090622e-39,1.70868923750998e-39,1.36626563934292e-39,1.09060238622184e-39,8.69075541542673e-40,6.91367140358247e-40,5.49060509026989e-40,4.3530326833783e-40,3.44527368363043e-40,2.72217045156019e-40,2.14716935628322e-40,1.69073756453322e-40,1.32905964137038e-40,1.04296684101657e-40,8.17059432598759e-41,6.38988783669759e-41,4.9887135328751e-41,3.88811351694191e-41,3.02512717532556e-41,2.34964345734052e-41,1.82185257558116e-41,1.41018715702345e-41,1.08966218961884e-41,8.40539206707365e-42,6.47253531965005e-42,4.97554500931718e-42,3.81817749247284e-42,2.92496225886168e-42,2.23682817890715e-42,1.70762586330571e-42,1.30136801148051e-42,9.90043846061436e-43,7.51891628208325e-43,5.70035939341078e-43,4.31414828402512e-43,3.25936832511006e-43,2.45819922636476e-43,1.850741334559e-43,1.39097443504103e-43,1.04360736241542e-43,7.81626883015906e-44,5.84394380349432e-44,4.36170813686994e-44,3.24975822797789e-44,2.41707011710537e-44,1.79461408399376e-44,1.33013711100737e-44,9.84158769230543e-45,7.26904321457789e-45,5.35960252145689e-45,3.94485541536493e-45,2.89849602055583e-45,2.12597120915624e-45,1.55662875626175e-45,1.13777312801832e-45,8.30174150872538e-46,6.04680013773814e-46,4.39668003938079e-46,3.19129475893237e-46,2.31234035800656e-46,1.67255095755017e-46,1.20767394043852e-46,8.70487923542634e-47,6.26352056145687e-47,4.4990099217183e-47,3.22595323555979e-47,2.30909523435263e-47,1.64994046131977e-47,1.1768939804415e-47,8.38009694156984e-48,5.9566676369667e-48,4.22668918490893e-48,2.99391777595339e-48,2.1170057224891e-48,1.49433096984475e-48,1.05296554501933e-48,7.4066891460321e-49,5.20087799947228e-49,3.64562339587273e-49,2.5509945120627e-49,1.78192667401792e-49,1.24254668322403e-49,8.64924459677131e-50,6.01016258874834e-50,4.16904745524184e-50,2.88688863634078e-50,1.99556462558436e-50,1.37703232439424e-50,9.48560519293106e-51,6.52271682870142e-51,4.47748948893468e-51,3.06819667080608e-51,2.09881607752818e-51,1.4332044187143e-51,9.76977275691052e-52,6.64818893561006e-52,4.51611311396845e-52,3.06244879155672e-52,2.07307696504955e-52,1.40089176570406e-52,9.45009783778946e-53,6.36371311184058e-53,4.27786865071754e-53,2.87069375116376e-53,1.92304234396002e-53,1.28597757470323e-53,8.58460877912331e-54,5.7207133321078e-54,3.80559377126007e-54,2.52718615718395e-54,1.67530777809119e-54,1.10865020064391e-54,7.32380949903417e-55,4.82972165962356e-55,3.17943338681301e-55,2.08939197390711e-55,1.37066927537329e-55,8.97610651647296e-56,5.86794292880576e-56,3.82936116752858e-56,2.4946483792956e-56,1.62231399958102e-56,1.05318109606875e-56,6.82517448152709e-57,4.41536921485282e-57,2.85143092943116e-57,1.83823593050322e-57,1.18299309309695e-57,7.59986243397221e-58,4.87384616224719e-58,3.12018587630709e-58,1.99402996372383e-58,1.27211231566692e-58,8.10143212945949e-59,5.15039695494269e-59,3.26860296900286e-59,2.07074300438685e-59,1.30958230581463e-59,8.26764761829575e-60,5.21043138392148e-60,3.2779925926325e-60,2.05866091071018e-60,1.29063736018118e-60,8.0772999442828e-61,5.04627311684501e-61,3.14715300237689e-61,1.95932971972927e-61,1.21769846514603e-61,7.554653587096e-62,4.67877235124548e-62,2.89262302237891e-62,1.78523061393321e-62,1.09986498619483e-62,6.76436433836382e-63,4.15295446736651e-63,2.54524686694682e-63,1.55720294773394e-63,9.5104942305191e-64,5.79833788659566e-64,3.52895821455767e-64,2.14403601529449e-64,1.30034981514662e-64,7.8728302569422e-65,4.75821584825938e-65,2.87078027870514e-65,1.72901329495822e-65,1.03953538025253e-65,6.23911198687325e-66,3.73808222828945e-66,2.23572037010093e-66,1.33483836605493e-66,7.95577406724326e-67,4.73346058905751e-67,2.81136771641638e-67,1.66685992374183e-67,9.86559130335787e-68,5.82894153207193e-68,3.43794434333813e-68,2.02418661082256e-68,1.18972015144736e-68,6.98042156026543e-69,4.08847219401335e-69,2.39046841221913e-69,1.39523555135195e-69,8.12932753666915e-70,4.72829183480953e-70,2.74534222145723e-70,1.59122380912819e-70,9.20679792629828e-71,5.31775736420634e-71,3.06613298905234e-71,1.76480213951863e-71,1.01401322463589e-71,5.81612564762306e-72,3.33017077285586e-72,1.90345140309143e-72,1.08607457111217e-72,6.18614451214056e-73,3.51741037760178e-73,1.99649664000527e-73,1.13124504606164e-73,6.39863534631219e-74,3.61293871444667e-74,2.03646238374185e-74,1.1458684288486e-74,6.43629111118621e-75,3.60893589265043e-75,2.0200644224342e-75,1.12873979242995e-75,6.29600429366346e-76,3.50573237124406e-76,1.94865549195598e-76,1.08126945937564e-76,5.98929039596377e-77,3.31176390687073e-77,1.82804099274058e-77,1.00729123649606e-77,5.540726900026e-78,3.04243281823581e-78,1.66769955679971e-78,9.12551100653475e-79,4.98470127439371e-79,2.71808881881917e-79,1.4795536405314e-79,8.03970936792719e-80,4.36106487910521e-80,2.36149651792817e-80,1.27651121598954e-80,6.88818058342304e-81,3.71045336133789e-81,1.99522553172424e-81,1.07102491475214e-81,5.73917830398922e-82,3.07002862619095e-82,1.63937269071299e-82,8.73887507402339e-83,4.65024601668915e-83,2.47023853063457e-83,1.30991892701978e-83,6.93413841839653e-84,3.66423365967479e-84,1.93293111269947e-84,1.01786963093994e-84,5.35069875782092e-85,2.80783387193336e-85,1.47087199830905e-85,7.69167481787888e-86,4.01522155326775e-86,2.09238055943084e-86,1.08846483361745e-86,5.65237142242745e-87,2.93014792227151e-87,1.51632034586068e-87,7.83312294361181e-88,4.03944302861511e-88,2.0794601173242e-88,1.06861746283287e-88,5.48196807748413e-89,2.80732893013872e-89,1.43513469494238e-89,7.32376819688366e-90,3.7309470026017e-90,1.89734424181025e-90,9.63198396372981e-91,4.88121493906768e-91,2.46935014864239e-91,1.24703885274601e-91,6.28665831102359e-92,3.16375097499554e-92,1.58937834381992e-92,7.97067046150028e-93,3.99029478511851e-93,1.9941493018116e-93,9.94839280263231e-94,4.95439629395034e-94,2.4630380627654e-94,1.22234575355666e-94,6.05563341285062e-95,2.99479878828683e-95,1.47848963601928e-95,7.2863744152651e-96,3.5846540355077e-96,1.76045761696166e-96,8.63070881103445e-97,4.22386392299465e-97,2.06355446563238e-97,1.00638584006343e-97,4.8995440054517e-98,2.38116434764117e-98,1.1552225128088e-98,5.59479888716534e-99,2.7048667763896e-99,1.30541873988502e-99,6.28921396267772E-100,3.02472196852933E-100,1.45216884447326E-100,6.95971303412618E-101,3.32972306609275E-101,1.59025752734822E-101,7.58174841126797E-102,3.60839308242338E-102,1.71435547155396E-102,8.13074756651579E-103,3.84948508654535E-103,1.81935466518321E-103,8.58370254997533E-104,4.04272792404606E-104,1.90071469554025E-104,8.92076121108036E-105,4.17954937382173E-105,1.95478757197178E-105,9.12666778145522E-106,4.2537060867534E-106,1.97908879009153E-106,9.19190744592972E-107,4.26175589232435E-107,1.97248659972677E-107,9.11343533414232E-108,4.20332271570481E-108,1.93528939595845E-108,8.89491214285548E-109,4.0811257085006E-109,1.86922183464645E-109,8.54642099443047E-110,3.90076945045331E-110,1.7772922487603E-110,8.0836960329386E-111,3.6703177671574E-111,1.66356556129542E-111,7.52694495267528E-112,3.39969629774597E-112,1.53286556586168E-112,6.8993881448486E-113,3.0999854218765E-113,1.39043691220502E-113,6.2256612939432E-114,2.78267350949252E-114,1.24159965052057E-114,5.53023355974124E-115,2.45893998275595E-115,1.09142763945195E-115,4.83598038178193E-116,2.13902902031462E-116,9.44477000626402E-117,4.16302156250548E-117,1.83175969002131E-117,8.04583086067968E-118,3.52789672526094E-118,1.54419944312498E-118,6.7473538046056E-119,2.94310759217744E-119,1.28150810806476E-119,5.57030712599496E-120,2.41701579107634E-120,1.04694145844649E-120,4.52697266288086E-121,1.95405106758051E-121,8.41989180120113E-122,3.62176006371026E-122,1.55516117015221E-122,6.66612873289635E-123,2.852427088446E-123,1.21842267208162E-123,5.19545939324711E-124,2.21152830207391E-124,9.39731126474064E-125,3.98618349195944E-125,1.68792647094676E-125,7.13497286076773E-126,3.01074303719983E-126,1.26822882380287E-126,5.33290824935979E-127,2.2385828278984E-127,9.38047407965174E-128,3.92390939865719E-128,1.63853498358239E-128,6.83022529259231E-129,2.84221484441488E-129,1.18065046206726E-129,4.89585270319849E-130,2.02664605897674E-130,8.37471502042913E-131,3.45465537613733E-131,1.42259732123893E-131,5.84792516779224E-132,2.39973999816557E-132,9.8303535503936E-133,4.01991294914209E-133,1.64099298013138E-133,6.6871237704247E-134,2.72028598167346E-134,1.1046694131246E-134,4.4780883572703E-135,1.81215587491401E-135,7.32050443277076E-136,2.9520861565445E-136,1.18839170601186E-136,4.77565296009642E-137,1.91579250973323E-137,7.67196734867866E-138,3.06695627516617E-138,1.22391423681333E-138,4.87569973838816E-139,1.93894496401918E-139,7.69726742085945E-140,3.05035392279463E-140,1.20671983843631E-140,4.76546447917226E-141,1.8786530615097E-141,7.39316665496607E-142,2.90440363226313E-142,1.13900599523578E-142,4.45900143885484E-143,1.74257620178457E-143,</v>
      </c>
      <c r="O24" s="49" t="s">
        <v>181</v>
      </c>
    </row>
    <row r="25" spans="1:15">
      <c r="A25" s="3"/>
      <c r="B25" s="3"/>
      <c r="C25" s="3"/>
      <c r="D25" s="3"/>
      <c r="H25" s="3" t="s">
        <v>106</v>
      </c>
      <c r="I25">
        <f>$D$8</f>
        <v>626.99282292543035</v>
      </c>
      <c r="J25">
        <f>$E$8</f>
        <v>0.54378773604345199</v>
      </c>
      <c r="M25" s="3" t="s">
        <v>185</v>
      </c>
      <c r="N25" s="3">
        <f>STupidExcelMean(N24)</f>
        <v>8.3922694510618595E+43</v>
      </c>
      <c r="O25" s="3">
        <f>STupidExcelVariance(N24,N25)</f>
        <v>1.7473654833187088E+100</v>
      </c>
    </row>
    <row r="26" spans="1:15">
      <c r="A26" s="29" t="s">
        <v>93</v>
      </c>
      <c r="B26" s="4">
        <f>B22+I6</f>
        <v>2.1475438900215126E+25</v>
      </c>
      <c r="C26" s="3"/>
      <c r="D26" s="3"/>
      <c r="H26" s="27" t="s">
        <v>60</v>
      </c>
      <c r="I26" s="25">
        <f>PRODUCT(I22:I25)</f>
        <v>1.2561907218253124E+28</v>
      </c>
      <c r="J26" s="25">
        <f>SUM(J22:J25)</f>
        <v>4.5326038702235341</v>
      </c>
      <c r="M26" s="3"/>
      <c r="N26" s="3"/>
      <c r="O26" s="3"/>
    </row>
    <row r="27" spans="1:15">
      <c r="A27" s="29" t="s">
        <v>94</v>
      </c>
      <c r="B27" s="4">
        <f>B23+I7</f>
        <v>605.46436056108371</v>
      </c>
      <c r="D27" s="3"/>
      <c r="H27" s="3"/>
      <c r="I27" s="3"/>
      <c r="M27" s="3"/>
      <c r="N27" s="3"/>
      <c r="O27" s="3"/>
    </row>
    <row r="28" spans="1:15">
      <c r="D28" s="3"/>
      <c r="H28" s="3"/>
      <c r="I28" s="36"/>
      <c r="M28" s="3"/>
      <c r="N28" s="3"/>
      <c r="O28" s="3"/>
    </row>
    <row r="29" spans="1:15">
      <c r="H29" s="1" t="s">
        <v>92</v>
      </c>
      <c r="M29" s="3"/>
      <c r="N29" s="3"/>
      <c r="O29" s="3"/>
    </row>
    <row r="30" spans="1:15">
      <c r="I30" s="7" t="s">
        <v>190</v>
      </c>
      <c r="J30" s="7" t="s">
        <v>192</v>
      </c>
      <c r="M30" s="3"/>
      <c r="N30" s="36"/>
      <c r="O30" s="3"/>
    </row>
    <row r="31" spans="1:15">
      <c r="H31" s="3" t="s">
        <v>153</v>
      </c>
      <c r="I31" s="40">
        <f>VLOOKUP(H31,$A$10:$E$13,4,FALSE)</f>
        <v>2.2360679774997897E-2</v>
      </c>
      <c r="J31" s="40">
        <f>VLOOKUP(H31,$A$10:$E$13,5,FALSE)</f>
        <v>0.50759954989056688</v>
      </c>
      <c r="M31" s="24"/>
      <c r="N31" s="3"/>
      <c r="O31" s="3"/>
    </row>
    <row r="32" spans="1:15">
      <c r="H32" s="3" t="s">
        <v>218</v>
      </c>
      <c r="I32">
        <f>VLOOKUP($H32,'EV of Far Future'!$K$3:$N$13,2,FALSE)</f>
        <v>2.8334007835108666E+40</v>
      </c>
      <c r="J32">
        <f>VLOOKUP($H32,'EV of Far Future'!$K$3:$N$13,3,FALSE)</f>
        <v>4.1513686573257056</v>
      </c>
      <c r="M32" s="3"/>
      <c r="N32" s="47"/>
      <c r="O32" s="47"/>
    </row>
    <row r="33" spans="2:15">
      <c r="B33" s="3"/>
      <c r="H33" s="3" t="s">
        <v>74</v>
      </c>
      <c r="I33">
        <f>1/factory_farmed_animals</f>
        <v>5.0000000000000002E-11</v>
      </c>
      <c r="J33">
        <v>0</v>
      </c>
      <c r="M33" s="3"/>
      <c r="N33" s="40"/>
      <c r="O33" s="3"/>
    </row>
    <row r="34" spans="2:15">
      <c r="B34" s="3"/>
      <c r="H34" s="3" t="s">
        <v>106</v>
      </c>
      <c r="I34">
        <f>$D$8</f>
        <v>626.99282292543035</v>
      </c>
      <c r="J34">
        <f>$E$8</f>
        <v>0.54378773604345199</v>
      </c>
      <c r="M34" s="3"/>
      <c r="N34" s="3"/>
      <c r="O34" s="3"/>
    </row>
    <row r="35" spans="2:15">
      <c r="H35" s="27" t="s">
        <v>60</v>
      </c>
      <c r="I35" s="25">
        <f>PRODUCT(I31:I34)</f>
        <v>1.9862119282694878E+31</v>
      </c>
      <c r="J35" s="25">
        <f>SUM(J31:J34)</f>
        <v>5.2027559432597243</v>
      </c>
      <c r="M35" s="3"/>
      <c r="N35" s="3"/>
      <c r="O35" s="3"/>
    </row>
    <row r="36" spans="2:15">
      <c r="H36" s="3"/>
      <c r="I36" s="3"/>
      <c r="M36" s="3"/>
      <c r="N36" s="3"/>
      <c r="O36" s="3"/>
    </row>
    <row r="37" spans="2:15">
      <c r="H37" s="3"/>
      <c r="I37" s="36"/>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F25" sqref="F25"/>
    </sheetView>
  </sheetViews>
  <sheetFormatPr baseColWidth="10" defaultRowHeight="15" x14ac:dyDescent="0"/>
  <cols>
    <col min="1" max="1" width="21.6640625" customWidth="1"/>
    <col min="2" max="2" width="12.83203125" bestFit="1" customWidth="1"/>
    <col min="3" max="3" width="12.1640625" bestFit="1" customWidth="1"/>
    <col min="4" max="4" width="12.83203125" bestFit="1" customWidth="1"/>
    <col min="7" max="7" width="21.6640625" customWidth="1"/>
    <col min="10" max="10" width="12.1640625" bestFit="1" customWidth="1"/>
    <col min="13" max="13" width="21.6640625" customWidth="1"/>
    <col min="14" max="15" width="12.1640625" bestFit="1" customWidth="1"/>
  </cols>
  <sheetData>
    <row r="1" spans="1:15">
      <c r="A1" s="1" t="s">
        <v>122</v>
      </c>
      <c r="B1" t="s">
        <v>140</v>
      </c>
      <c r="G1" s="1" t="s">
        <v>119</v>
      </c>
      <c r="H1" t="s">
        <v>140</v>
      </c>
      <c r="M1" s="1"/>
    </row>
    <row r="2" spans="1:15">
      <c r="B2" t="s">
        <v>0</v>
      </c>
      <c r="C2" t="s">
        <v>1</v>
      </c>
      <c r="D2" t="s">
        <v>2</v>
      </c>
      <c r="E2" t="s">
        <v>3</v>
      </c>
      <c r="H2" t="s">
        <v>0</v>
      </c>
      <c r="I2" t="s">
        <v>1</v>
      </c>
      <c r="J2" t="s">
        <v>190</v>
      </c>
      <c r="K2" t="s">
        <v>191</v>
      </c>
    </row>
    <row r="3" spans="1:15">
      <c r="A3" s="28" t="s">
        <v>114</v>
      </c>
      <c r="B3" s="14">
        <v>70000</v>
      </c>
      <c r="C3" s="14">
        <v>150000</v>
      </c>
      <c r="G3" s="28" t="s">
        <v>108</v>
      </c>
      <c r="H3" s="14">
        <v>0.03</v>
      </c>
      <c r="I3" s="14">
        <v>0.3</v>
      </c>
      <c r="J3">
        <f>GEOMEAN(H3,I3)</f>
        <v>9.4868329805051374E-2</v>
      </c>
      <c r="K3">
        <f>LogVariance(H3,I3)</f>
        <v>0.39015207303618948</v>
      </c>
      <c r="L3" t="s">
        <v>138</v>
      </c>
    </row>
    <row r="4" spans="1:15">
      <c r="A4" t="s">
        <v>115</v>
      </c>
      <c r="B4">
        <f>1/C3</f>
        <v>6.6666666666666666E-6</v>
      </c>
      <c r="C4">
        <f>1/B3</f>
        <v>1.4285714285714285E-5</v>
      </c>
      <c r="D4">
        <f>GEOMEAN(B4,C4)</f>
        <v>9.7590007294853309E-6</v>
      </c>
      <c r="E4">
        <f>LogVariance(B4,C4)</f>
        <v>0.12913769056993327</v>
      </c>
      <c r="G4" s="28" t="s">
        <v>112</v>
      </c>
      <c r="H4" s="14">
        <v>200</v>
      </c>
      <c r="I4" s="14">
        <v>10000</v>
      </c>
    </row>
    <row r="5" spans="1:15">
      <c r="G5" s="3" t="s">
        <v>148</v>
      </c>
      <c r="H5">
        <f>1/I4</f>
        <v>1E-4</v>
      </c>
      <c r="I5">
        <f>1/H4</f>
        <v>5.0000000000000001E-3</v>
      </c>
      <c r="J5">
        <f>GEOMEAN(H5,I5)</f>
        <v>7.0710678118654762E-4</v>
      </c>
      <c r="K5">
        <f>LogVariance(H5,I5)</f>
        <v>0.66285666921800146</v>
      </c>
    </row>
    <row r="6" spans="1:15">
      <c r="G6" s="28" t="s">
        <v>109</v>
      </c>
      <c r="H6" s="14">
        <v>0.5</v>
      </c>
      <c r="I6" s="14">
        <v>3</v>
      </c>
      <c r="J6">
        <f>GEOMEAN(H6,I6)</f>
        <v>1.2247448713915889</v>
      </c>
      <c r="K6">
        <f>LogVariance(H6,I6)</f>
        <v>0.30359732347288149</v>
      </c>
    </row>
    <row r="7" spans="1:15">
      <c r="G7" s="28" t="s">
        <v>110</v>
      </c>
      <c r="H7" s="14">
        <v>0.1</v>
      </c>
      <c r="I7" s="14">
        <v>0.7</v>
      </c>
      <c r="J7">
        <f>GEOMEAN(H7,I7)</f>
        <v>0.26457513110645903</v>
      </c>
      <c r="K7">
        <f>LogVariance(H7,I7)</f>
        <v>0.32971675223038288</v>
      </c>
      <c r="M7" s="40"/>
      <c r="N7" s="3"/>
      <c r="O7" s="3"/>
    </row>
    <row r="8" spans="1:15">
      <c r="G8" s="3" t="s">
        <v>123</v>
      </c>
      <c r="J8">
        <f>J3*J5*J6*J7*D4*1000</f>
        <v>2.1213203435596419E-7</v>
      </c>
      <c r="K8">
        <f>K3+K5+K6+K7+E4</f>
        <v>1.8154605085273885</v>
      </c>
      <c r="M8" s="3"/>
      <c r="N8" s="3"/>
      <c r="O8" s="3"/>
    </row>
    <row r="9" spans="1:15" ht="20">
      <c r="A9" s="6" t="s">
        <v>67</v>
      </c>
      <c r="M9" s="3"/>
      <c r="N9" s="3" t="s">
        <v>170</v>
      </c>
      <c r="O9" s="3"/>
    </row>
    <row r="10" spans="1:15">
      <c r="A10" s="1" t="s">
        <v>131</v>
      </c>
      <c r="M10" s="3"/>
      <c r="O10" s="3"/>
    </row>
    <row r="11" spans="1:15">
      <c r="A11" s="29" t="s">
        <v>204</v>
      </c>
      <c r="B11" s="4">
        <f>ParetoPosterior(median,alpha,H26:I26)</f>
        <v>1.7616230324321696E+25</v>
      </c>
      <c r="G11" s="1" t="s">
        <v>120</v>
      </c>
      <c r="H11" s="7" t="s">
        <v>140</v>
      </c>
      <c r="M11" s="3"/>
      <c r="N11" s="3"/>
      <c r="O11" s="3"/>
    </row>
    <row r="12" spans="1:15">
      <c r="A12" s="29" t="s">
        <v>205</v>
      </c>
      <c r="B12" s="4">
        <f>LognormPosterior(mu_far_future,sigma_far_future,H26:I26)</f>
        <v>325.50189986219328</v>
      </c>
      <c r="H12" t="s">
        <v>0</v>
      </c>
      <c r="I12" t="s">
        <v>1</v>
      </c>
      <c r="J12" t="s">
        <v>190</v>
      </c>
      <c r="K12" t="s">
        <v>191</v>
      </c>
      <c r="M12" s="3"/>
      <c r="N12" s="41"/>
      <c r="O12" s="41"/>
    </row>
    <row r="13" spans="1:15">
      <c r="G13" s="28" t="s">
        <v>111</v>
      </c>
      <c r="H13" s="26">
        <v>1000000</v>
      </c>
      <c r="I13" s="26">
        <v>1000000000</v>
      </c>
      <c r="J13">
        <f>GEOMEAN(H13,I13)</f>
        <v>31622776.601683792</v>
      </c>
      <c r="K13">
        <f>LogVariance(H13,I13)</f>
        <v>1.1704562191085683</v>
      </c>
      <c r="M13" s="3"/>
      <c r="N13" s="3"/>
      <c r="O13" s="3"/>
    </row>
    <row r="14" spans="1:15">
      <c r="G14" s="28" t="s">
        <v>113</v>
      </c>
      <c r="H14" s="14">
        <v>2000</v>
      </c>
      <c r="I14" s="14">
        <v>2000</v>
      </c>
      <c r="J14">
        <f>GEOMEAN(H14,I14)</f>
        <v>2000</v>
      </c>
      <c r="K14">
        <f>LogVariance(H14,I14)</f>
        <v>0</v>
      </c>
      <c r="M14" s="3"/>
      <c r="N14" s="3"/>
      <c r="O14" s="3"/>
    </row>
    <row r="15" spans="1:15">
      <c r="A15" s="24"/>
      <c r="B15" s="3"/>
      <c r="G15" t="s">
        <v>124</v>
      </c>
      <c r="H15" s="2">
        <f>1/I13</f>
        <v>1.0000000000000001E-9</v>
      </c>
      <c r="I15" s="2">
        <f>1/H13</f>
        <v>9.9999999999999995E-7</v>
      </c>
      <c r="J15">
        <f>GEOMEAN(H15,I15)</f>
        <v>3.1622776601683792E-8</v>
      </c>
      <c r="K15">
        <f>LogVariance(H15,I15)</f>
        <v>1.1704562191085683</v>
      </c>
      <c r="M15" s="40"/>
      <c r="N15" s="3"/>
      <c r="O15" s="3"/>
    </row>
    <row r="16" spans="1:15">
      <c r="A16" s="3"/>
      <c r="B16" s="3"/>
      <c r="G16" t="s">
        <v>123</v>
      </c>
      <c r="J16">
        <f>J14*J15*D4*1000</f>
        <v>6.1721339984836745E-7</v>
      </c>
      <c r="K16">
        <f>K14+K15+E4</f>
        <v>1.2995939096785016</v>
      </c>
      <c r="M16" s="3"/>
      <c r="O16" s="3"/>
    </row>
    <row r="17" spans="1:15">
      <c r="A17" s="3"/>
      <c r="B17" s="3"/>
      <c r="M17" s="3"/>
      <c r="O17" s="3"/>
    </row>
    <row r="18" spans="1:15">
      <c r="A18" s="3"/>
      <c r="B18" s="3"/>
      <c r="M18" s="3"/>
      <c r="N18" s="3"/>
      <c r="O18" s="3"/>
    </row>
    <row r="19" spans="1:15">
      <c r="A19" s="3"/>
      <c r="B19" s="3"/>
      <c r="G19" s="1" t="s">
        <v>126</v>
      </c>
      <c r="M19" s="3"/>
      <c r="N19" s="3"/>
      <c r="O19" s="3"/>
    </row>
    <row r="20" spans="1:15">
      <c r="A20" s="24"/>
      <c r="B20" s="3"/>
      <c r="G20" t="s">
        <v>123</v>
      </c>
      <c r="J20">
        <f>GEOMEAN(J8,J16)</f>
        <v>3.6184352162446591E-7</v>
      </c>
      <c r="K20">
        <f>MAX(K8,K16)</f>
        <v>1.8154605085273885</v>
      </c>
      <c r="L20" t="s">
        <v>125</v>
      </c>
      <c r="M20" s="3"/>
      <c r="N20" s="3"/>
      <c r="O20" s="3"/>
    </row>
    <row r="21" spans="1:15">
      <c r="A21" s="3"/>
      <c r="B21" s="3"/>
    </row>
    <row r="22" spans="1:15">
      <c r="A22" s="3"/>
      <c r="B22" s="3"/>
    </row>
    <row r="23" spans="1:15">
      <c r="H23" s="7" t="s">
        <v>190</v>
      </c>
      <c r="I23" s="7" t="s">
        <v>191</v>
      </c>
    </row>
    <row r="24" spans="1:15">
      <c r="G24" t="s">
        <v>123</v>
      </c>
      <c r="H24">
        <f>J20</f>
        <v>3.6184352162446591E-7</v>
      </c>
      <c r="I24">
        <f>K20</f>
        <v>1.8154605085273885</v>
      </c>
      <c r="J24" s="3"/>
      <c r="K24" s="3"/>
      <c r="L24" s="3"/>
      <c r="M24" s="3"/>
    </row>
    <row r="25" spans="1:15">
      <c r="G25" s="3" t="s">
        <v>121</v>
      </c>
      <c r="H25">
        <f>'EV of Far Future'!L18</f>
        <v>3.4303160870117568E+46</v>
      </c>
      <c r="I25">
        <f>'EV of Far Future'!M18</f>
        <v>4.6329187530560025</v>
      </c>
      <c r="J25" s="3"/>
      <c r="K25" s="3"/>
      <c r="L25" s="3"/>
      <c r="M25" s="3"/>
    </row>
    <row r="26" spans="1:15">
      <c r="G26" s="27" t="s">
        <v>60</v>
      </c>
      <c r="H26" s="25">
        <f>PRODUCT(H24:H25)</f>
        <v>1.241237653209392E+40</v>
      </c>
      <c r="I26" s="25">
        <f>SUM(I24:I25)</f>
        <v>6.4483792615833906</v>
      </c>
      <c r="J26" s="3"/>
      <c r="K26" s="3"/>
      <c r="L26" s="3"/>
      <c r="M26" s="3"/>
    </row>
    <row r="27" spans="1:15">
      <c r="G27" s="3"/>
      <c r="H27" s="3"/>
      <c r="I27" s="3"/>
      <c r="J27" s="3"/>
      <c r="K27" s="3"/>
      <c r="L27" s="3"/>
      <c r="M27" s="3"/>
    </row>
    <row r="28" spans="1:15">
      <c r="G28" s="3"/>
      <c r="H28" s="3"/>
      <c r="I28" s="3"/>
      <c r="J28" s="3"/>
      <c r="K28" s="3"/>
      <c r="L28" s="3"/>
      <c r="M28" s="3"/>
    </row>
    <row r="29" spans="1:15">
      <c r="G29" s="3"/>
      <c r="H29" s="3"/>
      <c r="I29" s="3"/>
      <c r="J29" s="3"/>
      <c r="K29" s="3"/>
      <c r="L29" s="3"/>
      <c r="M29" s="3"/>
    </row>
    <row r="30" spans="1:15">
      <c r="G30" s="3"/>
      <c r="H30" s="3"/>
      <c r="I30" s="3"/>
      <c r="J30" s="3"/>
      <c r="K30" s="3"/>
      <c r="L30" s="3"/>
      <c r="M30" s="3"/>
    </row>
    <row r="31" spans="1:15">
      <c r="G31" s="3"/>
      <c r="H31" s="3"/>
      <c r="I31" s="3"/>
      <c r="J31" s="3"/>
      <c r="K31" s="3"/>
      <c r="L31" s="3"/>
      <c r="M31" s="3"/>
    </row>
    <row r="32" spans="1:15">
      <c r="G32" s="3"/>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2"/>
  <sheetViews>
    <sheetView workbookViewId="0">
      <selection activeCell="J33" sqref="J33"/>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2" max="12" width="12.1640625" bestFit="1" customWidth="1"/>
  </cols>
  <sheetData>
    <row r="1" spans="1:10" ht="20">
      <c r="A1" s="6" t="s">
        <v>139</v>
      </c>
      <c r="H1" s="1" t="s">
        <v>158</v>
      </c>
    </row>
    <row r="2" spans="1:10">
      <c r="B2" t="s">
        <v>0</v>
      </c>
      <c r="C2" t="s">
        <v>1</v>
      </c>
      <c r="D2" t="s">
        <v>2</v>
      </c>
      <c r="E2" t="s">
        <v>34</v>
      </c>
      <c r="I2" t="s">
        <v>2</v>
      </c>
      <c r="J2" t="s">
        <v>34</v>
      </c>
    </row>
    <row r="3" spans="1:10">
      <c r="A3" s="35" t="s">
        <v>142</v>
      </c>
      <c r="B3" s="14">
        <v>0.3</v>
      </c>
      <c r="C3" s="14">
        <v>0.3</v>
      </c>
      <c r="D3">
        <f>GEOMEAN(B3,C3)</f>
        <v>0.3</v>
      </c>
      <c r="E3">
        <f>LogVariance(B3,C3)</f>
        <v>0</v>
      </c>
      <c r="H3" s="3" t="s">
        <v>209</v>
      </c>
      <c r="I3">
        <f>D11</f>
        <v>0.1</v>
      </c>
      <c r="J3">
        <f>E11</f>
        <v>0.23489495370875477</v>
      </c>
    </row>
    <row r="4" spans="1:10">
      <c r="A4" s="35" t="s">
        <v>147</v>
      </c>
      <c r="B4" s="14">
        <v>0.8</v>
      </c>
      <c r="C4" s="14">
        <v>0.8</v>
      </c>
      <c r="D4">
        <f>GEOMEAN(B4,C4)</f>
        <v>0.8</v>
      </c>
      <c r="E4">
        <f>LogVariance(B4,C4)</f>
        <v>0</v>
      </c>
      <c r="H4" t="s">
        <v>159</v>
      </c>
      <c r="I4">
        <f>$D$9*D12</f>
        <v>6.000000000000001E-6</v>
      </c>
      <c r="J4">
        <f>$E$9+E12</f>
        <v>2.1060174845083819</v>
      </c>
    </row>
    <row r="5" spans="1:10">
      <c r="A5" s="3" t="s">
        <v>148</v>
      </c>
      <c r="B5">
        <f>VLOOKUP(A5,'AI Safety'!G3:I8,2,FALSE)</f>
        <v>1E-4</v>
      </c>
      <c r="C5">
        <f>VLOOKUP(A5,'AI Safety'!G3:I8,3,FALSE)</f>
        <v>5.0000000000000001E-3</v>
      </c>
      <c r="D5">
        <f>GEOMEAN(B5,C5)</f>
        <v>7.0710678118654762E-4</v>
      </c>
      <c r="E5">
        <f>LogVariance(B5,C5)</f>
        <v>0.66285666921800146</v>
      </c>
      <c r="H5" t="s">
        <v>160</v>
      </c>
      <c r="I5">
        <f>$D$9*D13</f>
        <v>1.8973665961010282E-5</v>
      </c>
      <c r="J5">
        <f>$E$9+E13</f>
        <v>1.9507603651809473</v>
      </c>
    </row>
    <row r="6" spans="1:10">
      <c r="A6" s="28" t="s">
        <v>145</v>
      </c>
      <c r="B6" s="14">
        <v>0.5</v>
      </c>
      <c r="C6" s="14">
        <v>5</v>
      </c>
      <c r="D6">
        <f>GEOMEAN(B6,C6)</f>
        <v>1.5811388300841898</v>
      </c>
      <c r="E6">
        <f>LogVariance(B6,C6)</f>
        <v>0.39015207303618948</v>
      </c>
      <c r="H6" t="s">
        <v>161</v>
      </c>
      <c r="I6">
        <f>$D$9*D14</f>
        <v>1.4696938456699071E-5</v>
      </c>
      <c r="J6">
        <f>$E$9+E14</f>
        <v>2.0373151147442554</v>
      </c>
    </row>
    <row r="7" spans="1:10">
      <c r="A7" s="28" t="s">
        <v>146</v>
      </c>
      <c r="B7" s="14">
        <v>1000</v>
      </c>
      <c r="C7" s="14">
        <v>100000</v>
      </c>
      <c r="H7" t="s">
        <v>162</v>
      </c>
      <c r="I7">
        <f>$D$9*D15</f>
        <v>1.4696938456699071E-5</v>
      </c>
      <c r="J7">
        <f>$E$9+E15</f>
        <v>2.0373151147442554</v>
      </c>
    </row>
    <row r="8" spans="1:10">
      <c r="A8" t="s">
        <v>150</v>
      </c>
      <c r="B8">
        <f>1000/C7</f>
        <v>0.01</v>
      </c>
      <c r="C8">
        <f>1000/B7</f>
        <v>1</v>
      </c>
      <c r="D8">
        <f>GEOMEAN(B8,C8)</f>
        <v>0.1</v>
      </c>
      <c r="E8">
        <f>LogVariance(B8,C8)</f>
        <v>0.78030414607237897</v>
      </c>
    </row>
    <row r="9" spans="1:10">
      <c r="A9" t="s">
        <v>151</v>
      </c>
      <c r="D9">
        <f>PRODUCT(D3:D6)*D8</f>
        <v>2.6832815729997483E-5</v>
      </c>
      <c r="E9">
        <f>SUM(E3:E6)+E8</f>
        <v>1.8333128883265699</v>
      </c>
      <c r="H9" t="s">
        <v>215</v>
      </c>
      <c r="I9">
        <f>VLOOKUP(H9,'EV of Far Future'!$K$3:$M$13,2,FALSE)</f>
        <v>6.3245553203367595E+46</v>
      </c>
      <c r="J9">
        <f>VLOOKUP(H9,'EV of Far Future'!$K$3:$M$13,3,FALSE)</f>
        <v>4.5113686573257059</v>
      </c>
    </row>
    <row r="10" spans="1:10">
      <c r="H10" t="s">
        <v>216</v>
      </c>
      <c r="I10">
        <f>VLOOKUP(H10,'EV of Far Future'!$K$3:$M$13,2,FALSE)</f>
        <v>1.5811388300841899E+46</v>
      </c>
      <c r="J10">
        <f>VLOOKUP(H10,'EV of Far Future'!$K$3:$M$13,3,FALSE)</f>
        <v>4.5113686573257059</v>
      </c>
    </row>
    <row r="11" spans="1:10">
      <c r="A11" s="28" t="s">
        <v>209</v>
      </c>
      <c r="B11" s="14">
        <v>0.05</v>
      </c>
      <c r="C11" s="14">
        <v>0.2</v>
      </c>
      <c r="D11">
        <f>GEOMEAN(B11,C11)</f>
        <v>0.1</v>
      </c>
      <c r="E11">
        <f>LogVariance(B11,C11)</f>
        <v>0.23489495370875477</v>
      </c>
      <c r="H11" t="s">
        <v>217</v>
      </c>
      <c r="I11">
        <f>VLOOKUP(H11,'EV of Far Future'!$K$3:$M$13,2,FALSE)</f>
        <v>8.9599999999999976E+36</v>
      </c>
      <c r="J11">
        <f>VLOOKUP(H11,'EV of Far Future'!$K$3:$M$13,3,FALSE)</f>
        <v>3.4812165842895157</v>
      </c>
    </row>
    <row r="12" spans="1:10">
      <c r="A12" s="28" t="s">
        <v>144</v>
      </c>
      <c r="B12" s="14">
        <v>0.1</v>
      </c>
      <c r="C12" s="14">
        <v>0.5</v>
      </c>
      <c r="D12">
        <f>GEOMEAN(B12,C12)</f>
        <v>0.22360679774997896</v>
      </c>
      <c r="E12">
        <f>LogVariance(B12,C12)</f>
        <v>0.27270459618181209</v>
      </c>
      <c r="H12" t="s">
        <v>218</v>
      </c>
      <c r="I12">
        <f>VLOOKUP(H12,'EV of Far Future'!$K$3:$M$13,2,FALSE)</f>
        <v>2.8334007835108666E+40</v>
      </c>
      <c r="J12">
        <f>VLOOKUP(H12,'EV of Far Future'!$K$3:$M$13,3,FALSE)</f>
        <v>4.1513686573257056</v>
      </c>
    </row>
    <row r="13" spans="1:10">
      <c r="A13" s="28" t="s">
        <v>152</v>
      </c>
      <c r="B13" s="14">
        <v>0.5</v>
      </c>
      <c r="C13" s="14">
        <v>1</v>
      </c>
      <c r="D13">
        <f>GEOMEAN(B13,C13)</f>
        <v>0.70710678118654757</v>
      </c>
      <c r="E13">
        <f>LogVariance(B13,C13)</f>
        <v>0.11744747685437738</v>
      </c>
      <c r="H13" t="s">
        <v>219</v>
      </c>
      <c r="I13">
        <f>VLOOKUP(H13,'EV of Far Future'!$K$3:$M$13,2,FALSE)</f>
        <v>6.7199999999999966E+38</v>
      </c>
      <c r="J13">
        <f>VLOOKUP(H13,'EV of Far Future'!$K$3:$M$13,3,FALSE)</f>
        <v>5.3218248764342739</v>
      </c>
    </row>
    <row r="14" spans="1:10">
      <c r="A14" s="28" t="s">
        <v>153</v>
      </c>
      <c r="B14" s="14">
        <v>0.3</v>
      </c>
      <c r="C14" s="14">
        <v>1</v>
      </c>
      <c r="D14">
        <f>GEOMEAN(B14,C14)</f>
        <v>0.54772255750516607</v>
      </c>
      <c r="E14">
        <f>LogVariance(B14,C14)</f>
        <v>0.20400222641768539</v>
      </c>
    </row>
    <row r="15" spans="1:10">
      <c r="A15" s="28" t="s">
        <v>143</v>
      </c>
      <c r="B15" s="14">
        <v>0.3</v>
      </c>
      <c r="C15" s="14">
        <v>1</v>
      </c>
      <c r="D15">
        <f>GEOMEAN(B15,C15)</f>
        <v>0.54772255750516607</v>
      </c>
      <c r="E15">
        <f>LogVariance(B15,C15)</f>
        <v>0.20400222641768539</v>
      </c>
      <c r="H15" s="27" t="s">
        <v>214</v>
      </c>
      <c r="I15" s="25">
        <f>I3*I9</f>
        <v>6.3245553203367603E+45</v>
      </c>
      <c r="J15" s="25">
        <f>J3+J9</f>
        <v>4.7462636110344603</v>
      </c>
    </row>
    <row r="16" spans="1:10">
      <c r="C16" s="46"/>
      <c r="H16" s="27" t="s">
        <v>154</v>
      </c>
      <c r="I16" s="25">
        <f t="shared" ref="I16:I19" si="0">I4*I10</f>
        <v>9.4868329805051403E+40</v>
      </c>
      <c r="J16" s="25">
        <f t="shared" ref="J16:J19" si="1">J4+J10</f>
        <v>6.6173861418340874</v>
      </c>
    </row>
    <row r="17" spans="1:12">
      <c r="H17" s="27" t="s">
        <v>155</v>
      </c>
      <c r="I17" s="25">
        <f t="shared" si="0"/>
        <v>1.7000404701065207E+32</v>
      </c>
      <c r="J17" s="25">
        <f t="shared" si="1"/>
        <v>5.4319769494704628</v>
      </c>
      <c r="K17" s="3"/>
      <c r="L17" s="3"/>
    </row>
    <row r="18" spans="1:12">
      <c r="H18" s="27" t="s">
        <v>156</v>
      </c>
      <c r="I18" s="25">
        <f t="shared" si="0"/>
        <v>4.1642316938422136E+35</v>
      </c>
      <c r="J18" s="25">
        <f t="shared" si="1"/>
        <v>6.188683772069961</v>
      </c>
      <c r="K18" s="3"/>
      <c r="L18" s="3"/>
    </row>
    <row r="19" spans="1:12">
      <c r="H19" s="27" t="s">
        <v>157</v>
      </c>
      <c r="I19" s="25">
        <f t="shared" si="0"/>
        <v>9.8763426429017711E+33</v>
      </c>
      <c r="J19" s="25">
        <f t="shared" si="1"/>
        <v>7.3591399911785293</v>
      </c>
      <c r="K19" s="3"/>
      <c r="L19" s="3"/>
    </row>
    <row r="20" spans="1:12" ht="20">
      <c r="A20" s="6" t="s">
        <v>67</v>
      </c>
      <c r="H20" s="48" t="s">
        <v>202</v>
      </c>
      <c r="I20" s="49" t="str">
        <f>WriteArray(SumLognormDists(I15:J19))</f>
        <v>0,0,0,0,0,0,0,0,0,0,0,0,0,0,0,0,0,0,0,0,0,0,0,0,0,0,0,0,0,0,0,0,0,0,0,0,0,0,0,0,0,0,0,0,0,0,0,0,0,0,0,0,0,0,0,0,0,0,0,0,0,0,0,0,0,0,0,0,0,0,0,0,0,0,0,0,0,0,0,0,0,0,0,0,0,0,0,0,0,0,0,0,0,0,0,0,0,0,0,0,0,0,0,0,0,0,0,0,0,0,0,0,0,0,0,0,0,0,0,0,0,0,0,0,0,0,0,0,0,0,0,0,0,0,0,0,0,0,0,0,0,0,0,0,0,0,0,0,0,0,0,0,0,0,0,0,0,0,0,0,0,0,0,0,0,0,0,0,0,0,0,0,0,0,8.49941130540696E-320,2.22846827359757E-318,5.14156528889993E-317,1.18087466465655E-315,2.69066735968166E-314,6.08258420646512E-313,1.36422325843507E-311,3.035652520135E-310,6.70174640828293E-309,1.46788922422832E-307,3.18983317400285E-306,6.87720690752436E-305,1.47104405775622E-303,3.12182658889959E-302,6.57296641792194E-301,1.3730413992137E-299,2.84561059239965E-298,5.85109246812931E-297,1.19362566585521E-295,2.41584501002564E-294,4.85109477837178E-293,9.66451938788828E-292,1.91025178166783E-290,3.74602658090468E-289,7.28821247744497E-288,1.4068285254375E-286,2.69420920765925E-285,5.11907529222237E-284,9.64987772722581E-283,1.8047715532426E-281,3.34882797240033E-280,6.1650081818041E-279,1.12601645050892E-277,2.04045074415882E-276,3.66840976351685E-275,6.54334703267104E-274,1.15795717897822E-272,2.03308492862899E-271,3.541514811819E-270,6.12058831692356E-269,1.04946482114843E-267,1.78530843470387E-266,3.013209508735E-265,5.04563869574187E-264,8.38250384791003E-263,1.38166327612322E-261,2.2594438587815E-260,3.66582585446919E-259,5.90082979414528E-258,9.4237851651288E-257,1.49316824658639E-255,2.34727105534413E-254,3.6609088804448E-253,5.66481620550677E-252,8.69669034090639E-251,1.32462674276759E-249,2.00172499089257E-248,3.00114331988358E-247,4.46416814454592E-246,6.58818656204855E-245,9.64634572305514E-244,1.4013008952069E-242,2.0196293450234E-241,2.88791027368334E-240,4.09701472047285E-239,5.76664495623992E-238,8.05287241380177E-237,1.11570761045773E-235,1.53363496487258E-234,2.0915376798513E-233,2.8299680212322E-232,3.7990023704222E-231,5.05975934493103E-230,6.68594003333916E-229,8.7653138665204E-228,1.14010514543171E-226,1.47127833324551E-225,1.88372427386323E-224,2.39283334381216E-223,3.01564527529887E-222,3.77068980133356E-221,4.67771943287931E-220,5.75732052809965E-219,7.03039276839532E-218,8.51749278542074E-217,1.02380449547303E-215,1.22094311018626E-214,1.44459807042434E-213,1.69578935935991E-212,1.97501374849966E-211,2.28213720680541E-210,2.61629590035665E-209,2.97581220758998E-208,3.35813231318805E-207,3.75979166256746E-206,4.17641381695827E-205,4.60274703695368E-204,5.03274126856149E-203,5.45966617877903E-202,5.87626859496298E-201,6.27496528480997E-200,6.64806463709183E-199,6.98800864491931E-198,7.28762482799285E-197,7.54037651429952E-196,7.74059935763681E-195,7.8837121712265E-194,7.96639112975214E-193,7.98669809248944E-192,7.94415612986416E-191,7.83976814365392E-190,7.67597756571517E-189,7.45657328575556E-188,7.18654397340676E-187,6.8718896147325E-186,6.51940019992537E-185,6.13641294406803E-184,5.73056011850319E-183,5.30951949867502E-182,4.88077863653424E-181,4.45142273591761E-180,4.02795398409513E-179,3.61614793657976E-178,3.22095014271697E-177,2.84641381110955E-176,2.49567710433217E-175,2.1709767512172E-174,1.87369316589183E-173,1.6044212196342E-172,1.36306023880323E-171,1.14891667784966E-170,9.60813189235121E-170,7.97198408762128E-169,6.56252609263212E-168,5.35985357537835E-167,4.34322352144297E-166,3.49179646226528E-165,2.78524407234107E-164,2.2042218804466E-163,1.73071352704114E-162,1.34825802105115E-161,1.04207481885137E-160,7.99103393098476E-160,6.07974485314091E-159,4.58929697017174E-158,3.43704740719895E-157,2.55389808463391E-156,1.88278360963253E-155,1.37713396943438E-154,9.99380886921776E-154,7.19556807057693E-153,5.14018162620138E-152,3.64310183786362E-151,2.56179139830411E-150,1.78729384002758E-149,1.23716617787928E-148,8.4965016413884E-148,5.78938489953531E-147,3.91385759441261E-146,2.62517391986298E-145,1.74699538460654E-144,1.15346972832709E-143,7.55616731983618E-143,4.91109129748234E-142,3.16690972823405E-141,2.02616474852953E-140,1.28616113798373E-139,8.10023711302864E-139,5.06153178258198E-138,3.13796619546974E-137,1.93017541810785E-136,1.1779522886739E-135,7.13249040840136E-135,4.28486798800771E-134,2.55397493601452E-133,1.51035463602918E-132,8.86185292609802E-132,5.15885871771684E-131,2.97965795204997E-130,1.70750925272686E-129,9.7083134650369E-129,5.47657179827322E-128,3.06519601999993E-127,1.70212871006878E-126,9.37802585247366E-126,5.12643611019941E-125,2.78038528601497E-124,1.49616654461397E-123,7.98804757426372E-123,4.23143150068951E-122,2.22392523163923E-121,1.1596834910572E-120,5.99991953023561E-120,3.07991174639591E-119,1.5686218288344E-118,7.92657578755968E-118,3.97411660840855E-117,1.97689441692983E-116,9.75695896419001E-116,4.77786501744962E-115,2.32135697705613E-114,1.11902273814498E-113,5.3521107088442E-113,2.53980712977014E-112,1.1958209038837E-111,5.58626561912101E-111,2.58921044555162E-110,1.19070380206082E-109,5.43289173571809E-109,2.45951561967278E-108,1.1047389133308E-107,4.92335968397516E-107,2.17698603562319E-106,9.55085409765419E-106,4.15739794252505E-105,1.79553608084323E-104,7.69414153037969E-104,3.27129752828439E-103,1.37998419756166E-102,5.77594078488438E-102,2.39864659983423E-101,9.88337075756265E-101,4.04054149866341E-100,1.63896659748761e-99,6.59624945053513e-99,2.63403095145669e-98,1.04361885160545e-97,4.10261352225976e-97,1.600211427961e-96,6.19287940676656e-96,2.37797238854757e-95,9.05983655281853e-95,3.42478835649865e-94,1.28453928987798e-93,4.7803730743941e-93,1.76513290372755e-92,6.46687898006199e-92,2.3507922680252e-91,8.47884063534428e-91,3.03432365045667e-90,1.07743496146604e-89,3.79598500981319e-89,1.32697493166317e-88,4.60263255588524e-88,1.58400231095944e-87,5.40893558592914e-87,1.83263039741072e-86,6.16092094375858e-86,2.05506076648712e-85,6.80162372267693e-85,2.23362401950923e-84,7.27809499724086e-84,2.35307736782403e-83,7.54859636136204e-83,2.40274894451718e-82,7.58863180063339e-82,2.37811129746213e-81,7.39460887575144e-81,2.28146242369412e-80,6.9843705583662e-80,2.12157232408264e-79,6.39448859853436e-79,1.91237038493201e-78,5.67488733884725e-78,1.6709458065067e-77,4.88189274306599e-77,1.41525836829119e-76,4.07104364714829e-76,1.16198155678268e-75,3.29091829918372e-75,9.24826609271567e-75,2.57887247249465e-74,7.13553850554423e-74,1.95907926145987e-73,5.3371164269295e-73,1.44275250719632e-72,3.86997883015433e-72,1.03004940756825e-71,2.72045402484712e-71,7.12951143134373e-71,1.85401993246105e-70,4.7841689986906e-70,1.22500362499377e-69,3.11249223339441e-69,7.84730521873141e-69,1.96324967932203e-68,4.87387781193777e-68,1.20065787594962e-67,2.93501891049245e-67,7.11952501764287e-67,1.7137250900607e-66,4.0933876697275e-66,9.70236915552911e-66,2.28206261788841e-65,5.32640094201357e-65,1.23366834570166e-64,2.83545680376686e-64,6.46709916727427e-64,1.46372586594425e-63,3.28757474677284e-63,7.32755615212951e-63,1.62073617959751e-62,3.55743706573485e-62,7.74882729080652e-62,1.67498445117447e-61,3.59305501127501e-61,7.64887469987023e-61,1.61589890937203e-60,3.38778797629725e-60,7.04865328323928e-60,1.45541395098524e-59,2.982359652089e-59,6.06497904028519e-59,1.2240444449714e-58,2.45169549065746e-58,4.87349216133909e-58,9.61438359772465e-58,1.88240541439374e-57,3.65778880663319e-57,7.05409215288168e-57,1.35015633385952e-56,2.56478461404049e-56,4.83554289098092e-56,9.04837869730606e-56,1.68047201209832e-55,3.09763821866208e-55,5.66725849971118e-55,1.02911145172433e-54,1.85482577920173e-54,3.3181770071203e-54,5.8919114399104e-54,1.03843127809997e-53,1.81664051166748e-53,3.15453136607415e-53,5.43726389644374e-53,9.30274076575415e-53,1.57990788689754e-52,2.66347432921468e-52,4.4572489407729e-52,7.40444978445407e-52,1.22104676954895e-51,1.99890278634828e-51,3.24845883449158e-51,5.24078121215965e-51,8.39372058874797e-51,1.33462685863384e-50,2.10678082313103e-50,3.30172186922961e-50,5.13725313623557e-50,7.93594673156595e-50,1.21717215404478e-49,1.85352817286054e-49,2.80252166896398e-49,4.20736621534111e-49,6.27180300799454e-49,9.28335037321436e-49,1.36444826685534e-48,1.99140434611512e-48,2.88617199888894e-48,4.15389949488327e-48,5.93706381706462e-48,8.4271487153038e-48,1.1879396413569e-47,1.66312448802146e-47,2.31251216863351e-47,3.19363098235853e-47,4.38066222355451e-47,5.96846106970181e-47,8.07729804307669e-47,1.08583773211929e-46,1.45001707396497e-46,1.92355812868974e-46,2.5349916374002e-46,3.31896086186105e-46,4.31715701887915e-46,5.57930063499107e-46,7.16414458700976e-46,9.14046722723786e-46,1.15880163322492e-45,1.4598357021364e-45,1.82755697059074e-45,2.27367380615699e-45,2.81121625199574e-45,3.45452324277843e-45,4.2191890384171e-45,5.12196258437124e-45,6.18059422720513e-45,7.41362532253601e-45,8.84011777755951e-45,1.04793224582142e-44,1.23502876238651e-44,1.44714110671123e-44,1.6859942345367e-44,1.95314442843788e-44,2.24992256840544e-44,2.57737597234922e-44,2.9362104799894e-44,3.32673463027255e-44,3.74880789898339e-44,4.20179500863121e-44,4.68452828882837e-44,5.19527994761745e-44,5.73174591191502e-44,6.29104261206937e-44,6.86971772940689e-44,7.4637755085461e-44,8.06871677371828e-44,8.67959329870985e-44,9.29107568361839e-44,9.89753340956863e-44,1.04931252958354e-43,1.1071898192128e-43,1.16278914194389e-43,1.21552442399457e-43,1.26483035001605e-43,1.31017285575767e-43,1.35105906705782e-43,1.3870464200786e-43,1.41775072384172e-43,1.44285296028104e-43,1.46210465770324e-43,1.47533171900375e-43,1.48243663433385e-43,1.48339905721894e-43,1.47827477148746e-43,1.46719312201127e-43,1.45035302360807e-43,1.42801769819995e-43,1.40050831944995e-43,1.36819676592854e-43,1.33149769805127e-43,1.29086018056031e-43,1.24675907148498e-43,1.19968639086521e-43,1.15014286883341e-43,1.09862985387203e-43,1.04564173925513e-43,9.91659039961767e-44,9.37142224842598e-44,8.82526380611636e-44,8.28216756326877e-44,7.74585210304399e-44,7.2196755663373e-44,6.7066178622764e-44,6.20927118089796e-44,5.72983820504452e-44,5.2701372928082e-44,4.83161381022337e-44,4.41535673521208e-44,4.02211962586158e-44,3.65234504604025e-44,3.30619156565511e-44,2.98356249768559e-44,2.68413559549686e-44,2.40739300784959e-44,2.15265087163485e-44,1.91908801009248e-44,1.70577329388298e-44,1.51169131105624e-44,1.33576607731364e-44,1.17688259807389e-44,1.03390616725563e-44,9.05699353341386e-45,7.91136680542441e-45,6.89117061450627e-45,5.98574077456908e-45,5.18484234705675e-45,4.47873346914644e-45,3.85821212652163e-45,3.31464764367619e-45,2.83999870424069e-45,2.42681970424822e-45,2.06825719096237e-45,1.75803805700527e-45,1.49045105171025e-45,1.26032304592509e-45,1.06299134922702e-45,8.94273235209506e-46,7.50433685879433e-46,6.28152224169398e-46,5.24489567248992e-46,4.36854705109593e-46,3.6297289052857e-46,3.00854919128189e-46,2.48767982452588e-46,2.05208292978443e-46,1.68875607578942e-46,1.38649714720989e-46,1.13568899922545e-46,9.28103629090867e-47,7.56725275660516e-47,6.15591612181574e-47,4.99652019946059e-47,4.04641810991267e-47,3.26971197764656e-47,2.6362777794658e-47,2.1209130560775e-47,1.70259548529449e-47,1.36384079630015e-47,1.09014912652074e-47,8.69529640085384e-48,6.92094001577394e-48,5.49710099745872e-48,4.35708218309129e-48,3.44632635778062e-48,2.72032389038121e-48,2.14285646066408e-48,1.68452794895587e-48,1.32153964872901e-48,1.03467250777537e-48,8.08444106044294e-49,6.30412552925565e-49,4.90603458420832e-49,3.81039632671121e-49,2.95356232266532e-49,2.28486737384797e-49,1.76407449398806e-49,1.359301818557e-49,1.04534514870884e-49,8.02324281155762e-50,6.14593523414546e-50,4.69867127209344e-50,3.58519053524576e-50,2.73023745012365e-50,2.07510632768696e-50,1.57410127433847e-50,1.1917299842496e-50,9.00484678936193e-51,6.79091565484e-51,5.11133184838427e-51,3.83966781499124e-51,2.87877078300327e-51,2.15414201648034e-51,1.6087749076146e-51,1.19913970650642e-51,8.92067312827989e-52,6.62336312968294e-52,4.90808781948866e-52,3.62993288808422e-52,2.67939688956582e-52,1.97390995190577e-52,1.451339773688e-52,1.06503028791067e-52,7.80019648512018e-53,5.701635726193e-53,4.15952126853884e-53,3.02856436559939e-53,2.2007943681098e-53,1.59613988859972e-53,1.15534289563641e-53,8.34639531483889e-54,6.01775858192186e-54,4.33030006771776e-54,3.10991355140416e-54,2.22907879619675e-54,1.59458986739512e-54,1.1384625875897e-54,8.1121212009021e-55,5.76893618232256e-55,4.09451455772777e-55,2.90037558992898e-55,2.05045842413583e-55,1.44674629144334e-55,1.01877495807789e-55,7.15992410699822e-56,5.02206884252318e-56,3.51561096649762e-56,2.4561941677845e-56,1.71264817914101e-56,1.19183749178743e-56,8.27769098976454e-57,5.73778832911472e-57,3.96938161430646e-57,2.74059008582462e-57,1.8884613235839e-57,1.29871777253706e-57,8.91382386396761e-58,6.10598583980763e-58,4.1743602628825e-58,2.84817301778423e-58,1.93947878604661e-58,1.31809238143827e-58,8.9402311027536e-59,6.05192661772701e-59,4.08865541863851e-59,2.75682538072535e-59,1.85515345767733e-59,1.24592586903287e-59,8.3511502568247e-60,5.58652925078781e-60,3.72974806158709e-60,2.48518380995657e-60,1.65264317384434e-60,1.09683473466876e-60,7.26515332756697e-61,4.80274831611304e-61,3.16866478024373e-61,2.08643164020414e-61,1.37111345027368e-61,8.99257283966716e-62,5.88621139580236e-62,3.84528949178334e-62,2.50705291693874e-62,1.63132020099524e-62,1.05939071561664e-62,6.86616646297114e-63,4.44133666362133e-63,2.8671753046995e-63,1.84729379410893e-63,1.18784248203581e-63,7.62294666869918e-64,4.88234027219824e-64,3.12086031650238e-64,1.99095632186804e-64,1.2676233776923e-64,8.05489429285806e-65,5.108231158664e-65,3.2331237127193e-65,2.0422795229976e-65,1.28750557178595e-65,8.10072933402794e-66,5.0867476440858e-66,3.18784596041114e-66,1.99386396701411e-66,1.24461428941107e-66,7.75380903701976e-67,4.82099275889662e-67,2.99156827161677e-67,1.85268856170704e-67,1.14510941813632e-67,7.06370608715523e-68,4.34869876730279e-68,2.6719424847559e-68,1.63846046231781e-68,1.00273439581627e-68,6.12458901976041e-69,3.73343926154603e-69,2.27134098244993e-69,1.37910299198321e-69,8.35703441922854e-70,5.0541580439506e-70,3.05060933097682e-70,1.83766156295464e-70,1.10480503172977e-70,6.62898359960406e-71,3.96962470891397e-71,2.37242874315517e-71,1.41507071398781e-71,8.42372861569438e-72,5.00462877958669e-72,2.96743128468029e-72,1.75602540927955e-72,1.03710390073363e-72,6.11301009355805e-73,3.59608011706066e-73,2.11127611646266e-73,1.23709249452938e-73,7.23437144178748e-74,4.22222102503673e-74,2.45936331721684e-74,1.42970364275678e-74,8.29489712078202e-75,4.80305628549013e-75,2.77565884983559e-75,1.60087081172518e-75,9.21485120940327e-76,5.29373583197124e-76,3.03513603050758e-76,1.73674507115521e-76,9.91827341667419e-77,5.65299023160852e-77,3.21560448944385e-77,1.82553149533795e-77,1.03432835611708e-77,5.84884374443764e-78,3.30083784311018e-78,1.85917831150887e-78,1.04510684205539e-78,5.86331523078334e-79,3.28298444431088e-79,1.83458383930249e-79,1.02317423946311e-79,5.69514876374275e-80,3.16376447965304e-80,1.75407024768723e-80,9.70585409710606e-81,5.35999843548799e-81,2.95420001362299e-81,1.62502359303982e-81,8.92121929994452e-82,4.88802898165216e-82,2.67293624783914e-82,1.45877723220084e-82,7.94575545838522e-83,4.31944124310358e-83,2.34350799861705e-83,1.26897235937451e-83,6.85780483613596e-84,3.69884155250125e-84,1.99110617951325e-84,1.06972382418977e-84,5.73585249347095e-85,3.06954409084442e-85,1.63945669335507e-85,8.73930327192697e-86,4.64948788826136e-86,2.46879817581079e-86,1.30833503387263e-86,6.91999982955153e-87,3.65298424921272e-87,1.92462026923222e-87,1.01204274535695e-87,5.31141555785101e-88,2.78214967237747e-88,1.45448995923397e-88,7.58931066659153e-89,3.95236220626702e-89,2.05435499874065e-89,1.06576206587692e-89,5.51839545238672e-90,2.85190528093298e-90,1.47105584452926e-90,7.57351047236789e-91,3.89172103608061e-91,1.99602120261549e-91,1.02181046831615e-91,5.22107916709457e-92,2.66279759112796e-92,1.35552470547349e-92,6.8876623392648e-93,3.49329608240749e-93,1.76848914923434e-93,8.93670664644276e-94,4.50781106807512e-94,2.26972055845079e-94,1.1407838128315e-94,5.72354116320852e-95,2.8665760695252e-95,1.43319911740515e-95,7.15322245279208e-96,3.56416152960291e-96,1.77289246478712e-96,8.80412800981913e-97,4.36495227814739e-97,2.16059236665093e-97,1.06777099883992e-97,5.26875402941659e-98,2.59582657458387e-98,1.27701410317116e-98,6.27311484169923e-99,3.07719157025739e-99,1.50739409668872e-99,7.37425799069058E-100,3.60286842353675E-100,1.75807509218761E-100,8.56854044216348E-101,4.17137500814103E-101,2.02851479442033E-101,9.85435781076603E-102,4.78250370620227E-102,2.31891972295478E-102,1.12343242207889E-102,5.43835083125987E-103,2.63072435803208E-103,1.27174681605724E-103,6.14430586887739E-104,2.96702816885569E-104,1.43211189004304E-104,6.9098425661674E-105,3.33291495552923E-105,1.60721271927475E-105,7.74894637854357E-106,3.73557882865801E-106,1.80070800211401E-106,8.6800281801379E-107,4.18419205305743E-107,2.01712372139384E-107,9.72521369307294E-108,4.68947190783995E-108,2.26160351802779E-108,1.09089593264375E-108,5.26293494306754E-109,2.53951592668179E-109,1.22560219674712E-109,5.91586422851537E-110,2.85593638020694E-110,1.37888937834603E-110,6.65805391125183E-111,3.21503958060385E-111,1.55248926821291E-111,7.49643061056249E-112,3.61945312358788E-112,1.74731640367282E-112,8.4336780573859E-113,4.06963401536756E-113,1.9631890330583E-113,9.46700598643486E-114,4.56333429952569E-114,2.19860159542613E-114,1.05872040884943E-114,5.09521950602444E-115,2.45057715176186E-115,1.17781060473134E-115,5.65669396433956E-116,2.71462266675958E-116,1.3016558362146E-116,6.23597094392994E-117,2.98480172461186E-117,1.42729465127667E-117,6.81840458931391E-118,3.25392895785914E-118,1.55122811305305E-118,7.38707675893184E-119,3.51387919426425E-119,1.66957941730744E-119,7.92360755433452E-120,3.75599322366863E-120,1.77829450267206E-120,8.40913603366679E-121,3.97155230190876E-121,1.87336941932038E-121,8.82539968244174E-122,4.15228608012313E-122,1.95108722916998E-122,9.15582961470985E-123,4.29087439673432E-123,2.0082457902782E-123,</v>
      </c>
      <c r="J20" s="49" t="s">
        <v>181</v>
      </c>
      <c r="K20" s="3"/>
      <c r="L20" s="3"/>
    </row>
    <row r="21" spans="1:12">
      <c r="A21" s="29" t="s">
        <v>204</v>
      </c>
      <c r="B21" s="45">
        <f>ParetoPosterior(median,alpha,I22:J22)</f>
        <v>6.7574228412184617E+34</v>
      </c>
      <c r="H21" s="3" t="s">
        <v>185</v>
      </c>
      <c r="I21" s="3">
        <f>STupidExcelMean(I20)</f>
        <v>1.8655161022194347E+51</v>
      </c>
      <c r="J21" s="3">
        <f>STupidExcelVariance(I20,I21)</f>
        <v>3.1788981117796944E+113</v>
      </c>
      <c r="K21" s="3"/>
      <c r="L21" s="3"/>
    </row>
    <row r="22" spans="1:12">
      <c r="A22" s="29" t="s">
        <v>206</v>
      </c>
      <c r="B22" s="45">
        <f>LognormPosterior(mu_far_future,sigma_far_future,I22:J22)</f>
        <v>4025.9078377376763</v>
      </c>
      <c r="H22" s="27" t="s">
        <v>197</v>
      </c>
      <c r="I22" s="25">
        <f>EXP(BucketMu(ABS(I21),J21))</f>
        <v>6.1724801196299733E+45</v>
      </c>
      <c r="J22" s="25">
        <f>(BucketSigma(I21,J21) / LN(10))^2</f>
        <v>4.760162235790788</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Globals</vt:lpstr>
      <vt:lpstr>EV of Far Future</vt:lpstr>
      <vt:lpstr>GiveDirectly</vt:lpstr>
      <vt:lpstr>THL</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2016-04-08T00:12:35Z</dcterms:modified>
</cp:coreProperties>
</file>