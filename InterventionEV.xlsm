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30400" windowHeight="28260" tabRatio="500" activeTab="4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nable_calculations">Globals!$N$2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6" l="1"/>
  <c r="L11" i="3"/>
  <c r="P30" i="2"/>
  <c r="H3" i="3"/>
  <c r="P31" i="2"/>
  <c r="H4" i="3"/>
  <c r="P33" i="2"/>
  <c r="H14" i="3"/>
  <c r="H16" i="3"/>
  <c r="M4" i="3"/>
  <c r="N5" i="1"/>
  <c r="E4" i="1"/>
  <c r="E5" i="1"/>
  <c r="E6" i="1"/>
  <c r="E7" i="1"/>
  <c r="E8" i="1"/>
  <c r="N7" i="1"/>
  <c r="N8" i="1"/>
  <c r="C14" i="1"/>
  <c r="G3" i="3"/>
  <c r="G4" i="3"/>
  <c r="G14" i="3"/>
  <c r="G16" i="3"/>
  <c r="L4" i="3"/>
  <c r="M5" i="1"/>
  <c r="M8" i="1"/>
  <c r="B14" i="1"/>
  <c r="P34" i="2"/>
  <c r="H20" i="3"/>
  <c r="H22" i="3"/>
  <c r="M5" i="3"/>
  <c r="I17" i="1"/>
  <c r="I19" i="1"/>
  <c r="I20" i="1"/>
  <c r="C15" i="1"/>
  <c r="G20" i="3"/>
  <c r="G22" i="3"/>
  <c r="L5" i="3"/>
  <c r="H17" i="1"/>
  <c r="H20" i="1"/>
  <c r="B15" i="1"/>
  <c r="G26" i="3"/>
  <c r="G28" i="3"/>
  <c r="L6" i="3"/>
  <c r="H27" i="1"/>
  <c r="H30" i="1"/>
  <c r="B16" i="1"/>
  <c r="P35" i="2"/>
  <c r="H26" i="3"/>
  <c r="H28" i="3"/>
  <c r="M6" i="3"/>
  <c r="I27" i="1"/>
  <c r="I29" i="1"/>
  <c r="I30" i="1"/>
  <c r="C16" i="1"/>
  <c r="G32" i="3"/>
  <c r="G33" i="3"/>
  <c r="G35" i="3"/>
  <c r="L7" i="3"/>
  <c r="H37" i="1"/>
  <c r="H40" i="1"/>
  <c r="B17" i="1"/>
  <c r="H32" i="3"/>
  <c r="P36" i="2"/>
  <c r="H33" i="3"/>
  <c r="H35" i="3"/>
  <c r="M7" i="3"/>
  <c r="I37" i="1"/>
  <c r="I39" i="1"/>
  <c r="I40" i="1"/>
  <c r="C17" i="1"/>
  <c r="B23" i="1"/>
  <c r="B24" i="1"/>
  <c r="B25" i="1"/>
  <c r="B26" i="1"/>
  <c r="I3" i="1"/>
  <c r="I5" i="1"/>
  <c r="H6" i="1"/>
  <c r="H7" i="1"/>
  <c r="M10" i="1"/>
  <c r="H12" i="5"/>
  <c r="H10" i="5"/>
  <c r="H11" i="5"/>
  <c r="H13" i="5"/>
  <c r="G12" i="5"/>
  <c r="G10" i="5"/>
  <c r="G11" i="5"/>
  <c r="G13" i="5"/>
  <c r="I61" i="1"/>
  <c r="I60" i="1"/>
  <c r="I59" i="1"/>
  <c r="I58" i="1"/>
  <c r="F61" i="1"/>
  <c r="F60" i="1"/>
  <c r="F59" i="1"/>
  <c r="F58" i="1"/>
  <c r="H52" i="1"/>
  <c r="O54" i="1"/>
  <c r="O53" i="1"/>
  <c r="H25" i="1"/>
  <c r="H35" i="1"/>
  <c r="M17" i="1"/>
  <c r="M20" i="1"/>
  <c r="M37" i="1"/>
  <c r="M35" i="1"/>
  <c r="M40" i="1"/>
  <c r="M27" i="1"/>
  <c r="M25" i="1"/>
  <c r="M30" i="1"/>
  <c r="M29" i="1"/>
  <c r="N29" i="1"/>
  <c r="K5" i="7"/>
  <c r="K6" i="7"/>
  <c r="K7" i="7"/>
  <c r="K4" i="7"/>
  <c r="I7" i="7"/>
  <c r="I5" i="7"/>
  <c r="J5" i="7"/>
  <c r="I6" i="7"/>
  <c r="H6" i="7"/>
  <c r="J6" i="7"/>
  <c r="J7" i="7"/>
  <c r="I4" i="7"/>
  <c r="H4" i="7"/>
  <c r="J4" i="7"/>
  <c r="K52" i="1"/>
  <c r="O52" i="1"/>
  <c r="G3" i="2"/>
  <c r="G15" i="3"/>
  <c r="P4" i="3"/>
  <c r="M3" i="1"/>
  <c r="M6" i="1"/>
  <c r="D8" i="1"/>
  <c r="M7" i="1"/>
  <c r="H15" i="3"/>
  <c r="I4" i="1"/>
  <c r="G5" i="5"/>
  <c r="M9" i="1"/>
  <c r="L30" i="2"/>
  <c r="C3" i="3"/>
  <c r="L31" i="2"/>
  <c r="C4" i="3"/>
  <c r="L32" i="2"/>
  <c r="C5" i="3"/>
  <c r="L33" i="2"/>
  <c r="C6" i="3"/>
  <c r="C10" i="3"/>
  <c r="C11" i="3"/>
  <c r="M8" i="3"/>
  <c r="C15" i="3"/>
  <c r="C16" i="3"/>
  <c r="M9" i="3"/>
  <c r="C20" i="3"/>
  <c r="C21" i="3"/>
  <c r="M10" i="3"/>
  <c r="P32" i="2"/>
  <c r="H8" i="3"/>
  <c r="H9" i="3"/>
  <c r="H10" i="3"/>
  <c r="M3" i="3"/>
  <c r="H21" i="3"/>
  <c r="H27" i="3"/>
  <c r="H34" i="3"/>
  <c r="O3" i="6"/>
  <c r="K3" i="6"/>
  <c r="K5" i="6"/>
  <c r="K6" i="6"/>
  <c r="K7" i="6"/>
  <c r="E4" i="6"/>
  <c r="K8" i="6"/>
  <c r="K14" i="6"/>
  <c r="K15" i="6"/>
  <c r="K16" i="6"/>
  <c r="K20" i="6"/>
  <c r="O4" i="6"/>
  <c r="G8" i="3"/>
  <c r="G9" i="3"/>
  <c r="G10" i="3"/>
  <c r="L3" i="3"/>
  <c r="G21" i="3"/>
  <c r="G27" i="3"/>
  <c r="G34" i="3"/>
  <c r="B3" i="3"/>
  <c r="B4" i="3"/>
  <c r="B5" i="3"/>
  <c r="B6" i="3"/>
  <c r="B10" i="3"/>
  <c r="B11" i="3"/>
  <c r="L8" i="3"/>
  <c r="B15" i="3"/>
  <c r="B16" i="3"/>
  <c r="L9" i="3"/>
  <c r="B20" i="3"/>
  <c r="B21" i="3"/>
  <c r="L10" i="3"/>
  <c r="P3" i="3"/>
  <c r="P5" i="3"/>
  <c r="P6" i="3"/>
  <c r="P7" i="3"/>
  <c r="P8" i="3"/>
  <c r="P9" i="3"/>
  <c r="P10" i="3"/>
  <c r="N4" i="6"/>
  <c r="J3" i="2"/>
  <c r="B12" i="6"/>
  <c r="C8" i="7"/>
  <c r="B15" i="5"/>
  <c r="D21" i="2"/>
  <c r="N30" i="2"/>
  <c r="N31" i="2"/>
  <c r="N32" i="2"/>
  <c r="D20" i="2"/>
  <c r="O30" i="2"/>
  <c r="O32" i="2"/>
  <c r="O31" i="2"/>
  <c r="D18" i="2"/>
  <c r="D17" i="2"/>
  <c r="J30" i="2"/>
  <c r="J31" i="2"/>
  <c r="J32" i="2"/>
  <c r="J33" i="2"/>
  <c r="B24" i="2"/>
  <c r="D24" i="2"/>
  <c r="K32" i="2"/>
  <c r="K31" i="2"/>
  <c r="K30" i="2"/>
  <c r="K33" i="2"/>
  <c r="D23" i="2"/>
  <c r="C22" i="2"/>
  <c r="D22" i="2"/>
  <c r="H3" i="2"/>
  <c r="I3" i="2"/>
  <c r="N33" i="2"/>
  <c r="O33" i="2"/>
  <c r="H4" i="1"/>
  <c r="H5" i="1"/>
  <c r="I12" i="11"/>
  <c r="G4" i="5"/>
  <c r="N34" i="2"/>
  <c r="N35" i="2"/>
  <c r="N36" i="2"/>
  <c r="O35" i="2"/>
  <c r="O36" i="2"/>
  <c r="H38" i="1"/>
  <c r="H39" i="1"/>
  <c r="H28" i="1"/>
  <c r="H29" i="1"/>
  <c r="O34" i="2"/>
  <c r="H15" i="1"/>
  <c r="H18" i="1"/>
  <c r="H19" i="1"/>
  <c r="B13" i="1"/>
  <c r="M38" i="1"/>
  <c r="D4" i="1"/>
  <c r="B5" i="1"/>
  <c r="C5" i="1"/>
  <c r="D5" i="1"/>
  <c r="D6" i="1"/>
  <c r="D7" i="1"/>
  <c r="M39" i="1"/>
  <c r="N37" i="1"/>
  <c r="N39" i="1"/>
  <c r="N40" i="1"/>
  <c r="N17" i="1"/>
  <c r="N19" i="1"/>
  <c r="N20" i="1"/>
  <c r="M15" i="1"/>
  <c r="M18" i="1"/>
  <c r="M19" i="1"/>
  <c r="H3" i="1"/>
  <c r="C13" i="1"/>
  <c r="M28" i="1"/>
  <c r="N27" i="1"/>
  <c r="N30" i="1"/>
  <c r="G24" i="5"/>
  <c r="G22" i="5"/>
  <c r="B7" i="5"/>
  <c r="C7" i="5"/>
  <c r="G23" i="5"/>
  <c r="G21" i="5"/>
  <c r="G25" i="5"/>
  <c r="H21" i="5"/>
  <c r="H22" i="5"/>
  <c r="H23" i="5"/>
  <c r="J15" i="6"/>
  <c r="J14" i="6"/>
  <c r="J13" i="6"/>
  <c r="D4" i="6"/>
  <c r="J7" i="6"/>
  <c r="J6" i="6"/>
  <c r="J5" i="6"/>
  <c r="J3" i="6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J8" i="6"/>
  <c r="J16" i="6"/>
  <c r="J20" i="6"/>
  <c r="C23" i="7"/>
  <c r="B23" i="7"/>
  <c r="C22" i="7"/>
  <c r="B14" i="5"/>
  <c r="B22" i="7"/>
  <c r="I5" i="6"/>
  <c r="H5" i="6"/>
  <c r="C4" i="6"/>
  <c r="B4" i="6"/>
  <c r="I15" i="6"/>
  <c r="H15" i="6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D19" i="2"/>
  <c r="K13" i="6"/>
  <c r="B19" i="5"/>
  <c r="B14" i="7"/>
  <c r="B20" i="5"/>
  <c r="C14" i="7"/>
  <c r="D14" i="7"/>
  <c r="D15" i="7"/>
  <c r="C16" i="7"/>
  <c r="D16" i="7"/>
  <c r="B16" i="7"/>
  <c r="B11" i="6"/>
  <c r="B8" i="7"/>
  <c r="D8" i="7"/>
  <c r="H24" i="5"/>
  <c r="H25" i="5"/>
</calcChain>
</file>

<file path=xl/sharedStrings.xml><?xml version="1.0" encoding="utf-8"?>
<sst xmlns="http://schemas.openxmlformats.org/spreadsheetml/2006/main" count="467" uniqueCount="244">
  <si>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</si>
  <si>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</si>
  <si>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</si>
  <si>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</si>
  <si>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</si>
  <si>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</si>
  <si>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</si>
  <si>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</si>
  <si>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</si>
  <si>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</si>
  <si>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</si>
  <si>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</si>
  <si>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</si>
  <si>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</si>
  <si>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</si>
  <si>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</si>
  <si>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</si>
  <si>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</si>
  <si>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</si>
  <si>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</si>
  <si>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</si>
  <si>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</si>
  <si>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</si>
  <si>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</si>
  <si>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</si>
  <si>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</si>
  <si>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</si>
  <si>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</si>
  <si>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</si>
  <si>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</si>
  <si>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</si>
  <si>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</si>
  <si>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</si>
  <si>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</si>
  <si>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</si>
  <si>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</si>
  <si>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</si>
  <si>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</si>
  <si>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</si>
  <si>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</si>
  <si>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</si>
  <si>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</si>
  <si>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</si>
  <si>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</si>
  <si>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</si>
  <si>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</si>
  <si>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</si>
  <si>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</si>
  <si>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</si>
  <si>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</si>
  <si>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</si>
  <si>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</si>
  <si>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</si>
  <si>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</si>
  <si>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</si>
  <si>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</si>
  <si>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</si>
  <si>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</si>
  <si>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</si>
  <si>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</si>
  <si>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</si>
  <si>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</si>
  <si>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</si>
  <si>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</si>
  <si>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</si>
  <si>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</si>
  <si>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</si>
  <si>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</si>
  <si>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Utility estimate</t>
  </si>
  <si>
    <t>Sign</t>
  </si>
  <si>
    <t>Probability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</si>
  <si>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</si>
  <si>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</si>
  <si>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</si>
  <si>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</si>
  <si>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</si>
  <si>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</si>
  <si>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</si>
  <si>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</si>
  <si>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</si>
  <si>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</si>
  <si>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</si>
  <si>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</si>
  <si>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</si>
  <si>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</si>
  <si>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</si>
  <si>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</si>
  <si>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</si>
  <si>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</si>
  <si>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</si>
  <si>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</si>
  <si>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</si>
  <si>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</si>
  <si>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</si>
  <si>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</si>
  <si>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</si>
  <si>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</si>
  <si>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</si>
  <si>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</si>
  <si>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</si>
  <si>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</si>
  <si>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</si>
  <si>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</si>
  <si>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</si>
  <si>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</si>
  <si>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</si>
  <si>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</si>
  <si>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</si>
  <si>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</si>
  <si>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</si>
  <si>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</si>
  <si>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</si>
  <si>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</si>
  <si>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</si>
  <si>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</si>
  <si>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</si>
  <si>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</si>
  <si>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</si>
  <si>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</si>
  <si>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</si>
  <si>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</si>
  <si>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</si>
  <si>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</si>
  <si>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</si>
  <si>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</si>
  <si>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</si>
  <si>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</si>
  <si>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</si>
  <si>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</si>
  <si>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</si>
  <si>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</si>
  <si>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</si>
  <si>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</si>
  <si>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</si>
  <si>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</si>
  <si>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</si>
  <si>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</si>
  <si>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General</t>
  </si>
  <si>
    <t>x-risk averted per $1000</t>
  </si>
  <si>
    <t>1/hours to solve</t>
  </si>
  <si>
    <t>TODO: don't know how to calculate this variance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</si>
  <si>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</si>
  <si>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</si>
  <si>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</si>
  <si>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</si>
  <si>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</si>
  <si>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</si>
  <si>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</si>
  <si>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</si>
  <si>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</si>
  <si>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</si>
  <si>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</si>
  <si>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</si>
  <si>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</si>
  <si>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</si>
  <si>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</si>
  <si>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</si>
  <si>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</si>
  <si>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</si>
  <si>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</si>
  <si>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</si>
  <si>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</si>
  <si>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</si>
  <si>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</si>
  <si>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</si>
  <si>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</si>
  <si>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</si>
  <si>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</si>
  <si>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</si>
  <si>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</si>
  <si>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</si>
  <si>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</si>
  <si>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</si>
  <si>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</si>
  <si>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</si>
  <si>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</si>
  <si>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</si>
  <si>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</si>
  <si>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</si>
  <si>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</si>
  <si>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</si>
  <si>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</si>
  <si>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</si>
  <si>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</si>
  <si>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</si>
  <si>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</si>
  <si>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</si>
  <si>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</si>
  <si>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</si>
  <si>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</si>
  <si>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</si>
  <si>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</si>
  <si>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Negative effect on suffering simulations</t>
  </si>
  <si>
    <t>from looking at random articles I found on Google, adjusting for overconfidence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</si>
  <si>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</si>
  <si>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</si>
  <si>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</si>
  <si>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</si>
  <si>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</si>
  <si>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</si>
  <si>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</si>
  <si>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</si>
  <si>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</si>
  <si>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</si>
  <si>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</si>
  <si>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</si>
  <si>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</si>
  <si>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</si>
  <si>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</si>
  <si>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</si>
  <si>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</si>
  <si>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</si>
  <si>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</si>
  <si>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</si>
  <si>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</si>
  <si>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</si>
  <si>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</si>
  <si>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</si>
  <si>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</si>
  <si>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</si>
  <si>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</si>
  <si>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</si>
  <si>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</si>
  <si>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</si>
  <si>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</si>
  <si>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</si>
  <si>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global poverty</t>
  </si>
  <si>
    <t>factory farming</t>
  </si>
  <si>
    <t>wild animals</t>
  </si>
  <si>
    <t>sentient simulations</t>
  </si>
  <si>
    <t>far future</t>
  </si>
  <si>
    <t>should be 43.27</t>
  </si>
  <si>
    <t>should be 829.78</t>
  </si>
  <si>
    <t>Enable calculations?</t>
  </si>
  <si>
    <t>0 for false, 1 for true</t>
  </si>
  <si>
    <t>(positive)</t>
  </si>
  <si>
    <t>(negative)</t>
  </si>
  <si>
    <t>log 80% CI</t>
  </si>
  <si>
    <t>80% CI</t>
  </si>
  <si>
    <t>extinction averted per $1000</t>
  </si>
  <si>
    <t>sum</t>
  </si>
  <si>
    <t>animal-years caused per human year</t>
  </si>
  <si>
    <t>This figure is pretty robust but only includes land animals, you could increase the bounds to account for fish/shellfish</t>
  </si>
  <si>
    <t>Correlated with P(AI-related extinction) on the AI Safety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</si>
</sst>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43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  <xf numFmtId="0" fontId="0" fillId="17" borderId="0" xfId="0" applyFill="1"/>
    <xf numFmtId="0" fontId="0" fillId="0" borderId="0" xfId="0" applyFont="1" applyFill="1"/>
  </cellXfs>
  <cellStyles count="14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K4" sqref="K4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189</v>
      </c>
      <c r="G1" s="7" t="s">
        <v>191</v>
      </c>
    </row>
    <row r="2" spans="1:12">
      <c r="J2" t="s">
        <v>188</v>
      </c>
    </row>
    <row r="3" spans="1:12">
      <c r="A3" s="1" t="s">
        <v>149</v>
      </c>
      <c r="H3" t="s">
        <v>157</v>
      </c>
      <c r="I3" t="s">
        <v>34</v>
      </c>
      <c r="J3" s="30" t="s">
        <v>144</v>
      </c>
      <c r="K3" s="30" t="s">
        <v>145</v>
      </c>
    </row>
    <row r="4" spans="1:12">
      <c r="B4" s="30" t="s">
        <v>144</v>
      </c>
      <c r="C4" s="30" t="s">
        <v>145</v>
      </c>
      <c r="D4" s="30" t="s">
        <v>190</v>
      </c>
      <c r="G4" s="45" t="s">
        <v>146</v>
      </c>
      <c r="H4" s="4">
        <f>GiveDirectly!G3</f>
        <v>1</v>
      </c>
      <c r="I4">
        <f>GiveDirectly!H3</f>
        <v>6.25E-2</v>
      </c>
      <c r="J4" s="5">
        <f>ParetoPosterior(median,alpha,H4:I4)</f>
        <v>0.99999999999999978</v>
      </c>
      <c r="K4" s="5" t="e">
        <f>LognormPosterior(mu,sigma,H4:I4)</f>
        <v>#VALUE!</v>
      </c>
    </row>
    <row r="5" spans="1:12">
      <c r="A5" s="30" t="s">
        <v>146</v>
      </c>
      <c r="B5" s="5">
        <f>GiveDirectly!B14</f>
        <v>0.99999999999999978</v>
      </c>
      <c r="C5" s="5">
        <f>GiveDirectly!B15</f>
        <v>1.1516259366300541</v>
      </c>
      <c r="D5" s="5">
        <f>C5/$C$5</f>
        <v>1</v>
      </c>
      <c r="G5" s="4" t="s">
        <v>155</v>
      </c>
      <c r="H5" s="4">
        <v>11</v>
      </c>
      <c r="I5">
        <f>0.5^2</f>
        <v>0.25</v>
      </c>
      <c r="J5" s="5">
        <f>ParetoPosterior(median,alpha,H5:I5)</f>
        <v>3.8986159354811023</v>
      </c>
      <c r="K5" s="5" t="e">
        <f>LognormPosterior(mu,sigma,H5:I5)</f>
        <v>#VALUE!</v>
      </c>
    </row>
    <row r="6" spans="1:12">
      <c r="A6" s="30" t="s">
        <v>147</v>
      </c>
      <c r="B6" s="5"/>
      <c r="C6" s="5">
        <f>MAX('Veg Ads'!H7,'Veg Ads'!M10,'Veg Ads'!H22,'Veg Ads'!H32,'Veg Ads'!H46)</f>
        <v>829.78600845562289</v>
      </c>
      <c r="D6" s="5">
        <f>C6/C5</f>
        <v>720.53431766549522</v>
      </c>
      <c r="E6" t="s">
        <v>218</v>
      </c>
      <c r="G6" s="4" t="s">
        <v>147</v>
      </c>
      <c r="H6" s="19">
        <f>'Veg Ads'!H5</f>
        <v>4524.9309386995064</v>
      </c>
      <c r="I6">
        <f>'Veg Ads'!I5</f>
        <v>0.59504262895320126</v>
      </c>
      <c r="J6" s="5">
        <f>ParetoPosterior(median,alpha,H6:I6)</f>
        <v>61.184929894216673</v>
      </c>
      <c r="K6" s="5" t="e">
        <f>LognormPosterior(mu,sigma,H6:I6)</f>
        <v>#VALUE!</v>
      </c>
    </row>
    <row r="7" spans="1:12">
      <c r="A7" s="30" t="s">
        <v>219</v>
      </c>
      <c r="B7" s="5"/>
      <c r="C7" s="5" t="e">
        <f>ACE!I17</f>
        <v>#VALUE!</v>
      </c>
      <c r="D7" s="5" t="e">
        <f>C7/$C$5</f>
        <v>#VALUE!</v>
      </c>
      <c r="G7" s="4" t="s">
        <v>156</v>
      </c>
      <c r="H7" s="19">
        <v>22000</v>
      </c>
      <c r="I7">
        <f>1^2</f>
        <v>1</v>
      </c>
      <c r="J7" s="5">
        <f>ParetoPosterior(median,alpha,H7:I7)</f>
        <v>31.180318497090159</v>
      </c>
      <c r="K7" s="5" t="e">
        <f>LognormPosterior(mu,sigma,H7:I7)</f>
        <v>#VALUE!</v>
      </c>
    </row>
    <row r="8" spans="1:12">
      <c r="A8" s="30" t="s">
        <v>148</v>
      </c>
      <c r="B8" s="5" t="e">
        <f>'AI Safety'!B11</f>
        <v>#VALUE!</v>
      </c>
      <c r="C8" s="5" t="str">
        <f>'AI Safety'!B12</f>
        <v>disabled</v>
      </c>
      <c r="D8" s="5" t="e">
        <f>C8/$C$5</f>
        <v>#VALUE!</v>
      </c>
      <c r="G8" s="4"/>
      <c r="H8" s="19"/>
      <c r="I8" s="4"/>
      <c r="K8" s="4"/>
      <c r="L8" s="4"/>
    </row>
    <row r="9" spans="1:12">
      <c r="A9" s="30" t="s">
        <v>187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152</v>
      </c>
    </row>
    <row r="13" spans="1:12">
      <c r="B13" s="30" t="s">
        <v>144</v>
      </c>
      <c r="C13" s="30" t="s">
        <v>145</v>
      </c>
      <c r="D13" s="30" t="s">
        <v>190</v>
      </c>
    </row>
    <row r="14" spans="1:12">
      <c r="A14" s="30" t="s">
        <v>146</v>
      </c>
      <c r="B14" s="5">
        <f>GiveDirectly!B19</f>
        <v>0.99999999999999978</v>
      </c>
      <c r="C14" s="5">
        <f>GiveDirectly!B20</f>
        <v>1.1516259366300541</v>
      </c>
      <c r="D14" s="5">
        <f>C14/$C$14</f>
        <v>1</v>
      </c>
    </row>
    <row r="15" spans="1:12">
      <c r="A15" s="30" t="s">
        <v>147</v>
      </c>
      <c r="B15" s="5">
        <f>'Veg Ads'!B31</f>
        <v>0</v>
      </c>
      <c r="C15" s="5">
        <f>'Veg Ads'!B32</f>
        <v>0</v>
      </c>
      <c r="D15" s="5">
        <f>C15/$C$14</f>
        <v>0</v>
      </c>
    </row>
    <row r="16" spans="1:12">
      <c r="A16" s="30" t="s">
        <v>148</v>
      </c>
      <c r="B16" s="5">
        <f>'AI Safety'!B16</f>
        <v>0</v>
      </c>
      <c r="C16" s="5">
        <f>'AI Safety'!B17</f>
        <v>0</v>
      </c>
      <c r="D16" s="5">
        <f>C16/$C$14</f>
        <v>0</v>
      </c>
    </row>
    <row r="19" spans="1:4">
      <c r="A19" s="1" t="s">
        <v>194</v>
      </c>
    </row>
    <row r="20" spans="1:4">
      <c r="B20" s="30" t="s">
        <v>144</v>
      </c>
      <c r="C20" s="30" t="s">
        <v>145</v>
      </c>
      <c r="D20" s="30" t="s">
        <v>190</v>
      </c>
    </row>
    <row r="21" spans="1:4">
      <c r="A21" s="30" t="s">
        <v>146</v>
      </c>
      <c r="B21" s="5"/>
      <c r="C21" s="5"/>
      <c r="D21" s="5"/>
    </row>
    <row r="22" spans="1:4">
      <c r="A22" s="30" t="s">
        <v>147</v>
      </c>
      <c r="B22" s="5">
        <f>'Veg Ads'!B31</f>
        <v>0</v>
      </c>
      <c r="C22" s="5">
        <f>'Veg Ads'!B32</f>
        <v>0</v>
      </c>
      <c r="D22" s="5"/>
    </row>
    <row r="23" spans="1:4">
      <c r="A23" s="30" t="s">
        <v>148</v>
      </c>
      <c r="B23" s="5">
        <f>'AI Safety'!B21</f>
        <v>0</v>
      </c>
      <c r="C23" s="5">
        <f>'AI Safety'!B22</f>
        <v>0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I4" sqref="I4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5" ht="20">
      <c r="A1" s="7" t="s">
        <v>6</v>
      </c>
      <c r="E1" s="7" t="s">
        <v>100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M1" s="1"/>
      <c r="N1" s="7" t="s">
        <v>233</v>
      </c>
    </row>
    <row r="2" spans="1:15">
      <c r="A2" s="5" t="s">
        <v>5</v>
      </c>
      <c r="B2" s="24">
        <v>1</v>
      </c>
      <c r="D2" t="s">
        <v>131</v>
      </c>
      <c r="E2" s="5" t="s">
        <v>101</v>
      </c>
      <c r="F2" s="11">
        <v>1</v>
      </c>
      <c r="G2" s="11">
        <v>1</v>
      </c>
      <c r="H2" s="40">
        <v>1</v>
      </c>
      <c r="I2" s="11">
        <v>1</v>
      </c>
      <c r="J2" s="11">
        <v>1</v>
      </c>
      <c r="N2" s="44">
        <v>0</v>
      </c>
      <c r="O2" t="s">
        <v>234</v>
      </c>
    </row>
    <row r="3" spans="1:15">
      <c r="A3" s="5" t="s">
        <v>4</v>
      </c>
      <c r="B3" s="11">
        <v>2</v>
      </c>
      <c r="D3" t="s">
        <v>225</v>
      </c>
      <c r="E3" s="5" t="s">
        <v>102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</row>
    <row r="5" spans="1:15" ht="20">
      <c r="A5" s="7" t="s">
        <v>17</v>
      </c>
      <c r="N5" s="7" t="s">
        <v>113</v>
      </c>
    </row>
    <row r="6" spans="1:15">
      <c r="A6" s="14" t="s">
        <v>7</v>
      </c>
      <c r="B6" s="12">
        <v>0.2</v>
      </c>
      <c r="C6" s="14" t="s">
        <v>16</v>
      </c>
      <c r="D6" s="12">
        <v>0.7</v>
      </c>
      <c r="N6" s="30" t="s">
        <v>115</v>
      </c>
    </row>
    <row r="7" spans="1:15">
      <c r="N7" s="33" t="s">
        <v>114</v>
      </c>
    </row>
    <row r="8" spans="1:15">
      <c r="A8" s="14" t="s">
        <v>8</v>
      </c>
      <c r="B8" s="12">
        <v>0.7</v>
      </c>
      <c r="C8" s="14" t="s">
        <v>9</v>
      </c>
      <c r="D8" s="12">
        <v>0.8</v>
      </c>
      <c r="E8" s="14" t="s">
        <v>71</v>
      </c>
      <c r="F8" s="12">
        <v>0.3</v>
      </c>
      <c r="N8" s="28" t="s">
        <v>60</v>
      </c>
    </row>
    <row r="9" spans="1:15">
      <c r="A9" s="14"/>
      <c r="B9" s="12"/>
      <c r="C9" s="14"/>
      <c r="D9" s="12"/>
      <c r="E9" s="14" t="s">
        <v>11</v>
      </c>
      <c r="F9" s="13">
        <v>0.4</v>
      </c>
      <c r="N9" t="s">
        <v>143</v>
      </c>
    </row>
    <row r="10" spans="1:15">
      <c r="E10" s="14" t="s">
        <v>10</v>
      </c>
      <c r="F10" s="13">
        <v>0.3</v>
      </c>
      <c r="N10" s="29" t="s">
        <v>170</v>
      </c>
    </row>
    <row r="11" spans="1:15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5">
      <c r="C12" s="14" t="s">
        <v>14</v>
      </c>
      <c r="D12" s="12">
        <v>0.75</v>
      </c>
    </row>
    <row r="13" spans="1:15">
      <c r="C13" s="14" t="s">
        <v>15</v>
      </c>
      <c r="D13" s="12">
        <v>0.05</v>
      </c>
    </row>
    <row r="15" spans="1:15" ht="20">
      <c r="A15" s="7" t="s">
        <v>41</v>
      </c>
    </row>
    <row r="16" spans="1:15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83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O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221</v>
      </c>
      <c r="L18" s="3"/>
      <c r="N18" s="29" t="s">
        <v>30</v>
      </c>
      <c r="O18" s="27">
        <v>20000000000</v>
      </c>
      <c r="P18" s="3"/>
    </row>
    <row r="19" spans="1:16">
      <c r="A19" s="29" t="s">
        <v>153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222</v>
      </c>
      <c r="L19" s="3"/>
      <c r="N19" s="29" t="s">
        <v>120</v>
      </c>
      <c r="O19" s="15">
        <v>0.05</v>
      </c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220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223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162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L11" sqref="L11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68</v>
      </c>
      <c r="M2" s="28" t="s">
        <v>34</v>
      </c>
      <c r="N2" t="s">
        <v>69</v>
      </c>
      <c r="P2" t="s">
        <v>70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73</v>
      </c>
      <c r="L3" s="26">
        <f>G10</f>
        <v>3.1622776601683788E+34</v>
      </c>
      <c r="M3" s="26">
        <f>H10</f>
        <v>2.7310645112533267</v>
      </c>
      <c r="N3">
        <v>1</v>
      </c>
      <c r="O3" t="s">
        <v>91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72</v>
      </c>
      <c r="L4" s="26">
        <f>G16</f>
        <v>4.7434164902525682E+34</v>
      </c>
      <c r="M4" s="26">
        <f>H16</f>
        <v>2.8310645112533264</v>
      </c>
      <c r="N4">
        <v>-1</v>
      </c>
      <c r="O4" t="s">
        <v>80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74</v>
      </c>
      <c r="L5" s="26">
        <f>G22</f>
        <v>1.9999999999999997E+37</v>
      </c>
      <c r="M5" s="26">
        <f>H22</f>
        <v>3.5212165842895158</v>
      </c>
      <c r="N5">
        <v>-1</v>
      </c>
      <c r="O5" t="s">
        <v>92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75</v>
      </c>
      <c r="L6" s="26">
        <f>G28</f>
        <v>6.324555320336757E+40</v>
      </c>
      <c r="M6" s="26">
        <f>H28</f>
        <v>4.0113686573257059</v>
      </c>
      <c r="N6">
        <v>-1</v>
      </c>
      <c r="O6" t="s">
        <v>93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76</v>
      </c>
      <c r="L7" s="26">
        <f>G35</f>
        <v>1.9999999999999993E+39</v>
      </c>
      <c r="M7" s="26">
        <f>H35</f>
        <v>5.1818248764342734</v>
      </c>
      <c r="N7">
        <v>-1</v>
      </c>
      <c r="O7" t="s">
        <v>94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77</v>
      </c>
      <c r="L8" s="26">
        <f>B11</f>
        <v>3.1622776601683793E+48</v>
      </c>
      <c r="M8" s="26">
        <f>C11</f>
        <v>4.3113686573257057</v>
      </c>
      <c r="N8">
        <v>1</v>
      </c>
      <c r="O8" t="s">
        <v>95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78</v>
      </c>
      <c r="L9" s="26">
        <f>B16</f>
        <v>3.1622776601683798E+44</v>
      </c>
      <c r="M9" s="26">
        <f>C16</f>
        <v>4.5113686573257059</v>
      </c>
      <c r="N9">
        <v>-1</v>
      </c>
      <c r="O9" t="s">
        <v>96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79</v>
      </c>
      <c r="L10" s="26">
        <f>B21</f>
        <v>3.1622776601683793E+48</v>
      </c>
      <c r="M10" s="26">
        <f>C21</f>
        <v>4.3113686573257057</v>
      </c>
      <c r="N10">
        <v>-1</v>
      </c>
      <c r="O10" t="s">
        <v>97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4" t="s">
        <v>136</v>
      </c>
      <c r="L11" s="4" t="str">
        <f>WriteArray(SumLognormDists(L3:M10))</f>
        <v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4.94065645841247E-324,7.0157321709457E-322,9.29782138908642E-320,1.20568519377835E-317,1.53264982445131E-315,1.90993933581883E-313,2.33326623904459E-311,2.79432910086426E-309,3.2806491718399E-307,3.7758215300495E-305,4.26022970887585E-303,4.71221315115971E-301,5.10960887791222E-299,5.43152374316584E-297,5.66014399522754E-295,5.7823654380354E-293,5.79103698170836E-291,5.68565346211035E-289,5.47240436502245E-287,5.16357191876878E-285,4.77635996733459E-283,4.33130891857596E-281,3.85049964441075E-279,3.35576366518779E-277,2.86709801145338E-275,2.40143674387844E-273,1.97186762828939E-271,1.5873142632501E-269,1.25264267803559E-267,9.69105793106706E-266,7.35013741767971E-264,5.46513132511178E-262,3.98370544834752E-260,2.84679318402095E-258,1.99437724611805E-256,1.36975225120284E-254,9.22275529642641E-253,6.08784995498892E-251,3.93960277477555E-249,2.49934856538991E-247,1.55448948231918E-245,9.47842091906981E-244,5.66594199094782E-242,3.32044952423198E-240,1.90770392839651E-238,1.07452151151795E-236,5.93348748495991E-235,3.21215475704749E-233,1.70480673862373E-231,8.870474835115E-230,4.52493532806601E-228,2.26293698896242E-226,1.10950156046136E-224,5.33309784819796E-223,2.51320655882389E-221,1.16111342736408E-219,5.2592012035776E-218,2.33541712029805E-216,1.01673913519032E-214,4.33966209471951E-213,1.8159524978565E-211,7.44999812612213E-210,2.99648345508882E-208,1.18160573948254E-206,4.56813835166465E-205,1.73146147284903E-203,6.43419676462475E-202,2.34414664552182E-200,8.37307879477678E-199,2.93222025017808E-197,1.00674637305027E-195,3.38888410622036E-194,1.11842694583862E-192,3.61887773877932E-191,1.14803922733502E-189,3.5707318369013E-188,1.08887147378703E-186,3.25548792189593E-185,9.54282301923968E-184,2.74258575545917E-182,7.72800517302684E-181,2.13500911827039E-179,5.7830710960801E-178,1.53583707415306E-176,3.99908797233187E-175,1.02095680565154E-173,2.55555840453166E-172,6.2718800704138E-171,1.50919258231474E-169,3.56064011954044E-168,8.23662992297899E-167,1.86814534476451E-165,4.15444508799748E-164,9.05854165584184E-163,1.93663659789084E-161,4.0596097790003E-160,8.34388881667485E-159,1.68152212060564E-157,3.32267874387655E-156,6.43765483069665E-155,1.22298886440725E-153,2.27811035143333E-152,4.16089209669906E-151,7.45177336867372E-150,1.30856833071228E-148,2.25319561619834E-147,3.80425225057166E-146,6.29810467437522E-145,1.02240484232767E-143,1.62746151212138E-142,2.54024595121165E-141,3.8879483394345E-140,5.83508792811839E-139,8.58734896105024E-138,1.23924808467645E-136,1.75366872019373E-135,2.43349127803042E-134,3.31137089031621E-133,4.41859891568906E-132,5.78179996853134E-131,7.41901672902362E-130,9.33550052063044E-129,1.15196710896377E-127,1.39398178004627E-126,1.65421548892297E-125,1.92507896913476E-124,2.19700025043967E-123,2.45889770843705E-122,2.69887908740926E-121,2.90511227885122E-120,3.06678246754808E-119,3.17502917282375E-118,3.22375053939058E-117,3.21017330679041E-116,3.13511434936289E-115,3.00289945912724E-114,2.82095058314391E-113,2.59909629224987E-112,2.34869453833546E-111,2.08167635243039E-110,1.80962158459935E-109,1.5429639043757E-108,1.29039576381419E-107,1.05851046855679E-106,8.5168410555448E-106,6.72170372992945E-105,5.2036025034779E-104,3.95147719111599E-103,2.9434209382013E-102,2.150750039654E-101,1.54162785454786E-100,1.08399885473147e-99,7.47731438168645e-99,5.05985585476936e-98,3.35903676154333e-97,2.18768196982111e-96,1.39783351465039e-95,8.76269846486899e-95,5.38940841403355e-94,3.25218415547634e-93,1.92553012753377e-92,1.11860661284423e-91,6.37628073126482e-91,3.56641575876134e-90,1.95741509936563e-89,1.05422349284692e-88,5.57178132127642e-88,2.88988362981454e-87,1.47097524351573e-86,7.34824123646221e-86,3.60271025833158e-85,1.7336386264399e-84,8.188175201272e-84,3.79604724272829e-83,1.72746507132455e-82,7.71681418294415e-82,3.38404805218021e-81,1.45688086308262e-80,6.15773042764533e-80,2.5553316816795e-79,1.04117930378715e-78,4.1656034448032e-78,1.63654463705904e-77,6.31392784284929e-77,2.3923154060326e-76,8.90247036699174e-76,3.25389203936969e-75,1.16821968258872e-74,4.12006467663211e-74,1.42748699444908e-73,4.85915251901384e-73,1.62518186732824e-72,5.34109765660123e-72,1.72496976677909e-71,5.47509262590972e-71,1.70804136983973e-70,5.23771060455647e-70,1.57892483782648e-69,4.67950918767121e-69,1.3636455831398e-68,3.9075989245151e-68,1.10121489646136e-67,3.05235905244248e-67,8.32242498080854e-67,2.23236720329016e-66,5.89162436664653e-66,1.53007166286057e-65,3.91066711009822e-65,9.8380428870316e-65,2.43636939549625e-64,5.94036585611136e-64,1.42619594524095e-63,3.37211700989437e-63,7.8531898631839e-63,1.80166145633704e-62,4.07238133102229e-62,9.07062481394699e-62,1.99115723828998e-61,4.30844119236646e-61,9.19069157106344e-61,1.93311248581821e-60,4.00972596629819e-60,8.20330201079252e-60,1.65556755921084e-59,3.2965289147805e-59,6.47717908311159e-59,1.25603218652136e-58,2.40418414276126e-58,4.54310054333897e-58,8.47655535481815e-58,1.56182646613813e-57,2.84220493694322e-57,5.10915532943379e-57,9.07349684808831e-57,1.59217852179125e-56,2.76095126195536e-56,4.73187056644152e-56,8.01622924745324e-56,1.3425342511598e-55,2.22306535570979e-55,3.64001507962699e-55,5.8942642721606e-55,9.44021316725635e-55,1.49557800929833e-54,2.34401159170131e-54,3.63480657214156e-54,5.57725295044028e-54,8.46881654245648e-54,1.27272217438108e-53,1.89320444919951e-53,2.78777922409112e-53,4.06405523032118e-53,5.86602784934762e-53,8.38406110903267e-53,1.18667735642375e-52,1.66349131383971e-52,2.30972095090201e-52,3.17680618692271e-52,4.32867536563333e-52,5.84376856554088e-52,7.81708899035942e-52,1.03621838266581e-51,1.36129305171053e-51,1.77249801908196e-51,2.28766892359472e-51,2.92693550855276e-51,3.71265661456571e-51,4.66924804187787e-51,5.82288653952642e-51,7.20107647078952e-51,8.83207054989137e-51,1.07441423628093e-50,1.29647160889048e-50,1.55193676105666e-50,1.84307204333588e-50,2.17172692816377e-50,2.53921730218584e-50,2.94620660864873e-50,3.39259431585696e-50,3.87741753562918e-50,4.39877140097342e-50,4.95375405702123e-50,5.53844068738998e-50,6.14789054647879e-50,6.77618946994032e-50,7.41652910833123e-50,8.06132179250105e-50,8.70234892509183e-50,9.3309391279016e-50,9.93816992149508e-50,1.05150865286538e-49,1.10529298249455e-49,1.15433650747791e-49,1.19787025776235e-49,1.23521032919328e-49,1.26577554845792e-49,1.28910292896689e-49,1.30485899006684e-49,1.3128469968345e-49,1.31301031552208e-49,1.3054316882512e-49,1.29032803345327e-49,1.26804172457365e-49,1.23902888916495e-49,1.20384449102271e-49,1.16312543794019e-49,1.11757239233248e-49,1.06793073349789e-49,1.01497139077051e-49,9.59472824255502e-50,9.02201611876907e-50,8.43899768407647e-50,7.85268949206663e-50,7.26958713871503e-50,6.69558010404481e-50,6.13588551687166e-50,5.59499713945373e-50,5.07666933022792e-50,4.58392240508298e-50,4.11905683305499e-50,3.68369008776515e-50,3.27880658854317e-50,2.90481527331228e-50,2.56161416776365e-50,2.2486627554878e-50,1.96504046158312e-50,1.70953668962327e-50,1.48070135583994e-50,1.27691078140168e-50,1.09642716819143e-50,9.37448253494913e-51,7.98151072232687e-51,6.7672860450562e-51,5.71422636405477e-51,4.80546325895401e-51,4.0250309272462e-51,3.35799776014064e-51,2.7905492419143e-51,2.31003069597388e-51,1.90496058211499e-51,1.56499065419184e-51,1.28090672190605e-51,1.04453331281811e-51,8.48683335923387e-52,6.87078563565594e-52,5.54273441581162e-52,4.45571119474999e-52,3.56946658461012e-52,2.84971486296426e-52,2.26740530438196e-52,1.79806018374572e-52,1.42116337480791e-52,1.11960733765477e-52,8.79197321309051e-53,6.8821256302703e-53,5.37020651646615e-53,4.1774170304304e-53,3.23958382751266e-53,2.50467297059745e-53,1.93067383641157e-53,1.48381004222688e-53,1.13703655020047e-53,8.6878487110175e-54,6.6192154624561e-54,5.02888517520094e-54,3.80997459523831e-54,2.87853523348879e-54,2.16887133854455e-54,1.62975437645269e-54,1.2213768508353e-54,9.12912333994874e-55,6.80569801335954e-55,5.06048874637459e-55,3.75318557743699e-55,2.77655704508354e-55,2.04891026790425e-55,1.50820168571304e-55,1.10745473909388e-55,8.11207817742516e-56,5.92770928136799e-56,4.32114550779765e-56,3.14250703086735e-56,2.27995718424825e-56,1.65027923087824e-56,1.19172289586966e-56,8.58591524767053e-57,6.17159336138452e-57,4.4260152754848e-57,3.16693035067994e-57,2.26088680496444e-57,1.61041629134157e-57,1.14451234975601e-57,8.11576419352851e-58,5.74206698515186e-58,4.05359136900213e-58,2.85527041212653e-58,2.00674646535144e-58,1.40727157542867e-58,9.84703318529596e-59,6.87506292318168e-59,4.78953397024272e-59,3.32932718096701e-59,2.30923164974043e-59,1.59818610711338e-59,1.10366408513389e-59,7.60496013757461e-60,5.22887309972692e-60,3.58732686609692e-60,2.45576022633918e-60,1.67746526538315e-60,1.37508056267795e-60,5.92239199994788e-61,6.17793380194961e-61,2.85218760026614e-61,2.41419032411663e-61,1.62768646741546e-61,1.09501242442412e-61,7.3505039708984e-62,4.92336326335059e-62,3.29059102835475e-62,2.19445632882529e-62,1.94836888477075e-62,5.79202424688591e-63,8.60567368374464e-63,2.50215564235859e-63,3.73013809550585e-63,1.1015486055178e-63,1.59342141227704e-63,4.88180449342526e-64,5.19148555394109e-64,3.38762806287502e-64,2.20571445835432e-64,1.43304190961916e-64,9.2901110753818e-65,6.00950223334685e-65,3.87890005276476e-65,3.4695870677721e-65,8.28431491394584e-66,1.43054387740681e-65,3.37969145798706e-66,5.83714285498557e-66,1.37470946053999e-66,2.34829561532833e-66,5.64576818022701e-67,6.83876572397828e-67,4.31905822126973e-67,2.72178695806509e-67,1.71148580987009e-67,1.0738568369863e-67,6.72316145256109e-68,4.20005144273685e-68,3.68406344508367e-68,7.75712551409037e-69,1.42302268627021e-68,2.96061233528388e-69,5.43891950465139e-69,1.12807313551439e-69,2.05347158381379e-69,4.31941983623208e-70,5.51840935667653e-70,3.37314380622079e-70,2.05735752219899e-70,1.25209897467703e-70,7.60363960074095e-71,4.60742595527755e-71,2.78579514520149e-71,2.45170967131893e-71,3.94999375428318e-72,8.85373327639782e-72,1.42218397223158e-72,3.16957833093666e-72,5.07611026386556e-73,1.12049219002555e-72,1.8309195401734e-73,2.72769151683933e-73,1.61371108681577e-73,9.52599352982623e-74,5.61110959395173e-74,3.29792814958247e-74,1.93413862189034e-74,1.13184765081578e-74,1.02054769486486e-74,9.73695468672084e-76,3.45174008248893e-75,3.28398893237578e-76,1.15733907796993e-75,1.09798420697394e-76,3.82907575979879e-76,3.78108914807921e-77,8.258856937583e-77,4.72889860445055e-77,2.70180517192666e-77,1.54028832249241e-77,8.76201484403271e-78,4.97347470855224e-78,2.81688949617761e-78,2.58056497324634e-78,1.06862408681165e-79,8.1748644821224e-79,3.37615620450539e-80,2.5752775456059e-79,9.92981322087254e-81,7.99218506947015e-80,3.28295764876215e-81,2.35566550378662e-80,1.89727999189219e-81,4.6939721509282e-81,2.58998954389402e-81,1.4259670156644e-81,7.83384394496899e-82,4.29431916087291e-82,2.34891709459244e-82,1.28202066357453e-82,1.15563738015403e-82,1.34580426823174e-84,3.39936755913693e-83,3.94833820817758e-85,9.89936901509866e-84,1.25506648717058e-85,2.79246807260586e-84,9.15558262540492e-86,4.99539185324569e-85,2.6676974014371e-85,1.42153493438086e-85,7.55844530882832e-86,4.01015703533954e-86,2.12297192573221e-86,1.12145303135412e-86,9.76830647150909e-87,2.32448468834096e-89,2.69163806242118e-87,6.38819455936994e-90,7.34974363699192e-88,1.9566237938689e-90,1.98649547784032e-88,8.28074076322362e-91,3.25642539934476e-89,1.68312991304659e-89,8.68056733230258e-90,4.46717070342219e-90,2.29388136559622e-90,1.17533948155126e-90,6.00910321003443e-91,5.01419954844146e-91,1.59087265441609e-94,1.29428464734492e-91,4.09548991279979e-95,3.3118892773499e-92,1.04518259969598e-95,8.39772449440902e-93,5.39854523082929e-96,1.30033486597049e-93,6.5049088034884e-94,3.24699173936654e-94,1.61724241092475e-94,8.03753776662675e-95,3.98588622631213e-95,1.97233524734497e-95,1.57353885853392e-95,3.96191433397257E-100,3.80486162255767e-96,9.55420429818324E-101,9.12048786702793e-97,2.28401963400601E-101,2.16720248438095e-97,1.16366482086657E-101,3.18061993828488e-98,1.53995234507297e-98,7.43972277044757e-99,3.58641209287985e-99,1.72511318532971e-99,8.27997385660072E-100,3.96546666250501E-100,3.02454222334145E-100,3.72767198141566E-106,6.85100936436977E-101,7.98942054921546E-107,1.53839264666096E-101,1.88569061396844E-107,3.42450116610118E-102,6.30773247326315E-108,4.76552596464513E-103,2.23313945159653E-103,1.0441786633709E-103,4.87178093860644E-104,2.26806060769094E-104,1.05359942802371E-104,4.88371557916246E-105,3.56188966204719E-105,1.3692545878316E-112,7.55803208898069E-106,2.85830898571011E-113,1.5898449704072E-106,5.99587377936663E-114,3.31526756648244E-107,2.01846055701834E-114,4.3737342927379E-108,1.98365846208691E-108,8.97708566155762E-109,4.0537578815144E-109,1.82656112143384E-109,8.21229571442575E-110,3.68424850519373E-110,2.57010404906501E-110,1.96962471472464E-119,5.10872169415468E-111,3.89872595323463E-120,1.00668023647044E-111,7.66099211408729E-121,1.96647575932749E-112,2.57405875639965E-121,2.45887495769799E-113,1.0793454046853E-113,4.72757488069657E-114,2.06619046297627E-114,9.01065279468553E-115,3.92099352308749E-115,1.70251113490688E-115,1.13623987293911E-115,1.08848817502991E-126,2.11575171505312E-116,2.02098902499148E-127,3.90550428915778E-117,3.72001987523995E-128,7.14672836363966E-118,6.78840322039178E-129,8.46765166930023E-119,3.59746424927632E-119,1.52504955456948E-119,6.45097548433377E-120,2.72283167250228E-120,1.14675373339362E-120,4.81918388880572E-121,3.07777900063937E-121,2.28362667101375E-134,5.36865020269218E-122,3.97200278354172E-135,9.28347360254152E-123,6.84872689470662E-136,1.59137901023006E-123,1.1706488239322E-136,1.78620794564138E-124,7.34471619181309E-125,3.01350549240364E-125,1.23373794600864E-125,5.0399685256297E-126,2.0544079771438E-126,8.35602109678182E-127,5.10801162112831E-127,1.81335979436824E-142,8.34665397764414E-128,2.95452329756332E-143,1.35204344109981E-128,2.26344019295042E-144,2.17113376942565E-129,7.64085382819858E-145,3.45621075148424E-130,8.8955312883262E-144,3.64756055992092E-131,1.44531645042924E-131,5.71448828957221E-132,2.25447651179956E-132,8.87499361993641E-133,5.19412347894157E-133,5.44226661422234E-151,7.95070265194014E-134,3.69373667173662E-152,1.20646974773988E-134,5.58861552892616E-153,1.81486799346433E-135,1.88492780108442E-153,2.70639588449594E-136,4.46604579873713E-153,2.70442864432361E-137,1.03715928893974E-137,3.96889273886231E-138,1.51546960178879E-138,5.77403036514361E-139,3.23606685464159E-139,6.1665863330136E-160,4.64027033827622E-140,3.67533420490474E-161,6.59609258547366E-141,5.2089973609812E-162,9.29496721951524E-142,1.75556421230845E-162,1.29845420963323E-142,1.37105824790903E-162,1.22826205535972E-143,4.55900920441966E-144,1.68851090287197E-144,6.24009549776395E-145,2.30108451371811E-145,1.23528270497984E-145,2.63575677654967E-169,1.65929863954203E-146,1.3793650283554E-170,2.20953250136655E-147,1.831283198478E-171,2.91671415626676E-148,2.41017000555822E-172,3.81684900850009E-149,2.04164533159771E-172,3.41703192091918E-150,1.22754654687848E-150,4.40028563490277E-151,1.57390217316318E-151,5.6173122797443E-152,2.88906758634965E-152,4.24676804180966E-179,3.63536594512201E-153,1.95127420270743E-180,4.53477962319774E-154,2.42668609607082E-181,5.6076623327058E-155,2.99174633212949E-182,6.87424704754563E-156,2.70232897803732E-182,5.8230367168654E-157,2.02464069148823E-157,7.02425647221634E-158,2.43168169826703E-158,8.39976350328637E-159,4.13990410114271E-159,2.57783942128617E-189,4.87992092482673E-160,1.03985257316545E-190,5.70233706717776E-161,1.21139581428163E-191,6.60557425723072E-162,1.39899522806378E-192,7.5855288388898E-163,4.66600054706503E-193,6.07844530827218E-164,2.04550452924699E-164,6.86850698352E-165,2.30132634646226E-165,7.69392664576696E-166,3.63465205986321E-166,5.89238191186044E-200,4.01344437082795E-167,2.08659471460593E-201,4.39328347141525E-168,2.27704388000458E-202,4.76736908678641E-169,2.46331846985127E-203,5.12844725485885E-170,8.21212985542867E-204,3.88667288482627E-171,1.26588840533984E-171,4.11402399333851E-172,1.33411167575113E-172,4.31689530818375E-173,1.95512308625568E-173,1.52831053466437E-211,2.0223682436978E-174,1.57597032640141E-212,2.07378591690336E-175,1.61101777355352E-213,2.10807060242974E-176,1.63255752898797E-214,2.12433951382282E-177,1.64003275899766E-215,1.52232002355028E-178,4.7988026591747E-179,1.5094328191034E-179,4.73749377975223E-180,1.48367057522211E-180,6.44351369873402E-181,4.63663240013597E-223,6.24367719380683E-182,4.47876312542373E-224,5.99757452852007E-183,4.28873674370872E-225,5.71121341469111E-184,4.07114480562621E-226,5.39136388446755E-185,3.83106550519016E-227,3.65238391382418E-186,1.11432750879927E-186,3.39237027371847E-187,1.03049909028062E-187,3.12353188161402E-188,1.30109038673063E-188,5.2914077148894E-235,1.18101802544823E-189,4.78790641880248E-236,</v>
      </c>
      <c r="M11" s="4" t="s">
        <v>240</v>
      </c>
      <c r="Q11" s="4"/>
      <c r="R11" s="4"/>
    </row>
    <row r="12" spans="1:18" ht="15" customHeight="1">
      <c r="B12" s="4"/>
      <c r="K12" s="4"/>
      <c r="L12" s="4"/>
      <c r="M12" s="4"/>
      <c r="Q12" s="4"/>
      <c r="R12" s="4"/>
    </row>
    <row r="13" spans="1:18" ht="15" customHeight="1">
      <c r="F13" s="1" t="s">
        <v>61</v>
      </c>
      <c r="K13" s="45"/>
      <c r="L13" s="4"/>
      <c r="M13" s="4"/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</row>
    <row r="15" spans="1:18" ht="15" customHeight="1">
      <c r="A15" s="6" t="s">
        <v>48</v>
      </c>
      <c r="B15" s="4">
        <f>VLOOKUP($A15,Globals!$A$17:$E$24,4,FALSE)</f>
        <v>0.1</v>
      </c>
      <c r="C15" s="4">
        <f>VLOOKUP($A15,Globals!$A$17:$E$24,5,FALSE)</f>
        <v>1</v>
      </c>
      <c r="F15" s="6" t="s">
        <v>43</v>
      </c>
      <c r="G15">
        <f>VLOOKUP($F15,Globals!$A$17:$E$24,4,FALSE)</f>
        <v>1.5</v>
      </c>
      <c r="H15">
        <f>VLOOKUP($F15,Globals!$A$17:$E$24,5,FALSE)</f>
        <v>0.1</v>
      </c>
      <c r="L15" t="s">
        <v>237</v>
      </c>
      <c r="N15" t="s">
        <v>238</v>
      </c>
    </row>
    <row r="16" spans="1:18" ht="15" customHeight="1">
      <c r="A16" s="31" t="s">
        <v>60</v>
      </c>
      <c r="B16" s="26">
        <f>PRODUCT($B$3:$B$6)*B15</f>
        <v>3.1622776601683798E+44</v>
      </c>
      <c r="C16" s="26">
        <f>SUM(C$3:C$6)+C15</f>
        <v>4.5113686573257059</v>
      </c>
      <c r="F16" s="32" t="s">
        <v>60</v>
      </c>
      <c r="G16" s="26">
        <f>PRODUCT(G$3:G$4)*PRODUCT(G14:G15)</f>
        <v>4.7434164902525682E+34</v>
      </c>
      <c r="H16" s="26">
        <f>SUM(H$3:H$4)+SUM(H14:H15)</f>
        <v>2.8310645112533264</v>
      </c>
      <c r="K16" t="s">
        <v>73</v>
      </c>
      <c r="L16">
        <f>_xlfn.NORM.INV(0.05,LOG10(L3),M3)</f>
        <v>30.007798633226514</v>
      </c>
      <c r="M16">
        <f>_xlfn.NORM.INV(0.95,LOG10(L3),M3)</f>
        <v>38.992201366773486</v>
      </c>
      <c r="N16">
        <f>10^L16</f>
        <v>1.0181192132372111E+30</v>
      </c>
      <c r="O16">
        <f>10^M16</f>
        <v>9.822032498732871E+38</v>
      </c>
    </row>
    <row r="17" spans="1:23" ht="15" customHeight="1">
      <c r="K17" t="s">
        <v>72</v>
      </c>
      <c r="L17">
        <f t="shared" ref="L17:L23" si="0">_xlfn.NORM.INV(0.05,LOG10(L4),M4)</f>
        <v>30.01940452958705</v>
      </c>
      <c r="M17">
        <f t="shared" ref="M17:M23" si="1">_xlfn.NORM.INV(0.95,LOG10(L4),M4)</f>
        <v>39.332777988524313</v>
      </c>
      <c r="N17">
        <f t="shared" ref="N17:O23" si="2">10^L17</f>
        <v>1.0456937916361456E+30</v>
      </c>
      <c r="O17">
        <f t="shared" si="2"/>
        <v>2.151681513265531E+39</v>
      </c>
    </row>
    <row r="18" spans="1:23" ht="15" customHeight="1">
      <c r="K18" t="s">
        <v>74</v>
      </c>
      <c r="L18">
        <f t="shared" si="0"/>
        <v>31.509144125713696</v>
      </c>
      <c r="M18">
        <f t="shared" si="1"/>
        <v>43.092915865614266</v>
      </c>
      <c r="N18">
        <f t="shared" si="2"/>
        <v>3.2295657131247585E+31</v>
      </c>
      <c r="O18">
        <f t="shared" si="2"/>
        <v>1.238556621945895E+43</v>
      </c>
    </row>
    <row r="19" spans="1:23" ht="15" customHeight="1">
      <c r="A19" s="21" t="s">
        <v>57</v>
      </c>
      <c r="F19" s="1" t="s">
        <v>63</v>
      </c>
      <c r="K19" t="s">
        <v>75</v>
      </c>
      <c r="L19">
        <f t="shared" si="0"/>
        <v>34.202915710622335</v>
      </c>
      <c r="M19">
        <f t="shared" si="1"/>
        <v>47.39914428070562</v>
      </c>
      <c r="N19">
        <f t="shared" si="2"/>
        <v>1.5955694435380676E+34</v>
      </c>
      <c r="O19">
        <f t="shared" si="2"/>
        <v>2.5069419674585016E+47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K20" t="s">
        <v>76</v>
      </c>
      <c r="L20">
        <f t="shared" si="0"/>
        <v>30.7776865534337</v>
      </c>
      <c r="M20">
        <f t="shared" si="1"/>
        <v>47.824373437894259</v>
      </c>
      <c r="N20">
        <f t="shared" si="2"/>
        <v>5.9935834078845098E+30</v>
      </c>
      <c r="O20">
        <f t="shared" si="2"/>
        <v>6.6738038461900442E+47</v>
      </c>
      <c r="S20" s="41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0.2</v>
      </c>
      <c r="H21">
        <f>VLOOKUP($F21,Globals!$A$17:$E$24,5,FALSE)</f>
        <v>0.4</v>
      </c>
      <c r="K21" t="s">
        <v>77</v>
      </c>
      <c r="L21">
        <f t="shared" si="0"/>
        <v>41.408429626872909</v>
      </c>
      <c r="M21">
        <f t="shared" si="1"/>
        <v>55.591570373127084</v>
      </c>
      <c r="N21">
        <f t="shared" si="2"/>
        <v>2.5611182265746943E+41</v>
      </c>
      <c r="O21">
        <f t="shared" si="2"/>
        <v>3.9045444666465981E+55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1.9999999999999997E+37</v>
      </c>
      <c r="H22" s="26">
        <f>SUM(H$3:H$4)+SUM(H20:H21)</f>
        <v>3.5212165842895158</v>
      </c>
      <c r="K22" t="s">
        <v>78</v>
      </c>
      <c r="L22">
        <f t="shared" si="0"/>
        <v>37.079458901482617</v>
      </c>
      <c r="M22">
        <f t="shared" si="1"/>
        <v>51.920541098517376</v>
      </c>
      <c r="N22">
        <f t="shared" si="2"/>
        <v>1.2007674356130785E+37</v>
      </c>
      <c r="O22">
        <f t="shared" si="2"/>
        <v>8.3280073254937188E+51</v>
      </c>
      <c r="S22" s="16"/>
      <c r="T22" s="4"/>
      <c r="U22" s="4"/>
      <c r="V22" s="4"/>
      <c r="W22" s="4"/>
    </row>
    <row r="23" spans="1:23" ht="15" customHeight="1">
      <c r="B23" s="4"/>
      <c r="C23" s="4"/>
      <c r="K23" t="s">
        <v>79</v>
      </c>
      <c r="L23">
        <f t="shared" si="0"/>
        <v>41.408429626872909</v>
      </c>
      <c r="M23">
        <f t="shared" si="1"/>
        <v>55.591570373127084</v>
      </c>
      <c r="N23">
        <f t="shared" si="2"/>
        <v>2.5611182265746943E+41</v>
      </c>
      <c r="O23">
        <f t="shared" si="2"/>
        <v>3.9045444666465981E+55</v>
      </c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2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0.02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6.324555320336757E+40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0.02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1.9999999999999993E+39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D5" sqref="D5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160</v>
      </c>
      <c r="F1" s="1" t="s">
        <v>81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109</v>
      </c>
    </row>
    <row r="3" spans="1:16">
      <c r="A3" s="29" t="s">
        <v>122</v>
      </c>
      <c r="B3" s="27">
        <v>50000000000</v>
      </c>
      <c r="C3" s="27">
        <v>1000000000000</v>
      </c>
      <c r="D3" t="s">
        <v>193</v>
      </c>
      <c r="G3">
        <v>1</v>
      </c>
      <c r="H3">
        <f>I3^2</f>
        <v>6.25E-2</v>
      </c>
      <c r="I3">
        <v>0.25</v>
      </c>
    </row>
    <row r="4" spans="1:16">
      <c r="A4" s="29" t="s">
        <v>116</v>
      </c>
      <c r="B4" s="15">
        <v>0.1</v>
      </c>
      <c r="C4" s="15">
        <v>0.5</v>
      </c>
      <c r="D4" t="s">
        <v>243</v>
      </c>
      <c r="F4" s="33" t="s">
        <v>99</v>
      </c>
      <c r="G4" s="34">
        <f>ParetoPosterior(median,alpha,G3:H3)</f>
        <v>0.99999999999999978</v>
      </c>
      <c r="H4" s="4"/>
    </row>
    <row r="5" spans="1:16">
      <c r="A5" s="29" t="s">
        <v>117</v>
      </c>
      <c r="B5" s="15">
        <v>1.7999999999999999E-2</v>
      </c>
      <c r="C5" s="15">
        <v>0.18</v>
      </c>
      <c r="F5" s="33" t="s">
        <v>110</v>
      </c>
      <c r="G5" s="34">
        <f>LognormPosterior(mu_global_poverty,sigma_global_poverty,G3:H3)</f>
        <v>1.1516259366300541</v>
      </c>
      <c r="H5" s="4"/>
    </row>
    <row r="6" spans="1:16">
      <c r="A6" s="29" t="s">
        <v>118</v>
      </c>
      <c r="B6" s="15">
        <v>0.02</v>
      </c>
      <c r="C6" s="15">
        <v>0.2</v>
      </c>
    </row>
    <row r="7" spans="1:16">
      <c r="A7" s="4" t="s">
        <v>112</v>
      </c>
      <c r="B7" s="19">
        <f>1000/C3*interest_rate</f>
        <v>5.0000000000000008E-11</v>
      </c>
      <c r="C7" s="19">
        <f>1000/B3*interest_rate</f>
        <v>1.0000000000000001E-9</v>
      </c>
    </row>
    <row r="8" spans="1:16">
      <c r="F8" s="1" t="s">
        <v>111</v>
      </c>
    </row>
    <row r="9" spans="1:16">
      <c r="G9" t="s">
        <v>2</v>
      </c>
      <c r="H9" t="s">
        <v>34</v>
      </c>
      <c r="J9" s="25"/>
      <c r="K9" s="4"/>
      <c r="L9" s="4"/>
      <c r="M9" s="4"/>
      <c r="N9" s="25"/>
      <c r="O9" s="4"/>
      <c r="P9" s="4"/>
    </row>
    <row r="10" spans="1:16">
      <c r="F10" t="s">
        <v>116</v>
      </c>
      <c r="G10">
        <f>GEOMEAN($B$4,$C$4)</f>
        <v>0.22360679774997896</v>
      </c>
      <c r="H10">
        <f>LogVariance($B$4,$C$4)</f>
        <v>0.27270459618181209</v>
      </c>
      <c r="J10" s="4"/>
      <c r="K10" s="4"/>
      <c r="L10" s="4"/>
      <c r="M10" s="4"/>
      <c r="N10" s="4"/>
      <c r="O10" s="4"/>
      <c r="P10" s="4"/>
    </row>
    <row r="11" spans="1:16">
      <c r="F11" s="4" t="s">
        <v>117</v>
      </c>
      <c r="G11">
        <f>GEOMEAN($B$5,$C$5)</f>
        <v>5.6920997883030823E-2</v>
      </c>
      <c r="H11">
        <f>LogVariance($B$5,$C$5)</f>
        <v>0.39015207303618948</v>
      </c>
      <c r="J11" s="4"/>
      <c r="K11" s="4"/>
      <c r="L11" s="4"/>
      <c r="M11" s="4"/>
      <c r="N11" s="4"/>
      <c r="O11" s="4"/>
      <c r="P11" s="4"/>
    </row>
    <row r="12" spans="1:16" ht="20">
      <c r="A12" s="7" t="s">
        <v>67</v>
      </c>
      <c r="F12" t="s">
        <v>112</v>
      </c>
      <c r="G12">
        <f>GEOMEAN($B$7,$C$7)</f>
        <v>2.2360679774997899E-10</v>
      </c>
      <c r="H12">
        <f>LogVariance($B$7,$C$7)</f>
        <v>0.50759954989056688</v>
      </c>
      <c r="J12" s="4"/>
      <c r="K12" s="4"/>
      <c r="L12" s="4"/>
      <c r="M12" s="4"/>
      <c r="N12" s="4"/>
      <c r="O12" s="4"/>
      <c r="P12" s="4"/>
    </row>
    <row r="13" spans="1:16">
      <c r="A13" s="1" t="s">
        <v>150</v>
      </c>
      <c r="F13" s="4" t="s">
        <v>239</v>
      </c>
      <c r="G13" s="4">
        <f>PRODUCT(G10:G12)</f>
        <v>2.8460498941515414E-12</v>
      </c>
      <c r="H13" s="4">
        <f>SUM(H10:H12)</f>
        <v>1.1704562191085683</v>
      </c>
      <c r="J13" s="4"/>
      <c r="K13" s="4"/>
      <c r="L13" s="4"/>
      <c r="M13" s="4"/>
      <c r="N13" s="4"/>
      <c r="O13" s="4"/>
      <c r="P13" s="4"/>
    </row>
    <row r="14" spans="1:16">
      <c r="A14" s="30" t="s">
        <v>107</v>
      </c>
      <c r="B14" s="5">
        <f>G15-G26+G4</f>
        <v>0.99999999999999978</v>
      </c>
      <c r="F14" s="4"/>
      <c r="G14" s="4"/>
      <c r="H14" s="4"/>
      <c r="J14" s="4"/>
      <c r="K14" s="4"/>
      <c r="L14" s="4"/>
      <c r="M14" s="4"/>
      <c r="N14" s="4"/>
      <c r="O14" s="4"/>
      <c r="P14" s="4"/>
    </row>
    <row r="15" spans="1:16">
      <c r="A15" s="30" t="s">
        <v>108</v>
      </c>
      <c r="B15" s="5">
        <f>G16-G27+G5</f>
        <v>1.1516259366300541</v>
      </c>
      <c r="F15" s="4"/>
      <c r="G15" s="4"/>
      <c r="H15" s="4"/>
      <c r="J15" s="4"/>
      <c r="K15" s="4"/>
      <c r="L15" s="4"/>
      <c r="M15" s="4"/>
      <c r="N15" s="4"/>
      <c r="O15" s="4"/>
      <c r="P15" s="4"/>
    </row>
    <row r="16" spans="1:16">
      <c r="F16" s="4"/>
      <c r="G16" s="4"/>
      <c r="H16" s="4"/>
      <c r="J16" s="4"/>
      <c r="K16" s="4"/>
      <c r="L16" s="4"/>
      <c r="M16" s="4"/>
      <c r="N16" s="4"/>
      <c r="O16" s="4"/>
      <c r="P16" s="4"/>
    </row>
    <row r="17" spans="1:16">
      <c r="J17" s="4"/>
      <c r="K17" s="4"/>
      <c r="L17" s="4"/>
      <c r="M17" s="4"/>
      <c r="N17" s="4"/>
      <c r="O17" s="4"/>
      <c r="P17" s="4"/>
    </row>
    <row r="18" spans="1:16">
      <c r="A18" s="1" t="s">
        <v>151</v>
      </c>
      <c r="J18" s="4"/>
      <c r="K18" s="4"/>
      <c r="L18" s="4"/>
      <c r="M18" s="4"/>
      <c r="N18" s="4"/>
      <c r="O18" s="4"/>
      <c r="P18" s="4"/>
    </row>
    <row r="19" spans="1:16">
      <c r="A19" s="30" t="s">
        <v>107</v>
      </c>
      <c r="B19" s="5">
        <f>(O12-K12)-(O23-K23)+G4</f>
        <v>0.99999999999999978</v>
      </c>
      <c r="F19" s="1" t="s">
        <v>119</v>
      </c>
      <c r="J19" s="4"/>
      <c r="K19" s="4"/>
      <c r="L19" s="4"/>
      <c r="M19" s="4"/>
      <c r="N19" s="4"/>
      <c r="O19" s="4"/>
      <c r="P19" s="4"/>
    </row>
    <row r="20" spans="1:16">
      <c r="A20" s="30" t="s">
        <v>108</v>
      </c>
      <c r="B20" s="5">
        <f>(O13-K13)-(O24-K24)+G5</f>
        <v>1.1516259366300541</v>
      </c>
      <c r="G20" t="s">
        <v>2</v>
      </c>
      <c r="H20" t="s">
        <v>34</v>
      </c>
      <c r="J20" s="25"/>
      <c r="K20" s="4"/>
      <c r="L20" s="4"/>
      <c r="M20" s="4"/>
      <c r="N20" s="25"/>
      <c r="O20" s="4"/>
      <c r="P20" s="4"/>
    </row>
    <row r="21" spans="1:16">
      <c r="F21" t="s">
        <v>116</v>
      </c>
      <c r="G21">
        <f>GEOMEAN($B$4,$C$4)</f>
        <v>0.22360679774997896</v>
      </c>
      <c r="H21">
        <f>LogVariance($B$4,$C$4)</f>
        <v>0.27270459618181209</v>
      </c>
      <c r="J21" s="4"/>
      <c r="K21" s="4"/>
      <c r="L21" s="4"/>
      <c r="M21" s="4"/>
      <c r="N21" s="4"/>
      <c r="O21" s="4"/>
      <c r="P21" s="4"/>
    </row>
    <row r="22" spans="1:16">
      <c r="F22" s="4" t="s">
        <v>118</v>
      </c>
      <c r="G22">
        <f>GEOMEAN($B$6,$C$6)</f>
        <v>6.3245553203367583E-2</v>
      </c>
      <c r="H22">
        <f>LogVariance($B$6,$C$6)</f>
        <v>0.39015207303618948</v>
      </c>
      <c r="J22" s="4"/>
      <c r="K22" s="4"/>
      <c r="L22" s="4"/>
      <c r="M22" s="4"/>
      <c r="N22" s="4"/>
      <c r="O22" s="4"/>
      <c r="P22" s="4"/>
    </row>
    <row r="23" spans="1:16">
      <c r="A23" s="1" t="s">
        <v>194</v>
      </c>
      <c r="F23" t="s">
        <v>112</v>
      </c>
      <c r="G23">
        <f>GEOMEAN($B$7,$C$7)</f>
        <v>2.2360679774997899E-10</v>
      </c>
      <c r="H23">
        <f>LogVariance($B$7,$C$7)</f>
        <v>0.50759954989056688</v>
      </c>
      <c r="J23" s="4"/>
      <c r="K23" s="4"/>
      <c r="L23" s="4"/>
      <c r="M23" s="4"/>
      <c r="N23" s="4"/>
      <c r="O23" s="4"/>
      <c r="P23" s="4"/>
    </row>
    <row r="24" spans="1:16">
      <c r="A24" t="s">
        <v>195</v>
      </c>
      <c r="F24" t="s">
        <v>136</v>
      </c>
      <c r="G24" t="str">
        <f>VLOOKUP(F24,'EV of Far Future'!$K$11:$M$13,2,FALSE)</f>
        <v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4.94065645841247E-324,7.0157321709457E-322,9.29782138908642E-320,1.20568519377835E-317,1.53264982445131E-315,1.90993933581883E-313,2.33326623904459E-311,2.79432910086426E-309,3.2806491718399E-307,3.7758215300495E-305,4.26022970887585E-303,4.71221315115971E-301,5.10960887791222E-299,5.43152374316584E-297,5.66014399522754E-295,5.7823654380354E-293,5.79103698170836E-291,5.68565346211035E-289,5.47240436502245E-287,5.16357191876878E-285,4.77635996733459E-283,4.33130891857596E-281,3.85049964441075E-279,3.35576366518779E-277,2.86709801145338E-275,2.40143674387844E-273,1.97186762828939E-271,1.5873142632501E-269,1.25264267803559E-267,9.69105793106706E-266,7.35013741767971E-264,5.46513132511178E-262,3.98370544834752E-260,2.84679318402095E-258,1.99437724611805E-256,1.36975225120284E-254,9.22275529642641E-253,6.08784995498892E-251,3.93960277477555E-249,2.49934856538991E-247,1.55448948231918E-245,9.47842091906981E-244,5.66594199094782E-242,3.32044952423198E-240,1.90770392839651E-238,1.07452151151795E-236,5.93348748495991E-235,3.21215475704749E-233,1.70480673862373E-231,8.870474835115E-230,4.52493532806601E-228,2.26293698896242E-226,1.10950156046136E-224,5.33309784819796E-223,2.51320655882389E-221,1.16111342736408E-219,5.2592012035776E-218,2.33541712029805E-216,1.01673913519032E-214,4.33966209471951E-213,1.8159524978565E-211,7.44999812612213E-210,2.99648345508882E-208,1.18160573948254E-206,4.56813835166465E-205,1.73146147284903E-203,6.43419676462475E-202,2.34414664552182E-200,8.37307879477678E-199,2.93222025017808E-197,1.00674637305027E-195,3.38888410622036E-194,1.11842694583862E-192,3.61887773877932E-191,1.14803922733502E-189,3.5707318369013E-188,1.08887147378703E-186,3.25548792189593E-185,9.54282301923968E-184,2.74258575545917E-182,7.72800517302684E-181,2.13500911827039E-179,5.7830710960801E-178,1.53583707415306E-176,3.99908797233187E-175,1.02095680565154E-173,2.55555840453166E-172,6.2718800704138E-171,1.50919258231474E-169,3.56064011954044E-168,8.23662992297899E-167,1.86814534476451E-165,4.15444508799748E-164,9.05854165584184E-163,1.93663659789084E-161,4.0596097790003E-160,8.34388881667485E-159,1.68152212060564E-157,3.32267874387655E-156,6.43765483069665E-155,1.22298886440725E-153,2.27811035143333E-152,4.16089209669906E-151,7.45177336867372E-150,1.30856833071228E-148,2.25319561619834E-147,3.80425225057166E-146,6.29810467437522E-145,1.02240484232767E-143,1.62746151212138E-142,2.54024595121165E-141,3.8879483394345E-140,5.83508792811839E-139,8.58734896105024E-138,1.23924808467645E-136,1.75366872019373E-135,2.43349127803042E-134,3.31137089031621E-133,4.41859891568906E-132,5.78179996853134E-131,7.41901672902362E-130,9.33550052063044E-129,1.15196710896377E-127,1.39398178004627E-126,1.65421548892297E-125,1.92507896913476E-124,2.19700025043967E-123,2.45889770843705E-122,2.69887908740926E-121,2.90511227885122E-120,3.06678246754808E-119,3.17502917282375E-118,3.22375053939058E-117,3.21017330679041E-116,3.13511434936289E-115,3.00289945912724E-114,2.82095058314391E-113,2.59909629224987E-112,2.34869453833546E-111,2.08167635243039E-110,1.80962158459935E-109,1.5429639043757E-108,1.29039576381419E-107,1.05851046855679E-106,8.5168410555448E-106,6.72170372992945E-105,5.2036025034779E-104,3.95147719111599E-103,2.9434209382013E-102,2.150750039654E-101,1.54162785454786E-100,1.08399885473147e-99,7.47731438168645e-99,5.05985585476936e-98,3.35903676154333e-97,2.18768196982111e-96,1.39783351465039e-95,8.76269846486899e-95,5.38940841403355e-94,3.25218415547634e-93,1.92553012753377e-92,1.11860661284423e-91,6.37628073126482e-91,3.56641575876134e-90,1.95741509936563e-89,1.05422349284692e-88,5.57178132127642e-88,2.88988362981454e-87,1.47097524351573e-86,7.34824123646221e-86,3.60271025833158e-85,1.7336386264399e-84,8.188175201272e-84,3.79604724272829e-83,1.72746507132455e-82,7.71681418294415e-82,3.38404805218021e-81,1.45688086308262e-80,6.15773042764533e-80,2.5553316816795e-79,1.04117930378715e-78,4.1656034448032e-78,1.63654463705904e-77,6.31392784284929e-77,2.3923154060326e-76,8.90247036699174e-76,3.25389203936969e-75,1.16821968258872e-74,4.12006467663211e-74,1.42748699444908e-73,4.85915251901384e-73,1.62518186732824e-72,5.34109765660123e-72,1.72496976677909e-71,5.47509262590972e-71,1.70804136983973e-70,5.23771060455647e-70,1.57892483782648e-69,4.67950918767121e-69,1.3636455831398e-68,3.9075989245151e-68,1.10121489646136e-67,3.05235905244248e-67,8.32242498080854e-67,2.23236720329016e-66,5.89162436664653e-66,1.53007166286057e-65,3.91066711009822e-65,9.8380428870316e-65,2.43636939549625e-64,5.94036585611136e-64,1.42619594524095e-63,3.37211700989437e-63,7.8531898631839e-63,1.80166145633704e-62,4.07238133102229e-62,9.07062481394699e-62,1.99115723828998e-61,4.30844119236646e-61,9.19069157106344e-61,1.93311248581821e-60,4.00972596629819e-60,8.20330201079252e-60,1.65556755921084e-59,3.2965289147805e-59,6.47717908311159e-59,1.25603218652136e-58,2.40418414276126e-58,4.54310054333897e-58,8.47655535481815e-58,1.56182646613813e-57,2.84220493694322e-57,5.10915532943379e-57,9.07349684808831e-57,1.59217852179125e-56,2.76095126195536e-56,4.73187056644152e-56,8.01622924745324e-56,1.3425342511598e-55,2.22306535570979e-55,3.64001507962699e-55,5.8942642721606e-55,9.44021316725635e-55,1.49557800929833e-54,2.34401159170131e-54,3.63480657214156e-54,5.57725295044028e-54,8.46881654245648e-54,1.27272217438108e-53,1.89320444919951e-53,2.78777922409112e-53,4.06405523032118e-53,5.86602784934762e-53,8.38406110903267e-53,1.18667735642375e-52,1.66349131383971e-52,2.30972095090201e-52,3.17680618692271e-52,4.32867536563333e-52,5.84376856554088e-52,7.81708899035942e-52,1.03621838266581e-51,1.36129305171053e-51,1.77249801908196e-51,2.28766892359472e-51,2.92693550855276e-51,3.71265661456571e-51,4.66924804187787e-51,5.82288653952642e-51,7.20107647078952e-51,8.83207054989137e-51,1.07441423628093e-50,1.29647160889048e-50,1.55193676105666e-50,1.84307204333588e-50,2.17172692816377e-50,2.53921730218584e-50,2.94620660864873e-50,3.39259431585696e-50,3.87741753562918e-50,4.39877140097342e-50,4.95375405702123e-50,5.53844068738998e-50,6.14789054647879e-50,6.77618946994032e-50,7.41652910833123e-50,8.06132179250105e-50,8.70234892509183e-50,9.3309391279016e-50,9.93816992149508e-50,1.05150865286538e-49,1.10529298249455e-49,1.15433650747791e-49,1.19787025776235e-49,1.23521032919328e-49,1.26577554845792e-49,1.28910292896689e-49,1.30485899006684e-49,1.3128469968345e-49,1.31301031552208e-49,1.3054316882512e-49,1.29032803345327e-49,1.26804172457365e-49,1.23902888916495e-49,1.20384449102271e-49,1.16312543794019e-49,1.11757239233248e-49,1.06793073349789e-49,1.01497139077051e-49,9.59472824255502e-50,9.02201611876907e-50,8.43899768407647e-50,7.85268949206663e-50,7.26958713871503e-50,6.69558010404481e-50,6.13588551687166e-50,5.59499713945373e-50,5.07666933022792e-50,4.58392240508298e-50,4.11905683305499e-50,3.68369008776515e-50,3.27880658854317e-50,2.90481527331228e-50,2.56161416776365e-50,2.2486627554878e-50,1.96504046158312e-50,1.70953668962327e-50,1.48070135583994e-50,1.27691078140168e-50,1.09642716819143e-50,9.37448253494913e-51,7.98151072232687e-51,6.7672860450562e-51,5.71422636405477e-51,4.80546325895401e-51,4.0250309272462e-51,3.35799776014064e-51,2.7905492419143e-51,2.31003069597388e-51,1.90496058211499e-51,1.56499065419184e-51,1.28090672190605e-51,1.04453331281811e-51,8.48683335923387e-52,6.87078563565594e-52,5.54273441581162e-52,4.45571119474999e-52,3.56946658461012e-52,2.84971486296426e-52,2.26740530438196e-52,1.79806018374572e-52,1.42116337480791e-52,1.11960733765477e-52,8.79197321309051e-53,6.8821256302703e-53,5.37020651646615e-53,4.1774170304304e-53,3.23958382751266e-53,2.50467297059745e-53,1.93067383641157e-53,1.48381004222688e-53,1.13703655020047e-53,8.6878487110175e-54,6.6192154624561e-54,5.02888517520094e-54,3.80997459523831e-54,2.87853523348879e-54,2.16887133854455e-54,1.62975437645269e-54,1.2213768508353e-54,9.12912333994874e-55,6.80569801335954e-55,5.06048874637459e-55,3.75318557743699e-55,2.77655704508354e-55,2.04891026790425e-55,1.50820168571304e-55,1.10745473909388e-55,8.11207817742516e-56,5.92770928136799e-56,4.32114550779765e-56,3.14250703086735e-56,2.27995718424825e-56,1.65027923087824e-56,1.19172289586966e-56,8.58591524767053e-57,6.17159336138452e-57,4.4260152754848e-57,3.16693035067994e-57,2.26088680496444e-57,1.61041629134157e-57,1.14451234975601e-57,8.11576419352851e-58,5.74206698515186e-58,4.05359136900213e-58,2.85527041212653e-58,2.00674646535144e-58,1.40727157542867e-58,9.84703318529596e-59,6.87506292318168e-59,4.78953397024272e-59,3.32932718096701e-59,2.30923164974043e-59,1.59818610711338e-59,1.10366408513389e-59,7.60496013757461e-60,5.22887309972692e-60,3.58732686609692e-60,2.45576022633918e-60,1.67746526538315e-60,1.37508056267795e-60,5.92239199994788e-61,6.17793380194961e-61,2.85218760026614e-61,2.41419032411663e-61,1.62768646741546e-61,1.09501242442412e-61,7.3505039708984e-62,4.92336326335059e-62,3.29059102835475e-62,2.19445632882529e-62,1.94836888477075e-62,5.79202424688591e-63,8.60567368374464e-63,2.50215564235859e-63,3.73013809550585e-63,1.1015486055178e-63,1.59342141227704e-63,4.88180449342526e-64,5.19148555394109e-64,3.38762806287502e-64,2.20571445835432e-64,1.43304190961916e-64,9.2901110753818e-65,6.00950223334685e-65,3.87890005276476e-65,3.4695870677721e-65,8.28431491394584e-66,1.43054387740681e-65,3.37969145798706e-66,5.83714285498557e-66,1.37470946053999e-66,2.34829561532833e-66,5.64576818022701e-67,6.83876572397828e-67,4.31905822126973e-67,2.72178695806509e-67,1.71148580987009e-67,1.0738568369863e-67,6.72316145256109e-68,4.20005144273685e-68,3.68406344508367e-68,7.75712551409037e-69,1.42302268627021e-68,2.96061233528388e-69,5.43891950465139e-69,1.12807313551439e-69,2.05347158381379e-69,4.31941983623208e-70,5.51840935667653e-70,3.37314380622079e-70,2.05735752219899e-70,1.25209897467703e-70,7.60363960074095e-71,4.60742595527755e-71,2.78579514520149e-71,2.45170967131893e-71,3.94999375428318e-72,8.85373327639782e-72,1.42218397223158e-72,3.16957833093666e-72,5.07611026386556e-73,1.12049219002555e-72,1.8309195401734e-73,2.72769151683933e-73,1.61371108681577e-73,9.52599352982623e-74,5.61110959395173e-74,3.29792814958247e-74,1.93413862189034e-74,1.13184765081578e-74,1.02054769486486e-74,9.73695468672084e-76,3.45174008248893e-75,3.28398893237578e-76,1.15733907796993e-75,1.09798420697394e-76,3.82907575979879e-76,3.78108914807921e-77,8.258856937583e-77,4.72889860445055e-77,2.70180517192666e-77,1.54028832249241e-77,8.76201484403271e-78,4.97347470855224e-78,2.81688949617761e-78,2.58056497324634e-78,1.06862408681165e-79,8.1748644821224e-79,3.37615620450539e-80,2.5752775456059e-79,9.92981322087254e-81,7.99218506947015e-80,3.28295764876215e-81,2.35566550378662e-80,1.89727999189219e-81,4.6939721509282e-81,2.58998954389402e-81,1.4259670156644e-81,7.83384394496899e-82,4.29431916087291e-82,2.34891709459244e-82,1.28202066357453e-82,1.15563738015403e-82,1.34580426823174e-84,3.39936755913693e-83,3.94833820817758e-85,9.89936901509866e-84,1.25506648717058e-85,2.79246807260586e-84,9.15558262540492e-86,4.99539185324569e-85,2.6676974014371e-85,1.42153493438086e-85,7.55844530882832e-86,4.01015703533954e-86,2.12297192573221e-86,1.12145303135412e-86,9.76830647150909e-87,2.32448468834096e-89,2.69163806242118e-87,6.38819455936994e-90,7.34974363699192e-88,1.9566237938689e-90,1.98649547784032e-88,8.28074076322362e-91,3.25642539934476e-89,1.68312991304659e-89,8.68056733230258e-90,4.46717070342219e-90,2.29388136559622e-90,1.17533948155126e-90,6.00910321003443e-91,5.01419954844146e-91,1.59087265441609e-94,1.29428464734492e-91,4.09548991279979e-95,3.3118892773499e-92,1.04518259969598e-95,8.39772449440902e-93,5.39854523082929e-96,1.30033486597049e-93,6.5049088034884e-94,3.24699173936654e-94,1.61724241092475e-94,8.03753776662675e-95,3.98588622631213e-95,1.97233524734497e-95,1.57353885853392e-95,3.96191433397257E-100,3.80486162255767e-96,9.55420429818324E-101,9.12048786702793e-97,2.28401963400601E-101,2.16720248438095e-97,1.16366482086657E-101,3.18061993828488e-98,1.53995234507297e-98,7.43972277044757e-99,3.58641209287985e-99,1.72511318532971e-99,8.27997385660072E-100,3.96546666250501E-100,3.02454222334145E-100,3.72767198141566E-106,6.85100936436977E-101,7.98942054921546E-107,1.53839264666096E-101,1.88569061396844E-107,3.42450116610118E-102,6.30773247326315E-108,4.76552596464513E-103,2.23313945159653E-103,1.0441786633709E-103,4.87178093860644E-104,2.26806060769094E-104,1.05359942802371E-104,4.88371557916246E-105,3.56188966204719E-105,1.3692545878316E-112,7.55803208898069E-106,2.85830898571011E-113,1.5898449704072E-106,5.99587377936663E-114,3.31526756648244E-107,2.01846055701834E-114,4.3737342927379E-108,1.98365846208691E-108,8.97708566155762E-109,4.0537578815144E-109,1.82656112143384E-109,8.21229571442575E-110,3.68424850519373E-110,2.57010404906501E-110,1.96962471472464E-119,5.10872169415468E-111,3.89872595323463E-120,1.00668023647044E-111,7.66099211408729E-121,1.96647575932749E-112,2.57405875639965E-121,2.45887495769799E-113,1.0793454046853E-113,4.72757488069657E-114,2.06619046297627E-114,9.01065279468553E-115,3.92099352308749E-115,1.70251113490688E-115,1.13623987293911E-115,1.08848817502991E-126,2.11575171505312E-116,2.02098902499148E-127,3.90550428915778E-117,3.72001987523995E-128,7.14672836363966E-118,6.78840322039178E-129,8.46765166930023E-119,3.59746424927632E-119,1.52504955456948E-119,6.45097548433377E-120,2.72283167250228E-120,1.14675373339362E-120,4.81918388880572E-121,3.07777900063937E-121,2.28362667101375E-134,5.36865020269218E-122,3.97200278354172E-135,9.28347360254152E-123,6.84872689470662E-136,1.59137901023006E-123,1.1706488239322E-136,1.78620794564138E-124,7.34471619181309E-125,3.01350549240364E-125,1.23373794600864E-125,5.0399685256297E-126,2.0544079771438E-126,8.35602109678182E-127,5.10801162112831E-127,1.81335979436824E-142,8.34665397764414E-128,2.95452329756332E-143,1.35204344109981E-128,2.26344019295042E-144,2.17113376942565E-129,7.64085382819858E-145,3.45621075148424E-130,8.8955312883262E-144,3.64756055992092E-131,1.44531645042924E-131,5.71448828957221E-132,2.25447651179956E-132,8.87499361993641E-133,5.19412347894157E-133,5.44226661422234E-151,7.95070265194014E-134,3.69373667173662E-152,1.20646974773988E-134,5.58861552892616E-153,1.81486799346433E-135,1.88492780108442E-153,2.70639588449594E-136,4.46604579873713E-153,2.70442864432361E-137,1.03715928893974E-137,3.96889273886231E-138,1.51546960178879E-138,5.77403036514361E-139,3.23606685464159E-139,6.1665863330136E-160,4.64027033827622E-140,3.67533420490474E-161,6.59609258547366E-141,5.2089973609812E-162,9.29496721951524E-142,1.75556421230845E-162,1.29845420963323E-142,1.37105824790903E-162,1.22826205535972E-143,4.55900920441966E-144,1.68851090287197E-144,6.24009549776395E-145,2.30108451371811E-145,1.23528270497984E-145,2.63575677654967E-169,1.65929863954203E-146,1.3793650283554E-170,2.20953250136655E-147,1.831283198478E-171,2.91671415626676E-148,2.41017000555822E-172,3.81684900850009E-149,2.04164533159771E-172,3.41703192091918E-150,1.22754654687848E-150,4.40028563490277E-151,1.57390217316318E-151,5.6173122797443E-152,2.88906758634965E-152,4.24676804180966E-179,3.63536594512201E-153,1.95127420270743E-180,4.53477962319774E-154,2.42668609607082E-181,5.6076623327058E-155,2.99174633212949E-182,6.87424704754563E-156,2.70232897803732E-182,5.8230367168654E-157,2.02464069148823E-157,7.02425647221634E-158,2.43168169826703E-158,8.39976350328637E-159,4.13990410114271E-159,2.57783942128617E-189,4.87992092482673E-160,1.03985257316545E-190,5.70233706717776E-161,1.21139581428163E-191,6.60557425723072E-162,1.39899522806378E-192,7.5855288388898E-163,4.66600054706503E-193,6.07844530827218E-164,2.04550452924699E-164,6.86850698352E-165,2.30132634646226E-165,7.69392664576696E-166,3.63465205986321E-166,5.89238191186044E-200,4.01344437082795E-167,2.08659471460593E-201,4.39328347141525E-168,2.27704388000458E-202,4.76736908678641E-169,2.46331846985127E-203,5.12844725485885E-170,8.21212985542867E-204,3.88667288482627E-171,1.26588840533984E-171,4.11402399333851E-172,1.33411167575113E-172,4.31689530818375E-173,1.95512308625568E-173,1.52831053466437E-211,2.0223682436978E-174,1.57597032640141E-212,2.07378591690336E-175,1.61101777355352E-213,2.10807060242974E-176,1.63255752898797E-214,2.12433951382282E-177,1.64003275899766E-215,1.52232002355028E-178,4.7988026591747E-179,1.5094328191034E-179,4.73749377975223E-180,1.48367057522211E-180,6.44351369873402E-181,4.63663240013597E-223,6.24367719380683E-182,4.47876312542373E-224,5.99757452852007E-183,4.28873674370872E-225,5.71121341469111E-184,4.07114480562621E-226,5.39136388446755E-185,3.83106550519016E-227,3.65238391382418E-186,1.11432750879927E-186,3.39237027371847E-187,1.03049909028062E-187,3.12353188161402E-188,1.30109038673063E-188,5.2914077148894E-235,1.18101802544823E-189,4.78790641880248E-236,</v>
      </c>
      <c r="H24" t="str">
        <f>VLOOKUP(F24,'EV of Far Future'!$K$11:$M$13,3,FALSE)</f>
        <v>sum</v>
      </c>
      <c r="J24" s="4"/>
      <c r="K24" s="4"/>
      <c r="L24" s="4"/>
      <c r="M24" s="4"/>
      <c r="N24" s="4"/>
      <c r="O24" s="4"/>
      <c r="P24" s="4"/>
    </row>
    <row r="25" spans="1:16">
      <c r="F25" s="28" t="s">
        <v>60</v>
      </c>
      <c r="G25" s="26">
        <f>PRODUCT(G21:G24)</f>
        <v>3.1622776601683794E-12</v>
      </c>
      <c r="H25" s="26">
        <f>SUM(H21:H24)</f>
        <v>1.1704562191085683</v>
      </c>
    </row>
    <row r="26" spans="1:16">
      <c r="F26" s="33" t="s">
        <v>99</v>
      </c>
      <c r="G26" s="34"/>
    </row>
    <row r="27" spans="1:16">
      <c r="F27" s="33" t="s">
        <v>110</v>
      </c>
      <c r="G27" s="3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61"/>
  <sheetViews>
    <sheetView tabSelected="1" workbookViewId="0">
      <selection activeCell="E39" sqref="E39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8" max="8" width="12.83203125" bestFit="1" customWidth="1"/>
    <col min="13" max="13" width="12.83203125" bestFit="1" customWidth="1"/>
  </cols>
  <sheetData>
    <row r="1" spans="1:14" ht="20">
      <c r="A1" s="7" t="s">
        <v>160</v>
      </c>
      <c r="G1" s="1" t="s">
        <v>81</v>
      </c>
      <c r="L1" s="25" t="s">
        <v>82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154</v>
      </c>
      <c r="B3" s="15">
        <v>0.7</v>
      </c>
      <c r="C3" s="27">
        <v>13</v>
      </c>
      <c r="F3" s="8" t="s">
        <v>158</v>
      </c>
      <c r="G3" t="s">
        <v>86</v>
      </c>
      <c r="H3">
        <f>D5</f>
        <v>3016.620625799671</v>
      </c>
      <c r="I3">
        <f>E5</f>
        <v>0.49504262895320128</v>
      </c>
      <c r="L3" s="4" t="s">
        <v>80</v>
      </c>
      <c r="M3">
        <f>VLOOKUP($L3,'EV of Far Future'!$O$3:$P$10,2,FALSE)</f>
        <v>0.16799999999999998</v>
      </c>
      <c r="N3">
        <v>0</v>
      </c>
    </row>
    <row r="4" spans="1:14">
      <c r="A4" s="29" t="s">
        <v>241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F4" t="s">
        <v>242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88</v>
      </c>
      <c r="M4">
        <v>1</v>
      </c>
      <c r="N4">
        <v>0</v>
      </c>
    </row>
    <row r="5" spans="1:14">
      <c r="A5" t="s">
        <v>86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72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85</v>
      </c>
      <c r="D6">
        <f>PRODUCT(D4:D5)</f>
        <v>10449.880382090505</v>
      </c>
      <c r="E6">
        <f>SUM(E4:E5)</f>
        <v>0.54378773604345199</v>
      </c>
      <c r="G6" s="33" t="s">
        <v>99</v>
      </c>
      <c r="H6" s="34">
        <f>ParetoPosterior(median,alpha,H5:I5)</f>
        <v>61.184929894216673</v>
      </c>
      <c r="L6" s="4" t="s">
        <v>84</v>
      </c>
      <c r="M6">
        <f>1/factory_farmed_animals</f>
        <v>5.0000000000000002E-11</v>
      </c>
      <c r="N6">
        <v>0</v>
      </c>
    </row>
    <row r="7" spans="1:14">
      <c r="A7" s="29" t="s">
        <v>132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133</v>
      </c>
      <c r="G7" s="33" t="s">
        <v>87</v>
      </c>
      <c r="H7" s="35">
        <f>LognormPosterior(mu_factory_farming,sigma_factory_farming,H5:I5)</f>
        <v>43.271731973970823</v>
      </c>
      <c r="I7" t="s">
        <v>231</v>
      </c>
      <c r="L7" s="4" t="s">
        <v>121</v>
      </c>
      <c r="M7">
        <f>$D$8</f>
        <v>626.99282292543035</v>
      </c>
      <c r="N7">
        <f>$E$8</f>
        <v>0.54378773604345199</v>
      </c>
    </row>
    <row r="8" spans="1:14">
      <c r="A8" t="s">
        <v>121</v>
      </c>
      <c r="D8">
        <f>D6*(interest_rate+D7)</f>
        <v>626.99282292543035</v>
      </c>
      <c r="E8">
        <f>E6+E7</f>
        <v>0.54378773604345199</v>
      </c>
      <c r="H8" s="38"/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3" t="s">
        <v>99</v>
      </c>
      <c r="M9" s="34">
        <f>ParetoPosterior(median,alpha,M8:N8)</f>
        <v>551196598527138.81</v>
      </c>
    </row>
    <row r="10" spans="1:14">
      <c r="L10" s="33" t="s">
        <v>87</v>
      </c>
      <c r="M10" s="35">
        <f>LognormPosterior(mu_factory_farming,sigma_factory_farming,M8:N8)</f>
        <v>829.78600845562289</v>
      </c>
      <c r="N10" s="38" t="s">
        <v>232</v>
      </c>
    </row>
    <row r="11" spans="1:14" ht="20">
      <c r="A11" s="7" t="s">
        <v>67</v>
      </c>
      <c r="M11" s="39"/>
      <c r="N11" s="3"/>
    </row>
    <row r="12" spans="1:14">
      <c r="A12" s="1" t="s">
        <v>149</v>
      </c>
      <c r="B12" t="s">
        <v>2</v>
      </c>
      <c r="C12" t="s">
        <v>34</v>
      </c>
      <c r="M12" s="3"/>
    </row>
    <row r="13" spans="1:14">
      <c r="A13" t="s">
        <v>235</v>
      </c>
      <c r="B13">
        <f>H5</f>
        <v>4524.9309386995064</v>
      </c>
      <c r="C13">
        <f>I5</f>
        <v>0.59504262895320126</v>
      </c>
      <c r="G13" s="1" t="s">
        <v>90</v>
      </c>
      <c r="L13" s="1" t="s">
        <v>104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1.4044639233529639E+28</v>
      </c>
      <c r="C15">
        <f>I20</f>
        <v>4.0650043203329673</v>
      </c>
      <c r="G15" t="s">
        <v>92</v>
      </c>
      <c r="H15">
        <f>VLOOKUP($G15,'EV of Far Future'!$O$3:$P$10,2,FALSE)</f>
        <v>0.22399999999999998</v>
      </c>
      <c r="I15">
        <v>0</v>
      </c>
      <c r="L15" t="s">
        <v>92</v>
      </c>
      <c r="M15">
        <f>VLOOKUP($G15,'EV of Far Future'!$O$3:$P$10,2,FALSE)</f>
        <v>0.22399999999999998</v>
      </c>
      <c r="N15">
        <v>0</v>
      </c>
    </row>
    <row r="16" spans="1:14">
      <c r="B16">
        <f>H30</f>
        <v>2.2206524446657558E+31</v>
      </c>
      <c r="C16">
        <f>I30</f>
        <v>4.5551563933691579</v>
      </c>
      <c r="G16" s="4" t="s">
        <v>88</v>
      </c>
      <c r="H16" s="2">
        <v>0.1</v>
      </c>
      <c r="I16">
        <v>0</v>
      </c>
      <c r="J16" t="s">
        <v>89</v>
      </c>
      <c r="L16" s="4" t="s">
        <v>105</v>
      </c>
      <c r="M16" s="2">
        <v>0.04</v>
      </c>
      <c r="N16">
        <v>0</v>
      </c>
    </row>
    <row r="17" spans="1:14">
      <c r="B17">
        <f>H40</f>
        <v>1.0533479425147227E+30</v>
      </c>
      <c r="C17">
        <f>I40</f>
        <v>5.7256126124777253</v>
      </c>
      <c r="G17" s="4" t="s">
        <v>74</v>
      </c>
      <c r="H17">
        <f>VLOOKUP($G17,'EV of Far Future'!$K$3:$N$10,2,FALSE)</f>
        <v>1.9999999999999997E+37</v>
      </c>
      <c r="I17">
        <f>VLOOKUP($G17,'EV of Far Future'!$K$3:$N$10,3,FALSE)</f>
        <v>3.5212165842895158</v>
      </c>
      <c r="L17" s="4" t="s">
        <v>74</v>
      </c>
      <c r="M17">
        <f>VLOOKUP($G17,'EV of Far Future'!$K$3:$N$10,2,FALSE)</f>
        <v>1.9999999999999997E+37</v>
      </c>
      <c r="N17">
        <f>VLOOKUP($G17,'EV of Far Future'!$K$3:$N$10,3,FALSE)</f>
        <v>3.5212165842895158</v>
      </c>
    </row>
    <row r="18" spans="1:14">
      <c r="A18" t="s">
        <v>236</v>
      </c>
      <c r="G18" s="4" t="s">
        <v>84</v>
      </c>
      <c r="H18">
        <f>1/factory_farmed_animals</f>
        <v>5.0000000000000002E-11</v>
      </c>
      <c r="I18">
        <v>0</v>
      </c>
      <c r="L18" s="4" t="s">
        <v>84</v>
      </c>
      <c r="M18">
        <f>1/factory_farmed_animals</f>
        <v>5.0000000000000002E-11</v>
      </c>
      <c r="N18">
        <v>0</v>
      </c>
    </row>
    <row r="19" spans="1:14">
      <c r="G19" s="4" t="s">
        <v>121</v>
      </c>
      <c r="H19">
        <f>$D$8</f>
        <v>626.99282292543035</v>
      </c>
      <c r="I19">
        <f>$E$8</f>
        <v>0.54378773604345199</v>
      </c>
      <c r="L19" s="4" t="s">
        <v>121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1.4044639233529639E+28</v>
      </c>
      <c r="I20" s="26">
        <f>SUM(I15:I19)</f>
        <v>4.0650043203329673</v>
      </c>
      <c r="L20" s="28" t="s">
        <v>60</v>
      </c>
      <c r="M20" s="26">
        <f>-PRODUCT(M15:M19)</f>
        <v>-5.617855693411855E+27</v>
      </c>
      <c r="N20" s="26">
        <f>SUM(N15:N19)</f>
        <v>4.0650043203329673</v>
      </c>
    </row>
    <row r="21" spans="1:14">
      <c r="G21" s="4"/>
      <c r="H21" s="4"/>
      <c r="L21" s="4"/>
      <c r="M21" s="4"/>
    </row>
    <row r="22" spans="1:14">
      <c r="A22" s="30" t="s">
        <v>107</v>
      </c>
      <c r="B22" s="5"/>
      <c r="G22" s="4"/>
      <c r="H22" s="38"/>
      <c r="L22" s="4"/>
      <c r="M22" s="38"/>
    </row>
    <row r="23" spans="1:14">
      <c r="A23" s="30" t="s">
        <v>108</v>
      </c>
      <c r="B23" s="5">
        <f>LognormPosterior(mu_factory_farming,sigma_factory_farming,B14:C17)</f>
        <v>35040380.662418753</v>
      </c>
      <c r="G23" s="1" t="s">
        <v>103</v>
      </c>
      <c r="L23" s="1" t="s">
        <v>106</v>
      </c>
    </row>
    <row r="24" spans="1:14">
      <c r="B24" s="5">
        <f>LognormPosterior(mu_factory_farming,sigma_factory_farming,B15:C15)</f>
        <v>468.5013695023278</v>
      </c>
      <c r="H24" t="s">
        <v>2</v>
      </c>
      <c r="I24" t="s">
        <v>34</v>
      </c>
      <c r="M24" t="s">
        <v>2</v>
      </c>
      <c r="N24" t="s">
        <v>34</v>
      </c>
    </row>
    <row r="25" spans="1:14">
      <c r="B25" s="5">
        <f>LognormPosterior(mu_factory_farming,sigma_factory_farming,B16:C16)</f>
        <v>478.64538817778464</v>
      </c>
      <c r="G25" t="s">
        <v>93</v>
      </c>
      <c r="H25">
        <f>VLOOKUP($G25,'EV of Far Future'!$O$3:$P$10,2,FALSE)</f>
        <v>0.22399999999999998</v>
      </c>
      <c r="I25">
        <v>0</v>
      </c>
      <c r="L25" t="s">
        <v>93</v>
      </c>
      <c r="M25">
        <f>VLOOKUP($G25,'EV of Far Future'!$O$3:$P$10,2,FALSE)</f>
        <v>0.22399999999999998</v>
      </c>
      <c r="N25">
        <v>0</v>
      </c>
    </row>
    <row r="26" spans="1:14">
      <c r="B26" s="5">
        <f>LognormPosterior(mu_factory_farming,sigma_factory_farming,B17:C17)</f>
        <v>146.54129857110692</v>
      </c>
      <c r="C26" s="4"/>
      <c r="D26" s="4"/>
      <c r="G26" s="4" t="s">
        <v>88</v>
      </c>
      <c r="H26" s="2">
        <v>0.05</v>
      </c>
      <c r="I26">
        <v>0</v>
      </c>
      <c r="L26" s="4" t="s">
        <v>105</v>
      </c>
      <c r="M26" s="2">
        <v>0.01</v>
      </c>
      <c r="N26">
        <v>0</v>
      </c>
    </row>
    <row r="27" spans="1:14">
      <c r="B27" s="5"/>
      <c r="D27" s="4"/>
      <c r="G27" s="4" t="s">
        <v>75</v>
      </c>
      <c r="H27">
        <f>VLOOKUP($G27,'EV of Far Future'!$K$3:$N$10,2,FALSE)</f>
        <v>6.324555320336757E+40</v>
      </c>
      <c r="I27">
        <f>VLOOKUP($G27,'EV of Far Future'!$K$3:$N$10,3,FALSE)</f>
        <v>4.0113686573257059</v>
      </c>
      <c r="L27" s="4" t="s">
        <v>75</v>
      </c>
      <c r="M27">
        <f>VLOOKUP($G27,'EV of Far Future'!$K$3:$N$10,2,FALSE)</f>
        <v>6.324555320336757E+40</v>
      </c>
      <c r="N27">
        <f>VLOOKUP($G27,'EV of Far Future'!$K$3:$N$10,3,FALSE)</f>
        <v>4.0113686573257059</v>
      </c>
    </row>
    <row r="28" spans="1:14">
      <c r="B28" s="4"/>
      <c r="D28" s="4"/>
      <c r="G28" s="4" t="s">
        <v>84</v>
      </c>
      <c r="H28">
        <f>1/factory_farmed_animals</f>
        <v>5.0000000000000002E-11</v>
      </c>
      <c r="I28">
        <v>0</v>
      </c>
      <c r="L28" s="4" t="s">
        <v>84</v>
      </c>
      <c r="M28">
        <f>1/factory_farmed_animals</f>
        <v>5.0000000000000002E-11</v>
      </c>
      <c r="N28">
        <v>0</v>
      </c>
    </row>
    <row r="29" spans="1:14">
      <c r="D29" s="4"/>
      <c r="G29" s="4" t="s">
        <v>121</v>
      </c>
      <c r="H29">
        <f>$D$8</f>
        <v>626.99282292543035</v>
      </c>
      <c r="I29">
        <f>$E$8</f>
        <v>0.54378773604345199</v>
      </c>
      <c r="L29" s="4" t="s">
        <v>121</v>
      </c>
      <c r="M29">
        <f>$D$8</f>
        <v>626.99282292543035</v>
      </c>
      <c r="N29">
        <f>$E$8</f>
        <v>0.54378773604345199</v>
      </c>
    </row>
    <row r="30" spans="1:14">
      <c r="A30" s="25"/>
      <c r="B30" s="4"/>
      <c r="G30" s="28" t="s">
        <v>60</v>
      </c>
      <c r="H30" s="26">
        <f>PRODUCT(H25:H29)</f>
        <v>2.2206524446657558E+31</v>
      </c>
      <c r="I30" s="26">
        <f>SUM(I25:I29)</f>
        <v>4.5551563933691579</v>
      </c>
      <c r="L30" s="28" t="s">
        <v>60</v>
      </c>
      <c r="M30" s="26">
        <f>-PRODUCT(M25:M29)</f>
        <v>-4.4413048893315115E+30</v>
      </c>
      <c r="N30" s="26">
        <f>SUM(N25:N29)</f>
        <v>4.5551563933691579</v>
      </c>
    </row>
    <row r="31" spans="1:14">
      <c r="A31" s="4"/>
      <c r="B31" s="4"/>
      <c r="G31" s="4"/>
      <c r="H31" s="4"/>
      <c r="L31" s="4"/>
      <c r="M31" s="4"/>
    </row>
    <row r="32" spans="1:14">
      <c r="A32" s="4"/>
      <c r="B32" s="4"/>
      <c r="G32" s="4"/>
      <c r="H32" s="38"/>
      <c r="L32" s="4"/>
      <c r="M32" s="38"/>
    </row>
    <row r="33" spans="7:14">
      <c r="G33" s="1" t="s">
        <v>98</v>
      </c>
      <c r="L33" s="1" t="s">
        <v>192</v>
      </c>
    </row>
    <row r="34" spans="7:14">
      <c r="H34" t="s">
        <v>2</v>
      </c>
      <c r="I34" t="s">
        <v>34</v>
      </c>
      <c r="M34" t="s">
        <v>2</v>
      </c>
      <c r="N34" t="s">
        <v>34</v>
      </c>
    </row>
    <row r="35" spans="7:14">
      <c r="G35" t="s">
        <v>94</v>
      </c>
      <c r="H35">
        <f>VLOOKUP($G35,'EV of Far Future'!$O$3:$P$10,2,FALSE)</f>
        <v>0.16799999999999998</v>
      </c>
      <c r="I35">
        <v>0</v>
      </c>
      <c r="L35" t="s">
        <v>94</v>
      </c>
      <c r="M35">
        <f>VLOOKUP($G35,'EV of Far Future'!$O$3:$P$10,2,FALSE)</f>
        <v>0.16799999999999998</v>
      </c>
      <c r="N35">
        <v>0</v>
      </c>
    </row>
    <row r="36" spans="7:14">
      <c r="G36" s="4" t="s">
        <v>88</v>
      </c>
      <c r="H36" s="2">
        <v>0.1</v>
      </c>
      <c r="I36">
        <v>0</v>
      </c>
      <c r="L36" s="4" t="s">
        <v>105</v>
      </c>
      <c r="M36" s="2">
        <v>0.01</v>
      </c>
      <c r="N36">
        <v>0</v>
      </c>
    </row>
    <row r="37" spans="7:14">
      <c r="G37" s="4" t="s">
        <v>76</v>
      </c>
      <c r="H37">
        <f>VLOOKUP($G37,'EV of Far Future'!$K$3:$N$10,2,FALSE)</f>
        <v>1.9999999999999993E+39</v>
      </c>
      <c r="I37">
        <f>VLOOKUP($G37,'EV of Far Future'!$K$3:$N$10,3,FALSE)</f>
        <v>5.1818248764342734</v>
      </c>
      <c r="L37" s="4" t="s">
        <v>76</v>
      </c>
      <c r="M37">
        <f>VLOOKUP($G37,'EV of Far Future'!$K$3:$N$10,2,FALSE)</f>
        <v>1.9999999999999993E+39</v>
      </c>
      <c r="N37">
        <f>VLOOKUP($G37,'EV of Far Future'!$K$3:$N$10,3,FALSE)</f>
        <v>5.1818248764342734</v>
      </c>
    </row>
    <row r="38" spans="7:14">
      <c r="G38" s="4" t="s">
        <v>84</v>
      </c>
      <c r="H38">
        <f>1/factory_farmed_animals</f>
        <v>5.0000000000000002E-11</v>
      </c>
      <c r="I38">
        <v>0</v>
      </c>
      <c r="L38" s="4" t="s">
        <v>84</v>
      </c>
      <c r="M38">
        <f>1/factory_farmed_animals</f>
        <v>5.0000000000000002E-11</v>
      </c>
      <c r="N38">
        <v>0</v>
      </c>
    </row>
    <row r="39" spans="7:14">
      <c r="G39" s="4" t="s">
        <v>121</v>
      </c>
      <c r="H39">
        <f>$D$8</f>
        <v>626.99282292543035</v>
      </c>
      <c r="I39">
        <f>$E$8</f>
        <v>0.54378773604345199</v>
      </c>
      <c r="L39" s="4" t="s">
        <v>121</v>
      </c>
      <c r="M39">
        <f>$D$8</f>
        <v>626.99282292543035</v>
      </c>
      <c r="N39">
        <f>$E$8</f>
        <v>0.54378773604345199</v>
      </c>
    </row>
    <row r="40" spans="7:14">
      <c r="G40" s="28" t="s">
        <v>60</v>
      </c>
      <c r="H40" s="26">
        <f>PRODUCT(H35:H39)</f>
        <v>1.0533479425147227E+30</v>
      </c>
      <c r="I40" s="26">
        <f>SUM(I35:I39)</f>
        <v>5.7256126124777253</v>
      </c>
      <c r="L40" s="28" t="s">
        <v>60</v>
      </c>
      <c r="M40" s="26">
        <f>-PRODUCT(M35:M39)</f>
        <v>-1.0533479425147224E+29</v>
      </c>
      <c r="N40" s="26">
        <f>SUM(N35:N39)</f>
        <v>5.7256126124777253</v>
      </c>
    </row>
    <row r="45" spans="7:14">
      <c r="G45" s="4"/>
      <c r="H45" s="4"/>
      <c r="L45" s="4"/>
      <c r="M45" s="4"/>
    </row>
    <row r="46" spans="7:14">
      <c r="G46" s="4"/>
      <c r="H46" s="38"/>
      <c r="L46" s="4"/>
      <c r="M46" s="38"/>
    </row>
    <row r="47" spans="7:14">
      <c r="H47" s="39"/>
      <c r="M47" s="39"/>
    </row>
    <row r="48" spans="7:14">
      <c r="M48" s="3"/>
    </row>
    <row r="50" spans="6:16">
      <c r="I50" s="3"/>
    </row>
    <row r="52" spans="6:16">
      <c r="F52">
        <v>4000</v>
      </c>
      <c r="G52">
        <v>1</v>
      </c>
      <c r="H52">
        <f>LognormPosterior(mu_factory_farming,sigma_factory_farming,F52:G52)</f>
        <v>18.123429287799862</v>
      </c>
      <c r="I52">
        <v>11</v>
      </c>
      <c r="J52">
        <v>0.5</v>
      </c>
      <c r="K52">
        <f>LognormPosterior(mu_factory_farming,sigma_factory_farming,I52:J52)</f>
        <v>4.7522582040534349</v>
      </c>
      <c r="M52">
        <v>4000</v>
      </c>
      <c r="N52">
        <v>1</v>
      </c>
      <c r="O52">
        <f>LognormPosterior(mu_factory_farming,sigma_factory_farming,M52:N52)</f>
        <v>18.123429287799862</v>
      </c>
    </row>
    <row r="53" spans="6:16">
      <c r="F53">
        <v>4000</v>
      </c>
      <c r="G53">
        <v>1</v>
      </c>
      <c r="I53" s="43">
        <v>11</v>
      </c>
      <c r="J53">
        <v>0.5</v>
      </c>
      <c r="M53">
        <v>8000</v>
      </c>
      <c r="N53">
        <v>1</v>
      </c>
      <c r="O53">
        <f>LognormPosterior(mu_factory_farming,sigma_factory_farming,M53:N53)</f>
        <v>21.773326661952542</v>
      </c>
      <c r="P53">
        <v>22.06</v>
      </c>
    </row>
    <row r="54" spans="6:16">
      <c r="F54">
        <v>4000</v>
      </c>
      <c r="G54">
        <v>1</v>
      </c>
      <c r="I54" s="43">
        <v>11</v>
      </c>
      <c r="J54">
        <v>0.5</v>
      </c>
      <c r="M54">
        <v>8000</v>
      </c>
      <c r="N54">
        <v>0.56999999999999995</v>
      </c>
      <c r="O54">
        <f>LognormPosterior(mu_factory_farming,sigma_factory_farming,M54:N54)</f>
        <v>58.197010077938451</v>
      </c>
      <c r="P54">
        <v>59.33</v>
      </c>
    </row>
    <row r="55" spans="6:16">
      <c r="F55">
        <v>4000</v>
      </c>
      <c r="G55">
        <v>1</v>
      </c>
      <c r="I55" s="43">
        <v>11</v>
      </c>
      <c r="J55">
        <v>0.5</v>
      </c>
    </row>
    <row r="56" spans="6:16">
      <c r="F56">
        <v>4000</v>
      </c>
      <c r="G56">
        <v>1</v>
      </c>
      <c r="I56" s="43">
        <v>11</v>
      </c>
      <c r="J56">
        <v>0.5</v>
      </c>
    </row>
    <row r="58" spans="6:16">
      <c r="F58">
        <f>LognormPosterior(mu_factory_farming,sigma_factory_farming,F52:G53)</f>
        <v>56.07990555321738</v>
      </c>
      <c r="G58">
        <v>58.93</v>
      </c>
      <c r="I58">
        <f>LognormPosterior(mu_factory_farming,sigma_factory_farming,I52:J53)</f>
        <v>6.0877279886251339</v>
      </c>
      <c r="J58">
        <v>6.0650000000000004</v>
      </c>
    </row>
    <row r="59" spans="6:16">
      <c r="F59">
        <f>LognormPosterior(mu_factory_farming,sigma_factory_farming,F52:G54)</f>
        <v>117.37147209555597</v>
      </c>
      <c r="G59">
        <v>131.93</v>
      </c>
      <c r="I59">
        <f>LognormPosterior(mu_factory_farming,sigma_factory_farming,I52:J54)</f>
        <v>6.966232231326746</v>
      </c>
      <c r="J59">
        <v>7.48</v>
      </c>
    </row>
    <row r="60" spans="6:16">
      <c r="F60">
        <f>LognormPosterior(mu_factory_farming,sigma_factory_farming,F52:G55)</f>
        <v>197.54622330928484</v>
      </c>
      <c r="G60">
        <v>218.87</v>
      </c>
      <c r="I60">
        <f>LognormPosterior(mu_factory_farming,sigma_factory_farming,I52:J55)</f>
        <v>7.5825182888805234</v>
      </c>
      <c r="J60">
        <v>7.9210000000000003</v>
      </c>
    </row>
    <row r="61" spans="6:16">
      <c r="F61">
        <f>LognormPosterior(mu_factory_farming,sigma_factory_farming,F52:G56)</f>
        <v>290.82606144067165</v>
      </c>
      <c r="G61">
        <v>335.84</v>
      </c>
      <c r="I61">
        <f>LognormPosterior(mu_factory_farming,sigma_factory_farming,I52:J56)</f>
        <v>8.0371879937430126</v>
      </c>
      <c r="J61">
        <v>8.7710000000000008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196</v>
      </c>
      <c r="H1" s="7" t="s">
        <v>179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197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201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198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202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199</v>
      </c>
      <c r="B5" s="15">
        <v>10</v>
      </c>
      <c r="C5" s="15">
        <v>10</v>
      </c>
      <c r="H5" t="s">
        <v>205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200</v>
      </c>
      <c r="B6" s="15">
        <v>30000</v>
      </c>
      <c r="C6" s="15">
        <v>60000</v>
      </c>
      <c r="H6" s="28" t="s">
        <v>206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224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207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203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208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171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215</v>
      </c>
      <c r="I9">
        <f>I6*$D$7</f>
        <v>3.9513714693583537E+29</v>
      </c>
      <c r="J9" s="4">
        <f>J6+$E$7</f>
        <v>3.7644418449584185</v>
      </c>
    </row>
    <row r="10" spans="1:12">
      <c r="H10" s="4" t="s">
        <v>217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216</v>
      </c>
      <c r="I11">
        <f t="shared" si="0"/>
        <v>3.9763884829930776E+29</v>
      </c>
      <c r="J11" s="4">
        <f t="shared" si="1"/>
        <v>3.7605045173365723</v>
      </c>
    </row>
    <row r="12" spans="1:12">
      <c r="H12" s="33" t="s">
        <v>204</v>
      </c>
      <c r="I12" s="34" t="e">
        <f>LognormPosterior(mu,sigma,I5,J5)</f>
        <v>#VALUE!</v>
      </c>
    </row>
    <row r="13" spans="1:12">
      <c r="H13" s="33" t="s">
        <v>209</v>
      </c>
      <c r="I13" s="34" t="e">
        <f>LognormPosterior(mu,sigma,I9,J9)</f>
        <v>#VALUE!</v>
      </c>
    </row>
    <row r="14" spans="1:12">
      <c r="H14" s="33" t="s">
        <v>210</v>
      </c>
      <c r="I14" s="34" t="e">
        <f>LognormPosterior(mu,sigma,I10,J10)</f>
        <v>#VALUE!</v>
      </c>
    </row>
    <row r="15" spans="1:12">
      <c r="H15" s="33" t="s">
        <v>211</v>
      </c>
      <c r="I15" s="34" t="e">
        <f>LognormPosterior(mu,sigma,I11,J11)</f>
        <v>#VALUE!</v>
      </c>
    </row>
    <row r="16" spans="1:12">
      <c r="H16" s="30" t="s">
        <v>212</v>
      </c>
      <c r="I16" s="5" t="e">
        <f>I13-$I$12</f>
        <v>#VALUE!</v>
      </c>
    </row>
    <row r="17" spans="8:9">
      <c r="H17" s="30" t="s">
        <v>213</v>
      </c>
      <c r="I17" s="5" t="e">
        <f>I14-$I$12</f>
        <v>#VALUE!</v>
      </c>
    </row>
    <row r="18" spans="8:9">
      <c r="H18" s="30" t="s">
        <v>214</v>
      </c>
      <c r="I18" s="5" t="e">
        <f>I15-$I$12</f>
        <v>#VALUE!</v>
      </c>
    </row>
    <row r="19" spans="8:9">
      <c r="H19" s="4"/>
      <c r="I19" s="37"/>
    </row>
    <row r="20" spans="8:9">
      <c r="H20" s="4"/>
      <c r="I20" s="37"/>
    </row>
    <row r="21" spans="8:9">
      <c r="H21" s="4"/>
      <c r="I21" s="3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C11" sqref="C11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137</v>
      </c>
      <c r="B1" t="s">
        <v>161</v>
      </c>
      <c r="G1" s="1" t="s">
        <v>134</v>
      </c>
      <c r="H1" t="s">
        <v>161</v>
      </c>
      <c r="M1" s="1" t="s">
        <v>141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129</v>
      </c>
      <c r="B3" s="15">
        <v>70000</v>
      </c>
      <c r="C3" s="15">
        <v>150000</v>
      </c>
      <c r="G3" s="29" t="s">
        <v>123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159</v>
      </c>
      <c r="M3" s="4" t="s">
        <v>136</v>
      </c>
      <c r="N3" t="str">
        <f>VLOOKUP(M3,'EV of Far Future'!$K$11:$M$13,2,FALSE)</f>
        <v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4.94065645841247E-324,7.0157321709457E-322,9.29782138908642E-320,1.20568519377835E-317,1.53264982445131E-315,1.90993933581883E-313,2.33326623904459E-311,2.79432910086426E-309,3.2806491718399E-307,3.7758215300495E-305,4.26022970887585E-303,4.71221315115971E-301,5.10960887791222E-299,5.43152374316584E-297,5.66014399522754E-295,5.7823654380354E-293,5.79103698170836E-291,5.68565346211035E-289,5.47240436502245E-287,5.16357191876878E-285,4.77635996733459E-283,4.33130891857596E-281,3.85049964441075E-279,3.35576366518779E-277,2.86709801145338E-275,2.40143674387844E-273,1.97186762828939E-271,1.5873142632501E-269,1.25264267803559E-267,9.69105793106706E-266,7.35013741767971E-264,5.46513132511178E-262,3.98370544834752E-260,2.84679318402095E-258,1.99437724611805E-256,1.36975225120284E-254,9.22275529642641E-253,6.08784995498892E-251,3.93960277477555E-249,2.49934856538991E-247,1.55448948231918E-245,9.47842091906981E-244,5.66594199094782E-242,3.32044952423198E-240,1.90770392839651E-238,1.07452151151795E-236,5.93348748495991E-235,3.21215475704749E-233,1.70480673862373E-231,8.870474835115E-230,4.52493532806601E-228,2.26293698896242E-226,1.10950156046136E-224,5.33309784819796E-223,2.51320655882389E-221,1.16111342736408E-219,5.2592012035776E-218,2.33541712029805E-216,1.01673913519032E-214,4.33966209471951E-213,1.8159524978565E-211,7.44999812612213E-210,2.99648345508882E-208,1.18160573948254E-206,4.56813835166465E-205,1.73146147284903E-203,6.43419676462475E-202,2.34414664552182E-200,8.37307879477678E-199,2.93222025017808E-197,1.00674637305027E-195,3.38888410622036E-194,1.11842694583862E-192,3.61887773877932E-191,1.14803922733502E-189,3.5707318369013E-188,1.08887147378703E-186,3.25548792189593E-185,9.54282301923968E-184,2.74258575545917E-182,7.72800517302684E-181,2.13500911827039E-179,5.7830710960801E-178,1.53583707415306E-176,3.99908797233187E-175,1.02095680565154E-173,2.55555840453166E-172,6.2718800704138E-171,1.50919258231474E-169,3.56064011954044E-168,8.23662992297899E-167,1.86814534476451E-165,4.15444508799748E-164,9.05854165584184E-163,1.93663659789084E-161,4.0596097790003E-160,8.34388881667485E-159,1.68152212060564E-157,3.32267874387655E-156,6.43765483069665E-155,1.22298886440725E-153,2.27811035143333E-152,4.16089209669906E-151,7.45177336867372E-150,1.30856833071228E-148,2.25319561619834E-147,3.80425225057166E-146,6.29810467437522E-145,1.02240484232767E-143,1.62746151212138E-142,2.54024595121165E-141,3.8879483394345E-140,5.83508792811839E-139,8.58734896105024E-138,1.23924808467645E-136,1.75366872019373E-135,2.43349127803042E-134,3.31137089031621E-133,4.41859891568906E-132,5.78179996853134E-131,7.41901672902362E-130,9.33550052063044E-129,1.15196710896377E-127,1.39398178004627E-126,1.65421548892297E-125,1.92507896913476E-124,2.19700025043967E-123,2.45889770843705E-122,2.69887908740926E-121,2.90511227885122E-120,3.06678246754808E-119,3.17502917282375E-118,3.22375053939058E-117,3.21017330679041E-116,3.13511434936289E-115,3.00289945912724E-114,2.82095058314391E-113,2.59909629224987E-112,2.34869453833546E-111,2.08167635243039E-110,1.80962158459935E-109,1.5429639043757E-108,1.29039576381419E-107,1.05851046855679E-106,8.5168410555448E-106,6.72170372992945E-105,5.2036025034779E-104,3.95147719111599E-103,2.9434209382013E-102,2.150750039654E-101,1.54162785454786E-100,1.08399885473147e-99,7.47731438168645e-99,5.05985585476936e-98,3.35903676154333e-97,2.18768196982111e-96,1.39783351465039e-95,8.76269846486899e-95,5.38940841403355e-94,3.25218415547634e-93,1.92553012753377e-92,1.11860661284423e-91,6.37628073126482e-91,3.56641575876134e-90,1.95741509936563e-89,1.05422349284692e-88,5.57178132127642e-88,2.88988362981454e-87,1.47097524351573e-86,7.34824123646221e-86,3.60271025833158e-85,1.7336386264399e-84,8.188175201272e-84,3.79604724272829e-83,1.72746507132455e-82,7.71681418294415e-82,3.38404805218021e-81,1.45688086308262e-80,6.15773042764533e-80,2.5553316816795e-79,1.04117930378715e-78,4.1656034448032e-78,1.63654463705904e-77,6.31392784284929e-77,2.3923154060326e-76,8.90247036699174e-76,3.25389203936969e-75,1.16821968258872e-74,4.12006467663211e-74,1.42748699444908e-73,4.85915251901384e-73,1.62518186732824e-72,5.34109765660123e-72,1.72496976677909e-71,5.47509262590972e-71,1.70804136983973e-70,5.23771060455647e-70,1.57892483782648e-69,4.67950918767121e-69,1.3636455831398e-68,3.9075989245151e-68,1.10121489646136e-67,3.05235905244248e-67,8.32242498080854e-67,2.23236720329016e-66,5.89162436664653e-66,1.53007166286057e-65,3.91066711009822e-65,9.8380428870316e-65,2.43636939549625e-64,5.94036585611136e-64,1.42619594524095e-63,3.37211700989437e-63,7.8531898631839e-63,1.80166145633704e-62,4.07238133102229e-62,9.07062481394699e-62,1.99115723828998e-61,4.30844119236646e-61,9.19069157106344e-61,1.93311248581821e-60,4.00972596629819e-60,8.20330201079252e-60,1.65556755921084e-59,3.2965289147805e-59,6.47717908311159e-59,1.25603218652136e-58,2.40418414276126e-58,4.54310054333897e-58,8.47655535481815e-58,1.56182646613813e-57,2.84220493694322e-57,5.10915532943379e-57,9.07349684808831e-57,1.59217852179125e-56,2.76095126195536e-56,4.73187056644152e-56,8.01622924745324e-56,1.3425342511598e-55,2.22306535570979e-55,3.64001507962699e-55,5.8942642721606e-55,9.44021316725635e-55,1.49557800929833e-54,2.34401159170131e-54,3.63480657214156e-54,5.57725295044028e-54,8.46881654245648e-54,1.27272217438108e-53,1.89320444919951e-53,2.78777922409112e-53,4.06405523032118e-53,5.86602784934762e-53,8.38406110903267e-53,1.18667735642375e-52,1.66349131383971e-52,2.30972095090201e-52,3.17680618692271e-52,4.32867536563333e-52,5.84376856554088e-52,7.81708899035942e-52,1.03621838266581e-51,1.36129305171053e-51,1.77249801908196e-51,2.28766892359472e-51,2.92693550855276e-51,3.71265661456571e-51,4.66924804187787e-51,5.82288653952642e-51,7.20107647078952e-51,8.83207054989137e-51,1.07441423628093e-50,1.29647160889048e-50,1.55193676105666e-50,1.84307204333588e-50,2.17172692816377e-50,2.53921730218584e-50,2.94620660864873e-50,3.39259431585696e-50,3.87741753562918e-50,4.39877140097342e-50,4.95375405702123e-50,5.53844068738998e-50,6.14789054647879e-50,6.77618946994032e-50,7.41652910833123e-50,8.06132179250105e-50,8.70234892509183e-50,9.3309391279016e-50,9.93816992149508e-50,1.05150865286538e-49,1.10529298249455e-49,1.15433650747791e-49,1.19787025776235e-49,1.23521032919328e-49,1.26577554845792e-49,1.28910292896689e-49,1.30485899006684e-49,1.3128469968345e-49,1.31301031552208e-49,1.3054316882512e-49,1.29032803345327e-49,1.26804172457365e-49,1.23902888916495e-49,1.20384449102271e-49,1.16312543794019e-49,1.11757239233248e-49,1.06793073349789e-49,1.01497139077051e-49,9.59472824255502e-50,9.02201611876907e-50,8.43899768407647e-50,7.85268949206663e-50,7.26958713871503e-50,6.69558010404481e-50,6.13588551687166e-50,5.59499713945373e-50,5.07666933022792e-50,4.58392240508298e-50,4.11905683305499e-50,3.68369008776515e-50,3.27880658854317e-50,2.90481527331228e-50,2.56161416776365e-50,2.2486627554878e-50,1.96504046158312e-50,1.70953668962327e-50,1.48070135583994e-50,1.27691078140168e-50,1.09642716819143e-50,9.37448253494913e-51,7.98151072232687e-51,6.7672860450562e-51,5.71422636405477e-51,4.80546325895401e-51,4.0250309272462e-51,3.35799776014064e-51,2.7905492419143e-51,2.31003069597388e-51,1.90496058211499e-51,1.56499065419184e-51,1.28090672190605e-51,1.04453331281811e-51,8.48683335923387e-52,6.87078563565594e-52,5.54273441581162e-52,4.45571119474999e-52,3.56946658461012e-52,2.84971486296426e-52,2.26740530438196e-52,1.79806018374572e-52,1.42116337480791e-52,1.11960733765477e-52,8.79197321309051e-53,6.8821256302703e-53,5.37020651646615e-53,4.1774170304304e-53,3.23958382751266e-53,2.50467297059745e-53,1.93067383641157e-53,1.48381004222688e-53,1.13703655020047e-53,8.6878487110175e-54,6.6192154624561e-54,5.02888517520094e-54,3.80997459523831e-54,2.87853523348879e-54,2.16887133854455e-54,1.62975437645269e-54,1.2213768508353e-54,9.12912333994874e-55,6.80569801335954e-55,5.06048874637459e-55,3.75318557743699e-55,2.77655704508354e-55,2.04891026790425e-55,1.50820168571304e-55,1.10745473909388e-55,8.11207817742516e-56,5.92770928136799e-56,4.32114550779765e-56,3.14250703086735e-56,2.27995718424825e-56,1.65027923087824e-56,1.19172289586966e-56,8.58591524767053e-57,6.17159336138452e-57,4.4260152754848e-57,3.16693035067994e-57,2.26088680496444e-57,1.61041629134157e-57,1.14451234975601e-57,8.11576419352851e-58,5.74206698515186e-58,4.05359136900213e-58,2.85527041212653e-58,2.00674646535144e-58,1.40727157542867e-58,9.84703318529596e-59,6.87506292318168e-59,4.78953397024272e-59,3.32932718096701e-59,2.30923164974043e-59,1.59818610711338e-59,1.10366408513389e-59,7.60496013757461e-60,5.22887309972692e-60,3.58732686609692e-60,2.45576022633918e-60,1.67746526538315e-60,1.37508056267795e-60,5.92239199994788e-61,6.17793380194961e-61,2.85218760026614e-61,2.41419032411663e-61,1.62768646741546e-61,1.09501242442412e-61,7.3505039708984e-62,4.92336326335059e-62,3.29059102835475e-62,2.19445632882529e-62,1.94836888477075e-62,5.79202424688591e-63,8.60567368374464e-63,2.50215564235859e-63,3.73013809550585e-63,1.1015486055178e-63,1.59342141227704e-63,4.88180449342526e-64,5.19148555394109e-64,3.38762806287502e-64,2.20571445835432e-64,1.43304190961916e-64,9.2901110753818e-65,6.00950223334685e-65,3.87890005276476e-65,3.4695870677721e-65,8.28431491394584e-66,1.43054387740681e-65,3.37969145798706e-66,5.83714285498557e-66,1.37470946053999e-66,2.34829561532833e-66,5.64576818022701e-67,6.83876572397828e-67,4.31905822126973e-67,2.72178695806509e-67,1.71148580987009e-67,1.0738568369863e-67,6.72316145256109e-68,4.20005144273685e-68,3.68406344508367e-68,7.75712551409037e-69,1.42302268627021e-68,2.96061233528388e-69,5.43891950465139e-69,1.12807313551439e-69,2.05347158381379e-69,4.31941983623208e-70,5.51840935667653e-70,3.37314380622079e-70,2.05735752219899e-70,1.25209897467703e-70,7.60363960074095e-71,4.60742595527755e-71,2.78579514520149e-71,2.45170967131893e-71,3.94999375428318e-72,8.85373327639782e-72,1.42218397223158e-72,3.16957833093666e-72,5.07611026386556e-73,1.12049219002555e-72,1.8309195401734e-73,2.72769151683933e-73,1.61371108681577e-73,9.52599352982623e-74,5.61110959395173e-74,3.29792814958247e-74,1.93413862189034e-74,1.13184765081578e-74,1.02054769486486e-74,9.73695468672084e-76,3.45174008248893e-75,3.28398893237578e-76,1.15733907796993e-75,1.09798420697394e-76,3.82907575979879e-76,3.78108914807921e-77,8.258856937583e-77,4.72889860445055e-77,2.70180517192666e-77,1.54028832249241e-77,8.76201484403271e-78,4.97347470855224e-78,2.81688949617761e-78,2.58056497324634e-78,1.06862408681165e-79,8.1748644821224e-79,3.37615620450539e-80,2.5752775456059e-79,9.92981322087254e-81,7.99218506947015e-80,3.28295764876215e-81,2.35566550378662e-80,1.89727999189219e-81,4.6939721509282e-81,2.58998954389402e-81,1.4259670156644e-81,7.83384394496899e-82,4.29431916087291e-82,2.34891709459244e-82,1.28202066357453e-82,1.15563738015403e-82,1.34580426823174e-84,3.39936755913693e-83,3.94833820817758e-85,9.89936901509866e-84,1.25506648717058e-85,2.79246807260586e-84,9.15558262540492e-86,4.99539185324569e-85,2.6676974014371e-85,1.42153493438086e-85,7.55844530882832e-86,4.01015703533954e-86,2.12297192573221e-86,1.12145303135412e-86,9.76830647150909e-87,2.32448468834096e-89,2.69163806242118e-87,6.38819455936994e-90,7.34974363699192e-88,1.9566237938689e-90,1.98649547784032e-88,8.28074076322362e-91,3.25642539934476e-89,1.68312991304659e-89,8.68056733230258e-90,4.46717070342219e-90,2.29388136559622e-90,1.17533948155126e-90,6.00910321003443e-91,5.01419954844146e-91,1.59087265441609e-94,1.29428464734492e-91,4.09548991279979e-95,3.3118892773499e-92,1.04518259969598e-95,8.39772449440902e-93,5.39854523082929e-96,1.30033486597049e-93,6.5049088034884e-94,3.24699173936654e-94,1.61724241092475e-94,8.03753776662675e-95,3.98588622631213e-95,1.97233524734497e-95,1.57353885853392e-95,3.96191433397257E-100,3.80486162255767e-96,9.55420429818324E-101,9.12048786702793e-97,2.28401963400601E-101,2.16720248438095e-97,1.16366482086657E-101,3.18061993828488e-98,1.53995234507297e-98,7.43972277044757e-99,3.58641209287985e-99,1.72511318532971e-99,8.27997385660072E-100,3.96546666250501E-100,3.02454222334145E-100,3.72767198141566E-106,6.85100936436977E-101,7.98942054921546E-107,1.53839264666096E-101,1.88569061396844E-107,3.42450116610118E-102,6.30773247326315E-108,4.76552596464513E-103,2.23313945159653E-103,1.0441786633709E-103,4.87178093860644E-104,2.26806060769094E-104,1.05359942802371E-104,4.88371557916246E-105,3.56188966204719E-105,1.3692545878316E-112,7.55803208898069E-106,2.85830898571011E-113,1.5898449704072E-106,5.99587377936663E-114,3.31526756648244E-107,2.01846055701834E-114,4.3737342927379E-108,1.98365846208691E-108,8.97708566155762E-109,4.0537578815144E-109,1.82656112143384E-109,8.21229571442575E-110,3.68424850519373E-110,2.57010404906501E-110,1.96962471472464E-119,5.10872169415468E-111,3.89872595323463E-120,1.00668023647044E-111,7.66099211408729E-121,1.96647575932749E-112,2.57405875639965E-121,2.45887495769799E-113,1.0793454046853E-113,4.72757488069657E-114,2.06619046297627E-114,9.01065279468553E-115,3.92099352308749E-115,1.70251113490688E-115,1.13623987293911E-115,1.08848817502991E-126,2.11575171505312E-116,2.02098902499148E-127,3.90550428915778E-117,3.72001987523995E-128,7.14672836363966E-118,6.78840322039178E-129,8.46765166930023E-119,3.59746424927632E-119,1.52504955456948E-119,6.45097548433377E-120,2.72283167250228E-120,1.14675373339362E-120,4.81918388880572E-121,3.07777900063937E-121,2.28362667101375E-134,5.36865020269218E-122,3.97200278354172E-135,9.28347360254152E-123,6.84872689470662E-136,1.59137901023006E-123,1.1706488239322E-136,1.78620794564138E-124,7.34471619181309E-125,3.01350549240364E-125,1.23373794600864E-125,5.0399685256297E-126,2.0544079771438E-126,8.35602109678182E-127,5.10801162112831E-127,1.81335979436824E-142,8.34665397764414E-128,2.95452329756332E-143,1.35204344109981E-128,2.26344019295042E-144,2.17113376942565E-129,7.64085382819858E-145,3.45621075148424E-130,8.8955312883262E-144,3.64756055992092E-131,1.44531645042924E-131,5.71448828957221E-132,2.25447651179956E-132,8.87499361993641E-133,5.19412347894157E-133,5.44226661422234E-151,7.95070265194014E-134,3.69373667173662E-152,1.20646974773988E-134,5.58861552892616E-153,1.81486799346433E-135,1.88492780108442E-153,2.70639588449594E-136,4.46604579873713E-153,2.70442864432361E-137,1.03715928893974E-137,3.96889273886231E-138,1.51546960178879E-138,5.77403036514361E-139,3.23606685464159E-139,6.1665863330136E-160,4.64027033827622E-140,3.67533420490474E-161,6.59609258547366E-141,5.2089973609812E-162,9.29496721951524E-142,1.75556421230845E-162,1.29845420963323E-142,1.37105824790903E-162,1.22826205535972E-143,4.55900920441966E-144,1.68851090287197E-144,6.24009549776395E-145,2.30108451371811E-145,1.23528270497984E-145,2.63575677654967E-169,1.65929863954203E-146,1.3793650283554E-170,2.20953250136655E-147,1.831283198478E-171,2.91671415626676E-148,2.41017000555822E-172,3.81684900850009E-149,2.04164533159771E-172,3.41703192091918E-150,1.22754654687848E-150,4.40028563490277E-151,1.57390217316318E-151,5.6173122797443E-152,2.88906758634965E-152,4.24676804180966E-179,3.63536594512201E-153,1.95127420270743E-180,4.53477962319774E-154,2.42668609607082E-181,5.6076623327058E-155,2.99174633212949E-182,6.87424704754563E-156,2.70232897803732E-182,5.8230367168654E-157,2.02464069148823E-157,7.02425647221634E-158,2.43168169826703E-158,8.39976350328637E-159,4.13990410114271E-159,2.57783942128617E-189,4.87992092482673E-160,1.03985257316545E-190,5.70233706717776E-161,1.21139581428163E-191,6.60557425723072E-162,1.39899522806378E-192,7.5855288388898E-163,4.66600054706503E-193,6.07844530827218E-164,2.04550452924699E-164,6.86850698352E-165,2.30132634646226E-165,7.69392664576696E-166,3.63465205986321E-166,5.89238191186044E-200,4.01344437082795E-167,2.08659471460593E-201,4.39328347141525E-168,2.27704388000458E-202,4.76736908678641E-169,2.46331846985127E-203,5.12844725485885E-170,8.21212985542867E-204,3.88667288482627E-171,1.26588840533984E-171,4.11402399333851E-172,1.33411167575113E-172,4.31689530818375E-173,1.95512308625568E-173,1.52831053466437E-211,2.0223682436978E-174,1.57597032640141E-212,2.07378591690336E-175,1.61101777355352E-213,2.10807060242974E-176,1.63255752898797E-214,2.12433951382282E-177,1.64003275899766E-215,1.52232002355028E-178,4.7988026591747E-179,1.5094328191034E-179,4.73749377975223E-180,1.48367057522211E-180,6.44351369873402E-181,4.63663240013597E-223,6.24367719380683E-182,4.47876312542373E-224,5.99757452852007E-183,4.28873674370872E-225,5.71121341469111E-184,4.07114480562621E-226,5.39136388446755E-185,3.83106550519016E-227,3.65238391382418E-186,1.11432750879927E-186,3.39237027371847E-187,1.03049909028062E-187,3.12353188161402E-188,1.30109038673063E-188,5.2914077148894E-235,1.18101802544823E-189,4.78790641880248E-236,</v>
      </c>
      <c r="O3" t="str">
        <f>VLOOKUP(M3,'EV of Far Future'!$K$11:$M$13,3,FALSE)</f>
        <v>sum</v>
      </c>
    </row>
    <row r="4" spans="1:15">
      <c r="A4" t="s">
        <v>130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127</v>
      </c>
      <c r="H4" s="15">
        <v>200</v>
      </c>
      <c r="I4" s="15">
        <v>10000</v>
      </c>
      <c r="M4" s="28" t="s">
        <v>60</v>
      </c>
      <c r="N4" s="26" t="e">
        <f>N3*$J$20</f>
        <v>#VALUE!</v>
      </c>
      <c r="O4" s="26" t="e">
        <f>O3+$K$20</f>
        <v>#VALUE!</v>
      </c>
    </row>
    <row r="5" spans="1:15">
      <c r="G5" s="4" t="s">
        <v>169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124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125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25"/>
      <c r="N7" s="4"/>
      <c r="O7" s="4"/>
    </row>
    <row r="8" spans="1:15">
      <c r="G8" s="4" t="s">
        <v>138</v>
      </c>
      <c r="J8">
        <f>J3*J5*J6*J7*D4*1000</f>
        <v>2.1213203435596419E-7</v>
      </c>
      <c r="K8">
        <f>K3+K5+K6+K7+E4</f>
        <v>1.8154605085273885</v>
      </c>
      <c r="M8" s="4"/>
      <c r="N8" s="4"/>
      <c r="O8" s="4"/>
    </row>
    <row r="9" spans="1:15" ht="20">
      <c r="A9" s="7" t="s">
        <v>67</v>
      </c>
      <c r="M9" s="4"/>
      <c r="N9" s="4"/>
      <c r="O9" s="4"/>
    </row>
    <row r="10" spans="1:15">
      <c r="A10" s="1" t="s">
        <v>149</v>
      </c>
      <c r="M10" s="4"/>
      <c r="N10" s="4"/>
      <c r="O10" s="4"/>
    </row>
    <row r="11" spans="1:15">
      <c r="A11" s="30" t="s">
        <v>99</v>
      </c>
      <c r="B11" s="5" t="e">
        <f>ParetoPosterior(median,alpha,N4:O4)</f>
        <v>#VALUE!</v>
      </c>
      <c r="G11" s="1" t="s">
        <v>135</v>
      </c>
      <c r="H11" s="8" t="s">
        <v>161</v>
      </c>
      <c r="M11" s="4"/>
      <c r="N11" s="4"/>
      <c r="O11" s="4"/>
    </row>
    <row r="12" spans="1:15">
      <c r="A12" s="30" t="s">
        <v>110</v>
      </c>
      <c r="B12" s="5" t="str">
        <f>LognormPosterior(mu_far_future,sigma_far_future,N4:O4)</f>
        <v>disabled</v>
      </c>
      <c r="H12" t="s">
        <v>0</v>
      </c>
      <c r="I12" t="s">
        <v>1</v>
      </c>
      <c r="J12" t="s">
        <v>2</v>
      </c>
      <c r="K12" t="s">
        <v>3</v>
      </c>
      <c r="M12" s="4"/>
      <c r="N12" s="4"/>
      <c r="O12" s="4"/>
    </row>
    <row r="13" spans="1:15">
      <c r="G13" s="29" t="s">
        <v>126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  <c r="M13" s="4"/>
      <c r="N13" s="4"/>
      <c r="O13" s="4"/>
    </row>
    <row r="14" spans="1:15">
      <c r="G14" s="29" t="s">
        <v>128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  <c r="M14" s="4"/>
      <c r="N14" s="4"/>
      <c r="O14" s="4"/>
    </row>
    <row r="15" spans="1:15">
      <c r="A15" s="25"/>
      <c r="B15" s="4"/>
      <c r="G15" t="s">
        <v>139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/>
      <c r="N15" s="4"/>
      <c r="O15" s="4"/>
    </row>
    <row r="16" spans="1:15">
      <c r="A16" s="4"/>
      <c r="B16" s="4"/>
      <c r="G16" t="s">
        <v>138</v>
      </c>
      <c r="J16">
        <f>J14*J15*D4*1000</f>
        <v>6.1721339984836745E-7</v>
      </c>
      <c r="K16">
        <f>K14+K15+E4</f>
        <v>1.2995939096785016</v>
      </c>
      <c r="M16" s="4"/>
      <c r="N16" s="4"/>
      <c r="O16" s="4"/>
    </row>
    <row r="17" spans="1:15">
      <c r="A17" s="4"/>
      <c r="B17" s="4"/>
      <c r="M17" s="4"/>
      <c r="N17" s="4"/>
      <c r="O17" s="4"/>
    </row>
    <row r="18" spans="1:15">
      <c r="A18" s="4"/>
      <c r="B18" s="4"/>
      <c r="M18" s="4"/>
      <c r="N18" s="4"/>
      <c r="O18" s="4"/>
    </row>
    <row r="19" spans="1:15">
      <c r="A19" s="4"/>
      <c r="B19" s="4"/>
      <c r="G19" s="1" t="s">
        <v>142</v>
      </c>
      <c r="M19" s="4"/>
      <c r="N19" s="4"/>
      <c r="O19" s="4"/>
    </row>
    <row r="20" spans="1:15">
      <c r="A20" s="25"/>
      <c r="B20" s="4"/>
      <c r="G20" t="s">
        <v>138</v>
      </c>
      <c r="J20">
        <f>GEOMEAN(J8,J16)</f>
        <v>3.6184352162446591E-7</v>
      </c>
      <c r="K20">
        <f>MAX(K8,K16)</f>
        <v>1.8154605085273885</v>
      </c>
      <c r="L20" t="s">
        <v>140</v>
      </c>
      <c r="M20" s="4"/>
      <c r="N20" s="4"/>
      <c r="O20" s="4"/>
    </row>
    <row r="21" spans="1:15">
      <c r="A21" s="4"/>
      <c r="B21" s="4"/>
    </row>
    <row r="22" spans="1:15">
      <c r="A22" s="4"/>
      <c r="B22" s="4"/>
    </row>
    <row r="23" spans="1:15">
      <c r="G23" s="1"/>
    </row>
    <row r="24" spans="1:15">
      <c r="G24" s="4"/>
      <c r="H24" s="4"/>
      <c r="I24" s="4"/>
      <c r="J24" s="4"/>
      <c r="K24" s="4"/>
      <c r="L24" s="4"/>
      <c r="M24" s="4"/>
    </row>
    <row r="25" spans="1:15">
      <c r="G25" s="4"/>
      <c r="H25" s="4"/>
      <c r="I25" s="4"/>
      <c r="J25" s="4"/>
      <c r="K25" s="4"/>
      <c r="L25" s="4"/>
      <c r="M25" s="4"/>
    </row>
    <row r="26" spans="1:15">
      <c r="G26" s="4"/>
      <c r="H26" s="4"/>
      <c r="I26" s="4"/>
      <c r="J26" s="4"/>
      <c r="K26" s="4"/>
      <c r="L26" s="4"/>
      <c r="M26" s="4"/>
    </row>
    <row r="27" spans="1:15">
      <c r="G27" s="4"/>
      <c r="H27" s="4"/>
      <c r="I27" s="4"/>
      <c r="J27" s="4"/>
      <c r="K27" s="4"/>
      <c r="L27" s="4"/>
      <c r="M27" s="4"/>
    </row>
    <row r="28" spans="1:15">
      <c r="G28" s="4"/>
      <c r="H28" s="4"/>
      <c r="I28" s="4"/>
      <c r="J28" s="4"/>
      <c r="K28" s="4"/>
      <c r="L28" s="4"/>
      <c r="M28" s="4"/>
    </row>
    <row r="29" spans="1:15">
      <c r="G29" s="4"/>
      <c r="H29" s="4"/>
      <c r="I29" s="4"/>
      <c r="J29" s="4"/>
      <c r="K29" s="4"/>
      <c r="L29" s="4"/>
      <c r="M29" s="4"/>
    </row>
    <row r="30" spans="1:15">
      <c r="G30" s="4"/>
      <c r="H30" s="4"/>
      <c r="I30" s="4"/>
      <c r="J30" s="4"/>
      <c r="K30" s="4"/>
      <c r="L30" s="4"/>
      <c r="M30" s="4"/>
    </row>
    <row r="31" spans="1:15">
      <c r="G31" s="4"/>
      <c r="H31" s="4"/>
      <c r="I31" s="4"/>
      <c r="J31" s="4"/>
      <c r="K31" s="4"/>
      <c r="L31" s="4"/>
      <c r="M31" s="4"/>
    </row>
    <row r="32" spans="1:15">
      <c r="G32" s="4"/>
      <c r="H32" s="4"/>
      <c r="I32" s="4"/>
      <c r="J32" s="4"/>
      <c r="K32" s="4"/>
      <c r="L32" s="4"/>
      <c r="M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160</v>
      </c>
      <c r="H1" s="1" t="s">
        <v>179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6" t="s">
        <v>163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180</v>
      </c>
      <c r="I3">
        <f>$D$9*D11</f>
        <v>6.000000000000001E-6</v>
      </c>
      <c r="J3">
        <f>$E$9+E11</f>
        <v>2.1060174845083819</v>
      </c>
    </row>
    <row r="4" spans="1:10">
      <c r="A4" s="36" t="s">
        <v>168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181</v>
      </c>
      <c r="I4">
        <f>$D$9*D12</f>
        <v>1.8973665961010282E-5</v>
      </c>
      <c r="J4">
        <f>$E$9+E12</f>
        <v>1.9507603651809473</v>
      </c>
    </row>
    <row r="5" spans="1:10">
      <c r="A5" s="4" t="s">
        <v>169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182</v>
      </c>
      <c r="I5">
        <f>$D$9*D13</f>
        <v>1.4696938456699071E-5</v>
      </c>
      <c r="J5">
        <f>$E$9+E13</f>
        <v>2.0373151147442554</v>
      </c>
    </row>
    <row r="6" spans="1:10">
      <c r="A6" s="29" t="s">
        <v>166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183</v>
      </c>
      <c r="I6">
        <f>$D$9*D14</f>
        <v>1.4696938456699071E-5</v>
      </c>
      <c r="J6">
        <f>$E$9+E14</f>
        <v>2.0373151147442554</v>
      </c>
    </row>
    <row r="7" spans="1:10">
      <c r="A7" s="29" t="s">
        <v>167</v>
      </c>
      <c r="B7" s="15">
        <v>1000</v>
      </c>
      <c r="C7" s="15">
        <v>100000</v>
      </c>
    </row>
    <row r="8" spans="1:10">
      <c r="A8" t="s">
        <v>171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79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172</v>
      </c>
      <c r="D9">
        <f>PRODUCT(D3:D6)*D8</f>
        <v>2.6832815729997483E-5</v>
      </c>
      <c r="E9">
        <f>SUM(E3:E6)+E8</f>
        <v>1.8333128883265699</v>
      </c>
      <c r="H9" t="s">
        <v>74</v>
      </c>
      <c r="I9">
        <f>VLOOKUP(H9,'EV of Far Future'!$K$3:$M$10,2,FALSE)</f>
        <v>1.9999999999999997E+37</v>
      </c>
      <c r="J9">
        <f>VLOOKUP(H9,'EV of Far Future'!$K$3:$M$10,3,FALSE)</f>
        <v>3.5212165842895158</v>
      </c>
    </row>
    <row r="10" spans="1:10">
      <c r="H10" t="s">
        <v>75</v>
      </c>
      <c r="I10">
        <f>VLOOKUP(H10,'EV of Far Future'!$K$3:$M$10,2,FALSE)</f>
        <v>6.324555320336757E+40</v>
      </c>
      <c r="J10">
        <f>VLOOKUP(H10,'EV of Far Future'!$K$3:$M$10,3,FALSE)</f>
        <v>4.0113686573257059</v>
      </c>
    </row>
    <row r="11" spans="1:10">
      <c r="A11" s="29" t="s">
        <v>165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76</v>
      </c>
      <c r="I11">
        <f>VLOOKUP(H11,'EV of Far Future'!$K$3:$M$10,2,FALSE)</f>
        <v>1.9999999999999993E+39</v>
      </c>
      <c r="J11">
        <f>VLOOKUP(H11,'EV of Far Future'!$K$3:$M$10,3,FALSE)</f>
        <v>5.1818248764342734</v>
      </c>
    </row>
    <row r="12" spans="1:10">
      <c r="A12" s="29" t="s">
        <v>173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174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97</v>
      </c>
      <c r="I13">
        <f>VLOOKUP(H13,'EV of Far Future'!O3:P10,2,FALSE)</f>
        <v>5.000000000000001E-3</v>
      </c>
      <c r="J13">
        <v>0</v>
      </c>
    </row>
    <row r="14" spans="1:10">
      <c r="A14" s="29" t="s">
        <v>164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92</v>
      </c>
      <c r="I14">
        <f>VLOOKUP(H14,'EV of Far Future'!O4:P11,2,FALSE)</f>
        <v>0.22399999999999998</v>
      </c>
      <c r="J14">
        <v>0</v>
      </c>
    </row>
    <row r="15" spans="1:10">
      <c r="H15" t="s">
        <v>93</v>
      </c>
      <c r="I15">
        <f>VLOOKUP(H15,'EV of Far Future'!O5:P12,2,FALSE)</f>
        <v>0.22399999999999998</v>
      </c>
      <c r="J15">
        <v>0</v>
      </c>
    </row>
    <row r="16" spans="1:10">
      <c r="H16" t="s">
        <v>94</v>
      </c>
      <c r="I16">
        <f>VLOOKUP(H16,'EV of Far Future'!O6:P13,2,FALSE)</f>
        <v>0.16799999999999998</v>
      </c>
      <c r="J16">
        <v>0</v>
      </c>
    </row>
    <row r="17" spans="1:12">
      <c r="K17" s="33" t="s">
        <v>110</v>
      </c>
      <c r="L17" s="33" t="s">
        <v>99</v>
      </c>
    </row>
    <row r="18" spans="1:12">
      <c r="H18" s="28" t="s">
        <v>175</v>
      </c>
      <c r="I18" s="26">
        <f>I3*I8*I13</f>
        <v>9.4868329805051422E+40</v>
      </c>
      <c r="J18" s="26">
        <f>J3+J8+J13</f>
        <v>6.4173861418340881</v>
      </c>
      <c r="K18" s="34" t="e">
        <f>LognormPosterior(mu,sigma,I18,J18)</f>
        <v>#VALUE!</v>
      </c>
      <c r="L18" s="34" t="e">
        <f>ParetoPosterior(median,alpha,I18,J18)</f>
        <v>#VALUE!</v>
      </c>
    </row>
    <row r="19" spans="1:12">
      <c r="H19" s="28" t="s">
        <v>176</v>
      </c>
      <c r="I19" s="26">
        <f>I4*I9*I14</f>
        <v>8.5002023505326034E+31</v>
      </c>
      <c r="J19" s="26">
        <f>J4+J9+J14</f>
        <v>5.4719769494704629</v>
      </c>
      <c r="K19" s="34" t="e">
        <f>LognormPosterior(mu,sigma,I19,J19)</f>
        <v>#VALUE!</v>
      </c>
      <c r="L19" s="34" t="e">
        <f>ParetoPosterior(median,alpha,I19,J19)</f>
        <v>#VALUE!</v>
      </c>
    </row>
    <row r="20" spans="1:12">
      <c r="H20" s="28" t="s">
        <v>177</v>
      </c>
      <c r="I20" s="26">
        <f>I5*I10*I15</f>
        <v>2.0821158469211068E+35</v>
      </c>
      <c r="J20" s="26">
        <f>J5+J10+J15</f>
        <v>6.0486837720699613</v>
      </c>
      <c r="K20" s="34" t="e">
        <f>LognormPosterior(mu,sigma,I20,J20)</f>
        <v>#VALUE!</v>
      </c>
      <c r="L20" s="34" t="e">
        <f>ParetoPosterior(median,alpha,I20,J20)</f>
        <v>#VALUE!</v>
      </c>
    </row>
    <row r="21" spans="1:12">
      <c r="H21" s="28" t="s">
        <v>178</v>
      </c>
      <c r="I21" s="26">
        <f>I6*I11*I16</f>
        <v>4.9381713214508861E+33</v>
      </c>
      <c r="J21" s="26">
        <f>J6+J11+J16</f>
        <v>7.2191399911785288</v>
      </c>
      <c r="K21" s="34" t="e">
        <f>LognormPosterior(mu,sigma,I21,J21)</f>
        <v>#VALUE!</v>
      </c>
      <c r="L21" s="34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99</v>
      </c>
      <c r="C24" t="s">
        <v>110</v>
      </c>
      <c r="J24" t="s">
        <v>184</v>
      </c>
    </row>
    <row r="25" spans="1:12">
      <c r="A25" t="s">
        <v>186</v>
      </c>
      <c r="B25" t="e">
        <f>MAX(L18:L21)</f>
        <v>#VALUE!</v>
      </c>
      <c r="C25" t="e">
        <f>MAX(K18:K21)</f>
        <v>#VALUE!</v>
      </c>
    </row>
    <row r="28" spans="1:12">
      <c r="A28" t="s">
        <v>185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2016-04-05T02:57:22Z</dcterms:modified>
</cp:coreProperties>
</file>