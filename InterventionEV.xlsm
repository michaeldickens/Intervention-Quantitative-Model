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firstSheet="3" activeTab="7"/>
  </bookViews>
  <sheets>
    <sheet name="Summary" sheetId="7" r:id="rId1"/>
    <sheet name="Globals" sheetId="2" r:id="rId2"/>
    <sheet name="EV of Far Future" sheetId="3" r:id="rId3"/>
    <sheet name="GiveDirectly" sheetId="5" r:id="rId4"/>
    <sheet name="THL" sheetId="1" r:id="rId5"/>
    <sheet name="Cage-Free" sheetId="12" r:id="rId6"/>
    <sheet name="AI Safety" sheetId="6" r:id="rId7"/>
    <sheet name="AI Targeted Values Spreading" sheetId="10" r:id="rId8"/>
  </sheets>
  <definedNames>
    <definedName name="alpha">Globals!$L$4</definedName>
    <definedName name="enable_calculations">Globals!$A$2</definedName>
    <definedName name="factory_farmed_animals">Globals!$M$8</definedName>
    <definedName name="interest_rate">Globals!$M$9</definedName>
    <definedName name="measurement">Globals!#REF!</definedName>
    <definedName name="median">Globals!$L$3</definedName>
    <definedName name="mu_factory_farming">Globals!$F$3</definedName>
    <definedName name="mu_far_future">Globals!$G$3</definedName>
    <definedName name="mu_far_future_humans">Globals!$G$3</definedName>
    <definedName name="mu_global_poverty">Globals!$E$3</definedName>
    <definedName name="mu_policy">Globals!$D$3</definedName>
    <definedName name="mu_sentient_simulations">Globals!$H$2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Globals!$F$4</definedName>
    <definedName name="sigma_far_future">Globals!$G$4</definedName>
    <definedName name="sigma_far_future_humans">Globals!$G$4</definedName>
    <definedName name="sigma_global_poverty">Globals!$E$4</definedName>
    <definedName name="sigma_policy">Globals!$D$4</definedName>
    <definedName name="sigma_sentient_simulations">Globals!$H$3</definedName>
    <definedName name="sigma_wild_animals">Globals!#REF!</definedName>
    <definedName name="stay_on_earth">Globals!$B$8</definedName>
    <definedName name="stdev_base10">Globals!#REF!</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K3" i="6" l="1"/>
  <c r="K5" i="6"/>
  <c r="K6" i="6"/>
  <c r="K7" i="6"/>
  <c r="E4" i="6"/>
  <c r="K8" i="6"/>
  <c r="K14" i="6"/>
  <c r="K15" i="6"/>
  <c r="K16" i="6"/>
  <c r="K20" i="6"/>
  <c r="K4" i="7"/>
  <c r="G5" i="5"/>
  <c r="F4" i="2"/>
  <c r="I7" i="12"/>
  <c r="I7" i="1"/>
  <c r="G4" i="2"/>
  <c r="N24" i="1"/>
  <c r="N25" i="1"/>
  <c r="B24" i="1"/>
  <c r="B27" i="1"/>
  <c r="K5" i="7"/>
  <c r="L15" i="3"/>
  <c r="L16" i="3"/>
  <c r="M16" i="3"/>
  <c r="L6" i="3"/>
  <c r="L7" i="3"/>
  <c r="M7" i="3"/>
  <c r="M18" i="3"/>
  <c r="L18" i="3"/>
  <c r="L19" i="3"/>
  <c r="G13" i="5"/>
  <c r="G14" i="5"/>
  <c r="G15" i="5"/>
  <c r="L27" i="5"/>
  <c r="L28" i="5"/>
  <c r="B24" i="5"/>
  <c r="B27" i="5"/>
  <c r="B31" i="5"/>
  <c r="C3" i="7"/>
  <c r="G11" i="7"/>
  <c r="C25" i="5"/>
  <c r="B26" i="5"/>
  <c r="G4" i="5"/>
  <c r="B30" i="5"/>
  <c r="B3" i="7"/>
  <c r="F11" i="7"/>
  <c r="K3" i="7"/>
  <c r="G17" i="7"/>
  <c r="G16" i="7"/>
  <c r="E16" i="7"/>
  <c r="I4" i="7"/>
  <c r="H4" i="7"/>
  <c r="H3" i="5"/>
  <c r="D4" i="2"/>
  <c r="I24" i="6"/>
  <c r="M19" i="3"/>
  <c r="I25" i="6"/>
  <c r="I26" i="6"/>
  <c r="J7" i="6"/>
  <c r="J8" i="6"/>
  <c r="J20" i="6"/>
  <c r="H24" i="6"/>
  <c r="H25" i="6"/>
  <c r="H26" i="6"/>
  <c r="B12" i="6"/>
  <c r="C5" i="7"/>
  <c r="G14" i="7"/>
  <c r="E22" i="7"/>
  <c r="D22" i="7"/>
  <c r="G22" i="7"/>
  <c r="E23" i="7"/>
  <c r="D23" i="7"/>
  <c r="G23" i="7"/>
  <c r="G18" i="7"/>
  <c r="G19" i="7"/>
  <c r="G20" i="7"/>
  <c r="G21" i="7"/>
  <c r="B31" i="1"/>
  <c r="C4" i="7"/>
  <c r="G12" i="7"/>
  <c r="K6" i="7"/>
  <c r="G13" i="7"/>
  <c r="I9" i="1"/>
  <c r="E5" i="1"/>
  <c r="J3" i="1"/>
  <c r="H23" i="2"/>
  <c r="J23" i="2"/>
  <c r="L23" i="2"/>
  <c r="J4" i="1"/>
  <c r="J5" i="1"/>
  <c r="I4" i="1"/>
  <c r="I5" i="1"/>
  <c r="I6" i="1"/>
  <c r="J5" i="7"/>
  <c r="J3" i="7"/>
  <c r="E4" i="12"/>
  <c r="E5" i="12"/>
  <c r="E6" i="12"/>
  <c r="E7" i="12"/>
  <c r="E8" i="12"/>
  <c r="E9" i="12"/>
  <c r="J3" i="12"/>
  <c r="H24" i="2"/>
  <c r="J24" i="2"/>
  <c r="L24" i="2"/>
  <c r="J4" i="12"/>
  <c r="J5" i="12"/>
  <c r="I6" i="12"/>
  <c r="J6" i="7"/>
  <c r="I16" i="10"/>
  <c r="D10" i="1"/>
  <c r="G3" i="3"/>
  <c r="G4" i="3"/>
  <c r="G14" i="3"/>
  <c r="G15" i="3"/>
  <c r="G16" i="3"/>
  <c r="L9" i="3"/>
  <c r="I13" i="1"/>
  <c r="D11" i="1"/>
  <c r="E11" i="1"/>
  <c r="D12" i="1"/>
  <c r="I15" i="1"/>
  <c r="I16" i="1"/>
  <c r="N19" i="1"/>
  <c r="P36" i="2"/>
  <c r="H3" i="3"/>
  <c r="P37" i="2"/>
  <c r="H4" i="3"/>
  <c r="P39" i="2"/>
  <c r="H14" i="3"/>
  <c r="H15" i="3"/>
  <c r="H16" i="3"/>
  <c r="M9" i="3"/>
  <c r="J13" i="1"/>
  <c r="E12" i="1"/>
  <c r="J15" i="1"/>
  <c r="J16" i="1"/>
  <c r="O19" i="1"/>
  <c r="I25" i="1"/>
  <c r="I22" i="1"/>
  <c r="G20" i="3"/>
  <c r="G21" i="3"/>
  <c r="G22" i="3"/>
  <c r="L10" i="3"/>
  <c r="I23" i="1"/>
  <c r="I26" i="1"/>
  <c r="N20" i="1"/>
  <c r="J25" i="1"/>
  <c r="E14" i="1"/>
  <c r="J22" i="1"/>
  <c r="P40" i="2"/>
  <c r="H20" i="3"/>
  <c r="H25" i="2"/>
  <c r="J25" i="2"/>
  <c r="L25" i="2"/>
  <c r="H21" i="3"/>
  <c r="H22" i="3"/>
  <c r="M10" i="3"/>
  <c r="J23" i="1"/>
  <c r="J26" i="1"/>
  <c r="O20" i="1"/>
  <c r="I34" i="1"/>
  <c r="I31" i="1"/>
  <c r="G26" i="3"/>
  <c r="G27" i="3"/>
  <c r="G28" i="3"/>
  <c r="L11" i="3"/>
  <c r="I32" i="1"/>
  <c r="I35" i="1"/>
  <c r="N21" i="1"/>
  <c r="J34" i="1"/>
  <c r="E15" i="1"/>
  <c r="J31" i="1"/>
  <c r="P41" i="2"/>
  <c r="H26" i="3"/>
  <c r="H26" i="2"/>
  <c r="J26" i="2"/>
  <c r="L26" i="2"/>
  <c r="H27" i="3"/>
  <c r="H28" i="3"/>
  <c r="M11" i="3"/>
  <c r="J32" i="1"/>
  <c r="J35" i="1"/>
  <c r="O21" i="1"/>
  <c r="N6" i="1"/>
  <c r="N3" i="1"/>
  <c r="G32" i="3"/>
  <c r="G33" i="3"/>
  <c r="G34" i="3"/>
  <c r="G35" i="3"/>
  <c r="L12" i="3"/>
  <c r="N4" i="1"/>
  <c r="N7" i="1"/>
  <c r="N22" i="1"/>
  <c r="O6" i="1"/>
  <c r="E16" i="1"/>
  <c r="O3" i="1"/>
  <c r="H32" i="3"/>
  <c r="P42" i="2"/>
  <c r="H33" i="3"/>
  <c r="H34" i="3"/>
  <c r="H35" i="3"/>
  <c r="M12" i="3"/>
  <c r="O4" i="1"/>
  <c r="O7" i="1"/>
  <c r="O22" i="1"/>
  <c r="N14" i="1"/>
  <c r="N11" i="1"/>
  <c r="B3" i="3"/>
  <c r="B4" i="3"/>
  <c r="B5" i="3"/>
  <c r="B6" i="3"/>
  <c r="B10" i="3"/>
  <c r="B11" i="3"/>
  <c r="L4" i="3"/>
  <c r="N12" i="1"/>
  <c r="N15" i="1"/>
  <c r="N23" i="1"/>
  <c r="O14" i="1"/>
  <c r="E17" i="1"/>
  <c r="O11" i="1"/>
  <c r="L36" i="2"/>
  <c r="C3" i="3"/>
  <c r="L37" i="2"/>
  <c r="C4" i="3"/>
  <c r="L38" i="2"/>
  <c r="C5" i="3"/>
  <c r="L39" i="2"/>
  <c r="C6" i="3"/>
  <c r="H27" i="2"/>
  <c r="J27" i="2"/>
  <c r="L27" i="2"/>
  <c r="C10" i="3"/>
  <c r="C11" i="3"/>
  <c r="M4" i="3"/>
  <c r="O12" i="1"/>
  <c r="O15" i="1"/>
  <c r="O23" i="1"/>
  <c r="L13" i="5"/>
  <c r="L14" i="5"/>
  <c r="L25" i="5"/>
  <c r="M13" i="5"/>
  <c r="M10" i="5"/>
  <c r="M11" i="5"/>
  <c r="M12" i="5"/>
  <c r="M14" i="5"/>
  <c r="M25" i="5"/>
  <c r="O25" i="1"/>
  <c r="C24" i="1"/>
  <c r="C25" i="1"/>
  <c r="B25" i="1"/>
  <c r="O11" i="3"/>
  <c r="O9" i="3"/>
  <c r="O10" i="3"/>
  <c r="O12" i="3"/>
  <c r="O4" i="3"/>
  <c r="I14" i="1"/>
  <c r="D8" i="1"/>
  <c r="E4" i="1"/>
  <c r="E6" i="1"/>
  <c r="E8" i="1"/>
  <c r="E7" i="1"/>
  <c r="E9" i="1"/>
  <c r="I24" i="1"/>
  <c r="I33" i="1"/>
  <c r="N5" i="1"/>
  <c r="N13" i="1"/>
  <c r="I3" i="7"/>
  <c r="H3" i="7"/>
  <c r="I6" i="7"/>
  <c r="I4" i="12"/>
  <c r="I5" i="12"/>
  <c r="H6" i="7"/>
  <c r="B20" i="3"/>
  <c r="B21" i="3"/>
  <c r="O13" i="3"/>
  <c r="L13" i="3"/>
  <c r="H29" i="2"/>
  <c r="J29" i="2"/>
  <c r="L29" i="2"/>
  <c r="C20" i="3"/>
  <c r="C21" i="3"/>
  <c r="M13" i="3"/>
  <c r="B25" i="3"/>
  <c r="B26" i="3"/>
  <c r="O14" i="3"/>
  <c r="L14" i="3"/>
  <c r="H30" i="2"/>
  <c r="J30" i="2"/>
  <c r="L30" i="2"/>
  <c r="C25" i="3"/>
  <c r="C26" i="3"/>
  <c r="M14" i="3"/>
  <c r="G8" i="3"/>
  <c r="G9" i="3"/>
  <c r="G10" i="3"/>
  <c r="O3" i="3"/>
  <c r="L3" i="3"/>
  <c r="P38" i="2"/>
  <c r="H8" i="3"/>
  <c r="H21" i="2"/>
  <c r="J21" i="2"/>
  <c r="L21" i="2"/>
  <c r="H9" i="3"/>
  <c r="H10" i="3"/>
  <c r="M3" i="3"/>
  <c r="B15" i="3"/>
  <c r="B16" i="3"/>
  <c r="O5" i="3"/>
  <c r="L5" i="3"/>
  <c r="H28" i="2"/>
  <c r="J28" i="2"/>
  <c r="L28" i="2"/>
  <c r="C15" i="3"/>
  <c r="C16" i="3"/>
  <c r="M5" i="3"/>
  <c r="D16" i="7"/>
  <c r="E17" i="7"/>
  <c r="D17" i="7"/>
  <c r="E18" i="7"/>
  <c r="D18" i="7"/>
  <c r="E19" i="7"/>
  <c r="D19" i="7"/>
  <c r="E20" i="7"/>
  <c r="D20" i="7"/>
  <c r="E21" i="7"/>
  <c r="D21" i="7"/>
  <c r="I3" i="10"/>
  <c r="I10" i="10"/>
  <c r="J3" i="10"/>
  <c r="E13" i="10"/>
  <c r="J10" i="10"/>
  <c r="I4" i="10"/>
  <c r="I11" i="10"/>
  <c r="J4" i="10"/>
  <c r="E14" i="10"/>
  <c r="J11" i="10"/>
  <c r="I5" i="10"/>
  <c r="I12" i="10"/>
  <c r="J5" i="10"/>
  <c r="E15" i="10"/>
  <c r="J12" i="10"/>
  <c r="I6" i="10"/>
  <c r="I13" i="10"/>
  <c r="J6" i="10"/>
  <c r="E16" i="10"/>
  <c r="J13" i="10"/>
  <c r="I7" i="10"/>
  <c r="I14" i="10"/>
  <c r="J7" i="10"/>
  <c r="E17" i="10"/>
  <c r="J14" i="10"/>
  <c r="I8" i="10"/>
  <c r="I15" i="10"/>
  <c r="J8" i="10"/>
  <c r="E18" i="10"/>
  <c r="J15" i="10"/>
  <c r="I17" i="10"/>
  <c r="J17" i="10"/>
  <c r="J18" i="10"/>
  <c r="I18" i="10"/>
  <c r="B24" i="10"/>
  <c r="C6" i="7"/>
  <c r="G15" i="7"/>
  <c r="B23" i="10"/>
  <c r="B6" i="7"/>
  <c r="F15" i="7"/>
  <c r="B11" i="6"/>
  <c r="B5" i="7"/>
  <c r="F14" i="7"/>
  <c r="F13" i="7"/>
  <c r="B26" i="1"/>
  <c r="B30" i="1"/>
  <c r="B4" i="7"/>
  <c r="F12" i="7"/>
  <c r="F16" i="7"/>
  <c r="F17" i="7"/>
  <c r="F18" i="7"/>
  <c r="F19" i="7"/>
  <c r="F20" i="7"/>
  <c r="F21" i="7"/>
  <c r="F22" i="7"/>
  <c r="F23" i="7"/>
  <c r="N36" i="2"/>
  <c r="O36" i="2"/>
  <c r="N37" i="2"/>
  <c r="O37" i="2"/>
  <c r="N38" i="2"/>
  <c r="N39" i="2"/>
  <c r="O39" i="2"/>
  <c r="C23" i="2"/>
  <c r="G23" i="2"/>
  <c r="E23" i="2"/>
  <c r="I23" i="2"/>
  <c r="K23" i="2"/>
  <c r="N40" i="2"/>
  <c r="O40" i="2"/>
  <c r="C25" i="2"/>
  <c r="G25" i="2"/>
  <c r="E25" i="2"/>
  <c r="I25" i="2"/>
  <c r="K25" i="2"/>
  <c r="N41" i="2"/>
  <c r="O41" i="2"/>
  <c r="C26" i="2"/>
  <c r="G26" i="2"/>
  <c r="E26" i="2"/>
  <c r="I26" i="2"/>
  <c r="K26" i="2"/>
  <c r="N42" i="2"/>
  <c r="O42" i="2"/>
  <c r="J36" i="2"/>
  <c r="K36" i="2"/>
  <c r="J37" i="2"/>
  <c r="K37" i="2"/>
  <c r="J38" i="2"/>
  <c r="K38" i="2"/>
  <c r="J39" i="2"/>
  <c r="K39" i="2"/>
  <c r="C29" i="2"/>
  <c r="G29" i="2"/>
  <c r="I29" i="2"/>
  <c r="K29" i="2"/>
  <c r="B30" i="2"/>
  <c r="C27" i="2"/>
  <c r="C30" i="2"/>
  <c r="G30" i="2"/>
  <c r="I30" i="2"/>
  <c r="K30" i="2"/>
  <c r="O38" i="2"/>
  <c r="C21" i="2"/>
  <c r="G21" i="2"/>
  <c r="I21" i="2"/>
  <c r="K21" i="2"/>
  <c r="G27" i="2"/>
  <c r="D27" i="2"/>
  <c r="I27" i="2"/>
  <c r="K27" i="2"/>
  <c r="C28" i="2"/>
  <c r="G28" i="2"/>
  <c r="I28" i="2"/>
  <c r="K28" i="2"/>
  <c r="C24" i="2"/>
  <c r="D24" i="2"/>
  <c r="E24" i="2"/>
  <c r="D5" i="12"/>
  <c r="D6" i="12"/>
  <c r="D8" i="12"/>
  <c r="D9" i="12"/>
  <c r="I3" i="12"/>
  <c r="G24" i="2"/>
  <c r="I24" i="2"/>
  <c r="K24" i="2"/>
  <c r="I5" i="7"/>
  <c r="H5" i="7"/>
  <c r="B7" i="5"/>
  <c r="C7" i="5"/>
  <c r="L12" i="5"/>
  <c r="L20" i="5"/>
  <c r="L21" i="5"/>
  <c r="L26" i="5"/>
  <c r="M20" i="5"/>
  <c r="M19" i="5"/>
  <c r="M21" i="5"/>
  <c r="M26" i="5"/>
  <c r="M28" i="5"/>
  <c r="G12" i="5"/>
  <c r="H12" i="5"/>
  <c r="H13" i="5"/>
  <c r="H10" i="5"/>
  <c r="H11" i="5"/>
  <c r="H14" i="5"/>
  <c r="H15" i="5"/>
  <c r="C24" i="5"/>
  <c r="B25" i="5"/>
  <c r="C22" i="2"/>
  <c r="C4" i="12"/>
  <c r="B4" i="12"/>
  <c r="D4" i="12"/>
  <c r="D7" i="12"/>
  <c r="L10" i="5"/>
  <c r="B6" i="5"/>
  <c r="C6" i="5"/>
  <c r="L11" i="5"/>
  <c r="B9" i="5"/>
  <c r="C9" i="5"/>
  <c r="L19" i="5"/>
  <c r="D7" i="1"/>
  <c r="D9" i="1"/>
  <c r="D4" i="1"/>
  <c r="B5" i="1"/>
  <c r="C5" i="1"/>
  <c r="D5" i="1"/>
  <c r="D6" i="1"/>
  <c r="I32" i="6"/>
  <c r="I33" i="6"/>
  <c r="H32" i="6"/>
  <c r="H33" i="6"/>
  <c r="K33" i="6"/>
  <c r="J33" i="6"/>
  <c r="H15" i="6"/>
  <c r="D14" i="1"/>
  <c r="D15" i="1"/>
  <c r="D16" i="1"/>
  <c r="D17" i="1"/>
  <c r="I3" i="1"/>
  <c r="H22" i="2"/>
  <c r="J22" i="2"/>
  <c r="L22" i="2"/>
  <c r="G22" i="2"/>
  <c r="I22" i="2"/>
  <c r="K22" i="2"/>
  <c r="G10" i="5"/>
  <c r="G11" i="5"/>
  <c r="C7" i="10"/>
  <c r="B7" i="10"/>
  <c r="D13" i="10"/>
  <c r="D14" i="10"/>
  <c r="D15" i="10"/>
  <c r="D16" i="10"/>
  <c r="D17" i="10"/>
  <c r="D18" i="10"/>
  <c r="I5" i="6"/>
  <c r="J5" i="6"/>
  <c r="J6" i="6"/>
  <c r="I15" i="6"/>
  <c r="J15" i="6"/>
  <c r="J16" i="6"/>
  <c r="E7" i="10"/>
  <c r="E8" i="10"/>
  <c r="C10" i="10"/>
  <c r="B10" i="10"/>
  <c r="E10" i="10"/>
  <c r="E5" i="10"/>
  <c r="E3" i="10"/>
  <c r="E4" i="10"/>
  <c r="E11" i="10"/>
  <c r="D7" i="10"/>
  <c r="D8" i="10"/>
  <c r="D10" i="10"/>
  <c r="D5" i="10"/>
  <c r="D3" i="10"/>
  <c r="D4" i="10"/>
  <c r="D11" i="10"/>
  <c r="J4" i="7"/>
  <c r="J14" i="6"/>
  <c r="J13" i="6"/>
  <c r="D4" i="6"/>
  <c r="J3" i="6"/>
  <c r="D4" i="7"/>
  <c r="H5" i="6"/>
  <c r="C4" i="6"/>
  <c r="B4" i="6"/>
  <c r="D6" i="7"/>
  <c r="D3" i="7"/>
  <c r="K13" i="6"/>
  <c r="D5" i="7"/>
</calcChain>
</file>

<file path=xl/sharedStrings.xml><?xml version="1.0" encoding="utf-8"?>
<sst xmlns="http://schemas.openxmlformats.org/spreadsheetml/2006/main" count="518" uniqueCount="291">
  <si>
    <t>Low CI</t>
  </si>
  <si>
    <t>High CI</t>
  </si>
  <si>
    <t>alpha</t>
  </si>
  <si>
    <t>median</t>
  </si>
  <si>
    <t>Prior (Pareto)</t>
  </si>
  <si>
    <t>stay on earth</t>
  </si>
  <si>
    <t>society doesn't care about animals</t>
  </si>
  <si>
    <t>we make suffering simulations</t>
  </si>
  <si>
    <t>we spread WAS</t>
  </si>
  <si>
    <t>hedonium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</si>
  <si>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</si>
  <si>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</si>
  <si>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</si>
  <si>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</si>
  <si>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</si>
  <si>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</si>
  <si>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</si>
  <si>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</si>
  <si>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</si>
  <si>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</si>
  <si>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</si>
  <si>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</si>
  <si>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</si>
  <si>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</si>
  <si>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</si>
  <si>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</si>
  <si>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</si>
  <si>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</si>
  <si>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</si>
  <si>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</si>
  <si>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</si>
  <si>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</si>
  <si>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</si>
  <si>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</si>
  <si>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</si>
  <si>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</si>
  <si>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</si>
  <si>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</si>
  <si>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factory farmed animal</t>
  </si>
  <si>
    <t>utility per wild vertebrate</t>
  </si>
  <si>
    <t>utility per insect</t>
  </si>
  <si>
    <t>brains per watt</t>
  </si>
  <si>
    <t>utility per hedonium</t>
  </si>
  <si>
    <t>utility per paperclip</t>
  </si>
  <si>
    <t>utility per dolorium</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</si>
  <si>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</si>
  <si>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</si>
  <si>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</si>
  <si>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</si>
  <si>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</si>
  <si>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</si>
  <si>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</si>
  <si>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</si>
  <si>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</si>
  <si>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</si>
  <si>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</si>
  <si>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</si>
  <si>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</si>
  <si>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</si>
  <si>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</si>
  <si>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</si>
  <si>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</si>
  <si>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</si>
  <si>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</si>
  <si>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</si>
  <si>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</si>
  <si>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</si>
  <si>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</si>
  <si>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</si>
  <si>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</si>
  <si>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</si>
  <si>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</si>
  <si>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</si>
  <si>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</si>
  <si>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</si>
  <si>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</si>
  <si>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</si>
  <si>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</si>
  <si>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</si>
  <si>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</si>
  <si>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</si>
  <si>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</si>
  <si>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</si>
  <si>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</si>
  <si>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</si>
  <si>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</si>
  <si>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</si>
  <si>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</si>
  <si>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</si>
  <si>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</si>
  <si>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</si>
  <si>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</si>
  <si>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</si>
  <si>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</si>
  <si>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</si>
  <si>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</si>
  <si>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</si>
  <si>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</si>
  <si>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</si>
  <si>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</si>
  <si>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</si>
  <si>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</si>
  <si>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hours to solve AI safety</t>
  </si>
  <si>
    <t>size of FAI community when AGI created</t>
  </si>
  <si>
    <t>cost per AI researcher</t>
  </si>
  <si>
    <t>1/cost per AI researcher</t>
  </si>
  <si>
    <t>annual rate at which vegetarians convert new vegetarians</t>
  </si>
  <si>
    <t>Model 1 (GPP)</t>
  </si>
  <si>
    <t>Model 2</t>
  </si>
  <si>
    <t>EV far future</t>
  </si>
  <si>
    <t>General</t>
  </si>
  <si>
    <t>x-risk averted per $1000</t>
  </si>
  <si>
    <t>1/hours to solve</t>
  </si>
  <si>
    <t>Model average</t>
  </si>
  <si>
    <t>Pareto</t>
  </si>
  <si>
    <t>Log-normal</t>
  </si>
  <si>
    <t>GiveDirectly</t>
  </si>
  <si>
    <t>AI Safety</t>
  </si>
  <si>
    <t>Unified model</t>
  </si>
  <si>
    <t>utility per cage removed</t>
  </si>
  <si>
    <t>years factory farming prevented per $1</t>
  </si>
  <si>
    <t>AMF</t>
  </si>
  <si>
    <t xml:space="preserve">Mean </t>
  </si>
  <si>
    <t>Estimated by doubling the 80% CI given by http://www.animalcharityevaluators.org/research/interventions/impact-calculator/</t>
  </si>
  <si>
    <t>Inputs (80% CI)</t>
  </si>
  <si>
    <t>(80% CI)</t>
  </si>
  <si>
    <t>Wikipedia, "Timeline of the Far Future"</t>
  </si>
  <si>
    <t>P(friendly AI gets built)</t>
  </si>
  <si>
    <t>suffering simulations prevented</t>
  </si>
  <si>
    <t>values propagation multiplier</t>
  </si>
  <si>
    <t>cost to convince one AI researcher to care about animals</t>
  </si>
  <si>
    <t>P(FAI is bad for animals by default)</t>
  </si>
  <si>
    <t>1/size of FAI community when AGI created</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</si>
  <si>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</si>
  <si>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</si>
  <si>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</si>
  <si>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</si>
  <si>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</si>
  <si>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</si>
  <si>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</si>
  <si>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</si>
  <si>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</si>
  <si>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</si>
  <si>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Total utility</t>
  </si>
  <si>
    <t>Ratio vs. GD</t>
  </si>
  <si>
    <t>Utility from direct effects only</t>
  </si>
  <si>
    <t xml:space="preserve"> </t>
  </si>
  <si>
    <t>global poverty</t>
  </si>
  <si>
    <t>factory farming</t>
  </si>
  <si>
    <t>far future</t>
  </si>
  <si>
    <t>Enable calculations?</t>
  </si>
  <si>
    <t>0 for false, 1 for true</t>
  </si>
  <si>
    <t>animal-years caused per human year</t>
  </si>
  <si>
    <t>buckets</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</si>
  <si>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</si>
  <si>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</si>
  <si>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</si>
  <si>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</si>
  <si>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</si>
  <si>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</si>
  <si>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</si>
  <si>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</si>
  <si>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</si>
  <si>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</si>
  <si>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</si>
  <si>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</si>
  <si>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</si>
  <si>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</si>
  <si>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</si>
  <si>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Total far future effect</t>
  </si>
  <si>
    <t>Total positive far-future effect</t>
  </si>
  <si>
    <t>utility estimates</t>
  </si>
  <si>
    <t>sum (buckets)</t>
  </si>
  <si>
    <t>Total far-future effect</t>
  </si>
  <si>
    <t>Total (Pareto posterior)</t>
  </si>
  <si>
    <t>Total (log-normal posterior)</t>
  </si>
  <si>
    <t>THL</t>
  </si>
  <si>
    <t>Far-future effect on hedonium</t>
  </si>
  <si>
    <t>wild vertebrate suffering prevented if we end factory farming</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</si>
  <si>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</si>
  <si>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</si>
  <si>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</si>
  <si>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</si>
  <si>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</si>
  <si>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</si>
  <si>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</si>
  <si>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</si>
  <si>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</si>
  <si>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</si>
  <si>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</si>
  <si>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</si>
  <si>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</si>
  <si>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utility estimate</t>
  </si>
  <si>
    <t>implicitly correlated with P(AI-related extinction) on the AI Safety sheet</t>
  </si>
  <si>
    <t>center of distribution (median)</t>
  </si>
  <si>
    <t>scale (logarithmic base 10); this corresponds to standard deviation, not variance</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</si>
  <si>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</si>
  <si>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</si>
  <si>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</si>
  <si>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</si>
  <si>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</si>
  <si>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</si>
  <si>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</si>
  <si>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This figure is pretty robust but only includes land animals, you could increase the upper bound to account for fish/shellfish</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</si>
  <si>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</si>
  <si>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</si>
  <si>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</si>
  <si>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</si>
  <si>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</si>
  <si>
    <t>Sentience adjustment (80% CI)</t>
  </si>
  <si>
    <t>Mu1</t>
  </si>
  <si>
    <t>Mu2</t>
  </si>
  <si>
    <t>Sigma^2_1</t>
  </si>
  <si>
    <t>Sigma^2_2</t>
  </si>
  <si>
    <t>Well-being, absolute value (80% CI)</t>
  </si>
  <si>
    <t>(assumes AGI is a binary outcome: friendly or unfriendly)</t>
  </si>
  <si>
    <t>some uncertainty here about how to account for counterfactuals; presumably AI safety researchers would do something high value otherwise</t>
  </si>
  <si>
    <t>FAI community growth rate</t>
  </si>
  <si>
    <t>AGI date</t>
  </si>
  <si>
    <t>years until AGI</t>
  </si>
  <si>
    <t>assumes constant exponential growth rate</t>
  </si>
  <si>
    <t>researcher-years spent on AI safety by AGI date</t>
  </si>
  <si>
    <t>TODO: this just combines 80% CI's, which is incorrect</t>
  </si>
  <si>
    <t>P(|hours spent - hours needed| &lt;= hours provided by $1000)</t>
  </si>
  <si>
    <t>fill universe with biology</t>
  </si>
  <si>
    <t>fill universe with computers</t>
  </si>
  <si>
    <t>utility per developing-world human</t>
  </si>
  <si>
    <t>utility per wealthy human</t>
  </si>
  <si>
    <t>extremely poor people's lives are about half as good as those in the developed world according to world happiness surveys</t>
  </si>
  <si>
    <t>assumes there will be no poverty in the far future</t>
  </si>
  <si>
    <t>TODO: this manually categorizes conditions as positive or negative, that should happen automatically</t>
  </si>
  <si>
    <t>animals directly spared per $1000</t>
  </si>
  <si>
    <t>animals indirectly spared per $1000</t>
  </si>
  <si>
    <t>Factory farming increase</t>
  </si>
  <si>
    <t>http://effective-altruism.com/ea/rl/quantifying_the_impact_of_economic_growth_on_meat/</t>
  </si>
  <si>
    <t>years factory-farm suffering per $1000</t>
  </si>
  <si>
    <t>Utiliy Estimates</t>
  </si>
  <si>
    <t>x-risk</t>
  </si>
  <si>
    <t>from looking at random articles I found on Google, combined with Fermi estimate (1.2B people, $1/day ~= $500B/yr)</t>
  </si>
  <si>
    <t>should sum to 1</t>
  </si>
  <si>
    <t>not mutually exclusive so don't need to sum to 1</t>
  </si>
  <si>
    <t>http://www.openphilanthropy.org/blog/initial-grants-support-corporate-cage-free-reforms#Corporate_cage-free_campaigns_are_extremely_cost-effective</t>
  </si>
  <si>
    <t>cage-free years per $1</t>
  </si>
  <si>
    <t>1/expenditures</t>
  </si>
  <si>
    <t>cage-free years per $1000</t>
  </si>
  <si>
    <t>total expenditures ($M)</t>
  </si>
  <si>
    <t>centered around 1 by definition</t>
  </si>
  <si>
    <t>Note: All CI's here have zero variance because individual well-being shouldn't factor in to prior estimates of good done.</t>
  </si>
  <si>
    <t>suffering sumulations prevented</t>
  </si>
  <si>
    <t>computer emulations of human-like brains</t>
  </si>
  <si>
    <t>maximally happy beings</t>
  </si>
  <si>
    <t>computers that don't do anything useful</t>
  </si>
  <si>
    <t>maximally unhappy beings</t>
  </si>
  <si>
    <t>WAS = wild animal suffering</t>
  </si>
  <si>
    <t>Model 3 (INCOMPLETE)</t>
  </si>
  <si>
    <t>For detailed explanations of everything, see TODO: link</t>
  </si>
  <si>
    <t>Cause/Org</t>
  </si>
  <si>
    <t>different grants estimated at $30 and $300 per prison-year averted; see http://www.openphilanthropy.org/focus/us-policy/criminal-justice-reform/justleadershipusa-close-rikers-campaign#Direct_impact and http://www.openphilanthropy.org/focus/us-policy/criminal-justice-reform/pew-public-safety-performance-project#Cost_effectiveness</t>
  </si>
  <si>
    <t>policy</t>
  </si>
  <si>
    <t>All Cause Areas</t>
  </si>
  <si>
    <t>Cage-Free Campaigns</t>
  </si>
  <si>
    <t>Cage-free Campaigns</t>
  </si>
  <si>
    <t>Biosecurity</t>
  </si>
  <si>
    <t>Geoengineering</t>
  </si>
  <si>
    <t>TODO: maybe far future sigma should be bigger</t>
  </si>
  <si>
    <t>proportion of extinction scenarios averted by ending poverty</t>
  </si>
  <si>
    <t>proportion of extinction scenarios caused by ending poverty</t>
  </si>
  <si>
    <t>days factory-farm suffering caused per $1000</t>
  </si>
  <si>
    <t>includes all money spent on cage-free campaigns</t>
  </si>
  <si>
    <t>years until cage-free would have happened anyway</t>
  </si>
  <si>
    <t>millions of cages prevented</t>
  </si>
  <si>
    <t>proportion of change attributable to campaigns</t>
  </si>
  <si>
    <t>If we add 1 new researcher now, there will be this many new researchers by the time AGI is developed.</t>
  </si>
  <si>
    <t>proportion of bad scenarios averted by doubling total research</t>
  </si>
  <si>
    <t>hours per year per AI researcher</t>
  </si>
  <si>
    <t>If we change one researcher's values today, this many researchers' values will change by the time AGI is developed.</t>
  </si>
  <si>
    <t>proportion of hedonium scenarios caused by making the FAI animal-friendly</t>
  </si>
  <si>
    <t>dolorium scenarios prevented</t>
  </si>
  <si>
    <t>factory farming scenarios prevented</t>
  </si>
  <si>
    <t>Perhaps this should follow Pareto dist? http://intelligence.org/files/PredictingAGI.pdf</t>
  </si>
  <si>
    <t>I don't know the right way to calculate this variance</t>
  </si>
  <si>
    <t>user input</t>
  </si>
  <si>
    <t>Outcomes in a column are conditional on outcomes to the left, e.g. P(we reduce WAS on balance) = D8*B8. I explain my reasoning here: http://mdickens.me/2016/04/17/preventing_human_extinction,_now_with_numbers!/</t>
  </si>
  <si>
    <t>http://globalprioritiesproject.org/2015/08/quantifyingaisafety/</t>
  </si>
  <si>
    <t>*includes direct effects only</t>
  </si>
  <si>
    <t>AMF*</t>
  </si>
  <si>
    <t>Deworming*</t>
  </si>
  <si>
    <t>Criminal Justice*</t>
  </si>
  <si>
    <t>Immigration*</t>
  </si>
  <si>
    <t>Land Use Reform*</t>
  </si>
  <si>
    <t>Macroeconomic Policy*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</si>
</sst>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1">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2098">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46">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xf numFmtId="0" fontId="6" fillId="0" borderId="0" xfId="0" applyFont="1" applyAlignment="1">
      <alignment horizontal="center" vertical="center"/>
    </xf>
    <xf numFmtId="0" fontId="6"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3" xfId="0" applyNumberFormat="1" applyFill="1" applyBorder="1" applyAlignment="1">
      <alignment horizontal="center" vertical="center"/>
    </xf>
    <xf numFmtId="11" fontId="0" fillId="8" borderId="0" xfId="0" applyNumberFormat="1" applyFill="1" applyAlignment="1">
      <alignment horizontal="center" vertical="center"/>
    </xf>
    <xf numFmtId="0" fontId="0" fillId="5" borderId="0" xfId="0" applyNumberFormat="1" applyFill="1" applyBorder="1" applyAlignment="1">
      <alignment horizontal="center" vertical="center"/>
    </xf>
    <xf numFmtId="0" fontId="5" fillId="0" borderId="0" xfId="0" applyFont="1" applyAlignment="1">
      <alignment wrapText="1"/>
    </xf>
    <xf numFmtId="0" fontId="0" fillId="12" borderId="0" xfId="0" applyFill="1" applyAlignment="1">
      <alignment wrapText="1"/>
    </xf>
    <xf numFmtId="0" fontId="0" fillId="0" borderId="2" xfId="0" applyBorder="1"/>
    <xf numFmtId="0" fontId="0" fillId="0" borderId="2" xfId="0" applyBorder="1" applyAlignment="1">
      <alignment wrapText="1"/>
    </xf>
    <xf numFmtId="0" fontId="0" fillId="20" borderId="2" xfId="0" applyFill="1" applyBorder="1" applyAlignment="1">
      <alignment horizontal="center" vertical="center"/>
    </xf>
    <xf numFmtId="0" fontId="0" fillId="19" borderId="2" xfId="0" applyFill="1" applyBorder="1" applyAlignment="1">
      <alignment horizontal="center" vertical="center" wrapText="1"/>
    </xf>
    <xf numFmtId="0" fontId="0" fillId="0" borderId="3" xfId="0" applyFill="1" applyBorder="1" applyAlignment="1">
      <alignment vertical="center" wrapText="1"/>
    </xf>
    <xf numFmtId="0" fontId="0" fillId="0" borderId="0" xfId="0" applyFill="1" applyAlignment="1"/>
    <xf numFmtId="0" fontId="0" fillId="0" borderId="0" xfId="0" applyAlignment="1">
      <alignment vertical="center" wrapText="1"/>
    </xf>
    <xf numFmtId="0" fontId="0" fillId="0" borderId="0" xfId="0" applyBorder="1" applyAlignment="1">
      <alignment vertical="center"/>
    </xf>
    <xf numFmtId="0" fontId="1" fillId="0" borderId="0" xfId="2019" applyFill="1" applyAlignment="1">
      <alignment vertical="center"/>
    </xf>
    <xf numFmtId="0" fontId="3" fillId="0" borderId="0" xfId="0" applyFont="1" applyFill="1" applyAlignment="1"/>
    <xf numFmtId="0" fontId="0" fillId="12" borderId="0" xfId="0" applyFill="1" applyAlignment="1"/>
    <xf numFmtId="0" fontId="0" fillId="13" borderId="0" xfId="0" applyFill="1" applyAlignment="1"/>
    <xf numFmtId="0" fontId="0" fillId="20" borderId="0" xfId="0" applyFill="1" applyAlignment="1"/>
    <xf numFmtId="0" fontId="0" fillId="19" borderId="0" xfId="0" applyFill="1" applyAlignment="1"/>
    <xf numFmtId="0" fontId="0" fillId="0" borderId="0" xfId="0" applyFill="1" applyBorder="1" applyAlignment="1">
      <alignment horizontal="left" vertical="center"/>
    </xf>
    <xf numFmtId="0" fontId="0" fillId="0" borderId="0" xfId="0" applyAlignment="1">
      <alignment horizontal="left"/>
    </xf>
    <xf numFmtId="0" fontId="4" fillId="0" borderId="0" xfId="0" applyFont="1" applyAlignment="1">
      <alignment horizontal="center" wrapText="1"/>
    </xf>
    <xf numFmtId="0" fontId="0" fillId="0" borderId="0" xfId="0" applyAlignment="1">
      <alignment horizontal="center"/>
    </xf>
    <xf numFmtId="0" fontId="0" fillId="0" borderId="0" xfId="0" applyAlignment="1">
      <alignment horizontal="center" wrapText="1"/>
    </xf>
    <xf numFmtId="11" fontId="0" fillId="0" borderId="2" xfId="0" applyNumberFormat="1" applyFill="1" applyBorder="1" applyAlignment="1">
      <alignment vertical="center"/>
    </xf>
    <xf numFmtId="0" fontId="0" fillId="8" borderId="2" xfId="0" applyFill="1" applyBorder="1" applyAlignment="1">
      <alignment vertical="center"/>
    </xf>
    <xf numFmtId="0" fontId="0" fillId="0" borderId="3" xfId="0" applyBorder="1" applyAlignment="1">
      <alignment vertical="center"/>
    </xf>
    <xf numFmtId="0" fontId="0" fillId="13" borderId="0" xfId="0" applyFill="1" applyAlignment="1">
      <alignment horizontal="left"/>
    </xf>
    <xf numFmtId="0" fontId="0" fillId="15" borderId="0" xfId="0" applyFill="1" applyAlignment="1">
      <alignment horizontal="left"/>
    </xf>
    <xf numFmtId="0" fontId="0" fillId="8" borderId="1" xfId="0" applyNumberFormat="1" applyFill="1" applyBorder="1" applyAlignment="1">
      <alignment vertical="center"/>
    </xf>
    <xf numFmtId="0" fontId="0" fillId="8" borderId="2" xfId="0" applyNumberFormat="1" applyFill="1" applyBorder="1" applyAlignment="1">
      <alignment vertical="center"/>
    </xf>
    <xf numFmtId="0" fontId="0" fillId="0" borderId="0" xfId="0" applyNumberFormat="1" applyFill="1" applyBorder="1" applyAlignment="1">
      <alignment horizontal="center" vertical="center" wrapText="1"/>
    </xf>
    <xf numFmtId="0" fontId="0" fillId="0" borderId="0" xfId="0" applyFont="1" applyFill="1" applyBorder="1" applyAlignment="1">
      <alignment horizontal="center" vertical="center" wrapText="1"/>
    </xf>
    <xf numFmtId="0" fontId="0" fillId="2" borderId="0" xfId="0" applyFill="1" applyAlignment="1">
      <alignment horizontal="center" vertical="center"/>
    </xf>
    <xf numFmtId="0" fontId="0" fillId="8" borderId="0" xfId="0" applyNumberFormat="1" applyFill="1" applyBorder="1" applyAlignment="1">
      <alignment horizontal="center" vertical="center" wrapText="1"/>
    </xf>
    <xf numFmtId="0" fontId="5" fillId="0" borderId="0" xfId="0" applyFont="1" applyAlignment="1">
      <alignment vertical="center"/>
    </xf>
    <xf numFmtId="0" fontId="0" fillId="0" borderId="0" xfId="0" applyFill="1" applyAlignment="1">
      <alignment vertical="center"/>
    </xf>
    <xf numFmtId="0" fontId="6" fillId="7" borderId="0" xfId="0" applyFont="1" applyFill="1" applyAlignment="1">
      <alignment horizontal="center" vertical="center"/>
    </xf>
    <xf numFmtId="0" fontId="0" fillId="4" borderId="0" xfId="0" applyFill="1" applyAlignment="1">
      <alignment horizontal="center" vertical="center"/>
    </xf>
  </cellXfs>
  <cellStyles count="209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Followed Hyperlink" xfId="1920" builtinId="9" hidden="1"/>
    <cellStyle name="Followed Hyperlink" xfId="1922" builtinId="9" hidden="1"/>
    <cellStyle name="Followed Hyperlink" xfId="1924" builtinId="9" hidden="1"/>
    <cellStyle name="Followed Hyperlink" xfId="1926" builtinId="9" hidden="1"/>
    <cellStyle name="Followed Hyperlink" xfId="1928" builtinId="9" hidden="1"/>
    <cellStyle name="Followed Hyperlink" xfId="1930" builtinId="9" hidden="1"/>
    <cellStyle name="Followed Hyperlink" xfId="1932" builtinId="9" hidden="1"/>
    <cellStyle name="Followed Hyperlink" xfId="1934" builtinId="9" hidden="1"/>
    <cellStyle name="Followed Hyperlink" xfId="1936" builtinId="9" hidden="1"/>
    <cellStyle name="Followed Hyperlink" xfId="1938" builtinId="9" hidden="1"/>
    <cellStyle name="Followed Hyperlink" xfId="1940" builtinId="9" hidden="1"/>
    <cellStyle name="Followed Hyperlink" xfId="1942" builtinId="9" hidden="1"/>
    <cellStyle name="Followed Hyperlink" xfId="1944" builtinId="9" hidden="1"/>
    <cellStyle name="Followed Hyperlink" xfId="1946" builtinId="9" hidden="1"/>
    <cellStyle name="Followed Hyperlink" xfId="1948" builtinId="9" hidden="1"/>
    <cellStyle name="Followed Hyperlink" xfId="1950" builtinId="9" hidden="1"/>
    <cellStyle name="Followed Hyperlink" xfId="1952" builtinId="9" hidden="1"/>
    <cellStyle name="Followed Hyperlink" xfId="1954" builtinId="9" hidden="1"/>
    <cellStyle name="Followed Hyperlink" xfId="1956" builtinId="9" hidden="1"/>
    <cellStyle name="Followed Hyperlink" xfId="1958" builtinId="9" hidden="1"/>
    <cellStyle name="Followed Hyperlink" xfId="1960" builtinId="9" hidden="1"/>
    <cellStyle name="Followed Hyperlink" xfId="1962" builtinId="9" hidden="1"/>
    <cellStyle name="Followed Hyperlink" xfId="1964"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0" builtinId="9" hidden="1"/>
    <cellStyle name="Followed Hyperlink" xfId="2002" builtinId="9" hidden="1"/>
    <cellStyle name="Followed Hyperlink" xfId="2004"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0" builtinId="9" hidden="1"/>
    <cellStyle name="Followed Hyperlink" xfId="2021" builtinId="9" hidden="1"/>
    <cellStyle name="Followed Hyperlink" xfId="2022" builtinId="9" hidden="1"/>
    <cellStyle name="Followed Hyperlink" xfId="2023" builtinId="9" hidden="1"/>
    <cellStyle name="Followed Hyperlink" xfId="2024" builtinId="9" hidden="1"/>
    <cellStyle name="Followed Hyperlink" xfId="2025" builtinId="9" hidden="1"/>
    <cellStyle name="Followed Hyperlink" xfId="2026" builtinId="9" hidden="1"/>
    <cellStyle name="Followed Hyperlink" xfId="2027" builtinId="9" hidden="1"/>
    <cellStyle name="Followed Hyperlink" xfId="2028" builtinId="9" hidden="1"/>
    <cellStyle name="Followed Hyperlink" xfId="2029" builtinId="9" hidden="1"/>
    <cellStyle name="Followed Hyperlink" xfId="2030" builtinId="9" hidden="1"/>
    <cellStyle name="Followed Hyperlink" xfId="2031" builtinId="9" hidden="1"/>
    <cellStyle name="Followed Hyperlink" xfId="2032" builtinId="9" hidden="1"/>
    <cellStyle name="Followed Hyperlink" xfId="2033" builtinId="9" hidden="1"/>
    <cellStyle name="Followed Hyperlink" xfId="2034" builtinId="9" hidden="1"/>
    <cellStyle name="Followed Hyperlink" xfId="2035" builtinId="9" hidden="1"/>
    <cellStyle name="Followed Hyperlink" xfId="2036" builtinId="9" hidden="1"/>
    <cellStyle name="Followed Hyperlink" xfId="2037" builtinId="9" hidden="1"/>
    <cellStyle name="Followed Hyperlink" xfId="2038" builtinId="9" hidden="1"/>
    <cellStyle name="Followed Hyperlink" xfId="2039" builtinId="9" hidden="1"/>
    <cellStyle name="Followed Hyperlink" xfId="2040" builtinId="9" hidden="1"/>
    <cellStyle name="Followed Hyperlink" xfId="2041" builtinId="9" hidden="1"/>
    <cellStyle name="Followed Hyperlink" xfId="2042" builtinId="9" hidden="1"/>
    <cellStyle name="Followed Hyperlink" xfId="2043" builtinId="9" hidden="1"/>
    <cellStyle name="Followed Hyperlink" xfId="2044" builtinId="9" hidden="1"/>
    <cellStyle name="Followed Hyperlink" xfId="2045" builtinId="9" hidden="1"/>
    <cellStyle name="Followed Hyperlink" xfId="2046" builtinId="9" hidden="1"/>
    <cellStyle name="Followed Hyperlink" xfId="2047" builtinId="9" hidden="1"/>
    <cellStyle name="Followed Hyperlink" xfId="2048" builtinId="9" hidden="1"/>
    <cellStyle name="Followed Hyperlink" xfId="2049" builtinId="9" hidden="1"/>
    <cellStyle name="Followed Hyperlink" xfId="2050" builtinId="9" hidden="1"/>
    <cellStyle name="Followed Hyperlink" xfId="2051" builtinId="9" hidden="1"/>
    <cellStyle name="Followed Hyperlink" xfId="2052" builtinId="9" hidden="1"/>
    <cellStyle name="Followed Hyperlink" xfId="2053" builtinId="9" hidden="1"/>
    <cellStyle name="Followed Hyperlink" xfId="2054" builtinId="9" hidden="1"/>
    <cellStyle name="Followed Hyperlink" xfId="2055" builtinId="9" hidden="1"/>
    <cellStyle name="Followed Hyperlink" xfId="2056" builtinId="9" hidden="1"/>
    <cellStyle name="Followed Hyperlink" xfId="2057" builtinId="9" hidden="1"/>
    <cellStyle name="Followed Hyperlink" xfId="2058" builtinId="9" hidden="1"/>
    <cellStyle name="Followed Hyperlink" xfId="2059" builtinId="9" hidden="1"/>
    <cellStyle name="Followed Hyperlink" xfId="2060" builtinId="9" hidden="1"/>
    <cellStyle name="Followed Hyperlink" xfId="2061" builtinId="9" hidden="1"/>
    <cellStyle name="Followed Hyperlink" xfId="2062" builtinId="9" hidden="1"/>
    <cellStyle name="Followed Hyperlink" xfId="2063" builtinId="9" hidden="1"/>
    <cellStyle name="Followed Hyperlink" xfId="2064" builtinId="9" hidden="1"/>
    <cellStyle name="Followed Hyperlink" xfId="2065" builtinId="9" hidden="1"/>
    <cellStyle name="Followed Hyperlink" xfId="2066" builtinId="9" hidden="1"/>
    <cellStyle name="Followed Hyperlink" xfId="2067" builtinId="9" hidden="1"/>
    <cellStyle name="Followed Hyperlink" xfId="2068" builtinId="9" hidden="1"/>
    <cellStyle name="Followed Hyperlink" xfId="2069" builtinId="9" hidden="1"/>
    <cellStyle name="Followed Hyperlink" xfId="2070" builtinId="9" hidden="1"/>
    <cellStyle name="Followed Hyperlink" xfId="2071" builtinId="9" hidden="1"/>
    <cellStyle name="Followed Hyperlink" xfId="2072" builtinId="9" hidden="1"/>
    <cellStyle name="Followed Hyperlink" xfId="2073" builtinId="9" hidden="1"/>
    <cellStyle name="Followed Hyperlink" xfId="2074" builtinId="9" hidden="1"/>
    <cellStyle name="Followed Hyperlink" xfId="2075" builtinId="9" hidden="1"/>
    <cellStyle name="Followed Hyperlink" xfId="2076" builtinId="9" hidden="1"/>
    <cellStyle name="Followed Hyperlink" xfId="2077" builtinId="9" hidden="1"/>
    <cellStyle name="Followed Hyperlink" xfId="2078" builtinId="9" hidden="1"/>
    <cellStyle name="Followed Hyperlink" xfId="2079" builtinId="9" hidden="1"/>
    <cellStyle name="Followed Hyperlink" xfId="2080"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Hyperlink" xfId="1919" builtinId="8" hidden="1"/>
    <cellStyle name="Hyperlink" xfId="1921" builtinId="8" hidden="1"/>
    <cellStyle name="Hyperlink" xfId="1923" builtinId="8" hidden="1"/>
    <cellStyle name="Hyperlink" xfId="1925" builtinId="8" hidden="1"/>
    <cellStyle name="Hyperlink" xfId="1927" builtinId="8" hidden="1"/>
    <cellStyle name="Hyperlink" xfId="1929" builtinId="8" hidden="1"/>
    <cellStyle name="Hyperlink" xfId="1931" builtinId="8" hidden="1"/>
    <cellStyle name="Hyperlink" xfId="1933" builtinId="8" hidden="1"/>
    <cellStyle name="Hyperlink" xfId="1935" builtinId="8" hidden="1"/>
    <cellStyle name="Hyperlink" xfId="1937" builtinId="8" hidden="1"/>
    <cellStyle name="Hyperlink" xfId="1939" builtinId="8" hidden="1"/>
    <cellStyle name="Hyperlink" xfId="1941" builtinId="8" hidden="1"/>
    <cellStyle name="Hyperlink" xfId="1943" builtinId="8" hidden="1"/>
    <cellStyle name="Hyperlink" xfId="1945" builtinId="8" hidden="1"/>
    <cellStyle name="Hyperlink" xfId="1947" builtinId="8" hidden="1"/>
    <cellStyle name="Hyperlink" xfId="1949" builtinId="8" hidden="1"/>
    <cellStyle name="Hyperlink" xfId="1951" builtinId="8" hidden="1"/>
    <cellStyle name="Hyperlink" xfId="1953" builtinId="8" hidden="1"/>
    <cellStyle name="Hyperlink" xfId="1955" builtinId="8" hidden="1"/>
    <cellStyle name="Hyperlink" xfId="1957" builtinId="8" hidden="1"/>
    <cellStyle name="Hyperlink" xfId="1959" builtinId="8" hidden="1"/>
    <cellStyle name="Hyperlink" xfId="1961" builtinId="8" hidden="1"/>
    <cellStyle name="Hyperlink" xfId="1963" builtinId="8" hidden="1"/>
    <cellStyle name="Hyperlink" xfId="1965"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1999" builtinId="8" hidden="1"/>
    <cellStyle name="Hyperlink" xfId="2001" builtinId="8" hidden="1"/>
    <cellStyle name="Hyperlink" xfId="2003"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hyperlink" Target="http://effective-altruism.com/ea/rl/quantifying_the_impact_of_economic_growth_on_mea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30"/>
  <sheetViews>
    <sheetView workbookViewId="0">
      <selection activeCell="H11" sqref="H11"/>
    </sheetView>
  </sheetViews>
  <sheetFormatPr baseColWidth="10" defaultRowHeight="15" x14ac:dyDescent="0"/>
  <cols>
    <col min="1" max="1" width="28.83203125" customWidth="1"/>
    <col min="2" max="5" width="12.1640625" bestFit="1" customWidth="1"/>
    <col min="6" max="6" width="12.83203125" bestFit="1" customWidth="1"/>
    <col min="7" max="7" width="12.1640625" bestFit="1" customWidth="1"/>
    <col min="8" max="11" width="11.83203125" bestFit="1" customWidth="1"/>
    <col min="13" max="13" width="11.83203125" bestFit="1" customWidth="1"/>
  </cols>
  <sheetData>
    <row r="1" spans="1:12" ht="30" customHeight="1">
      <c r="A1" s="6" t="s">
        <v>143</v>
      </c>
      <c r="G1" s="6" t="s">
        <v>145</v>
      </c>
    </row>
    <row r="2" spans="1:12" ht="30" customHeight="1">
      <c r="A2" s="44"/>
      <c r="B2" s="58" t="s">
        <v>114</v>
      </c>
      <c r="C2" s="58" t="s">
        <v>115</v>
      </c>
      <c r="D2" s="58" t="s">
        <v>144</v>
      </c>
      <c r="G2" s="44"/>
      <c r="H2" s="44" t="s">
        <v>122</v>
      </c>
      <c r="I2" s="44" t="s">
        <v>30</v>
      </c>
      <c r="J2" s="58" t="s">
        <v>114</v>
      </c>
      <c r="K2" s="58" t="s">
        <v>115</v>
      </c>
    </row>
    <row r="3" spans="1:12" ht="30" customHeight="1">
      <c r="A3" s="96" t="s">
        <v>116</v>
      </c>
      <c r="B3" s="97" t="e">
        <f>GiveDirectly!B30</f>
        <v>#VALUE!</v>
      </c>
      <c r="C3" s="97" t="e">
        <f>GiveDirectly!B31</f>
        <v>#VALUE!</v>
      </c>
      <c r="D3" s="97" t="e">
        <f>C3/$C$3</f>
        <v>#VALUE!</v>
      </c>
      <c r="G3" s="139" t="s">
        <v>116</v>
      </c>
      <c r="H3" s="80">
        <f>GiveDirectly!G3</f>
        <v>1</v>
      </c>
      <c r="I3" s="79">
        <f>GiveDirectly!H3</f>
        <v>4.0000000000000008E-2</v>
      </c>
      <c r="J3" s="97">
        <f>GiveDirectly!G4</f>
        <v>0.85832741114212496</v>
      </c>
      <c r="K3" s="97" t="str">
        <f>GiveDirectly!G5</f>
        <v>disabled</v>
      </c>
    </row>
    <row r="4" spans="1:12" ht="30" customHeight="1">
      <c r="A4" s="96" t="s">
        <v>176</v>
      </c>
      <c r="B4" s="97" t="e">
        <f>THL!B30</f>
        <v>#VALUE!</v>
      </c>
      <c r="C4" s="97" t="e">
        <f>THL!B31</f>
        <v>#VALUE!</v>
      </c>
      <c r="D4" s="97" t="e">
        <f>C4/C3</f>
        <v>#VALUE!</v>
      </c>
      <c r="G4" s="80" t="s">
        <v>121</v>
      </c>
      <c r="H4" s="138">
        <f>D16</f>
        <v>11.224972160321824</v>
      </c>
      <c r="I4" s="138">
        <f>E16</f>
        <v>7.4864535847752101E-2</v>
      </c>
      <c r="J4" s="97">
        <f>ParetoPosterior(median,alpha,H4:I4)</f>
        <v>7.6651731591110082</v>
      </c>
      <c r="K4" s="97" t="str">
        <f>LognormPosterior(mu_global_poverty,sigma_global_poverty,H4:I4)</f>
        <v>disabled</v>
      </c>
    </row>
    <row r="5" spans="1:12" ht="30" customHeight="1">
      <c r="A5" s="96" t="s">
        <v>117</v>
      </c>
      <c r="B5" s="97" t="e">
        <f>'AI Safety'!B11</f>
        <v>#VALUE!</v>
      </c>
      <c r="C5" s="97" t="str">
        <f>'AI Safety'!B12</f>
        <v>disabled</v>
      </c>
      <c r="D5" s="97" t="e">
        <f>C5/$C$3</f>
        <v>#VALUE!</v>
      </c>
      <c r="G5" s="80" t="s">
        <v>176</v>
      </c>
      <c r="H5" s="138">
        <f>THL!I5</f>
        <v>5429.9171264394072</v>
      </c>
      <c r="I5" s="79">
        <f>THL!J5</f>
        <v>0.49504262895320128</v>
      </c>
      <c r="J5" s="97">
        <f>THL!I6</f>
        <v>396.49368154968971</v>
      </c>
      <c r="K5" s="97" t="str">
        <f>THL!I7</f>
        <v>disabled</v>
      </c>
    </row>
    <row r="6" spans="1:12" ht="30" customHeight="1">
      <c r="A6" s="96" t="s">
        <v>142</v>
      </c>
      <c r="B6" s="97" t="e">
        <f>'AI Targeted Values Spreading'!B23</f>
        <v>#VALUE!</v>
      </c>
      <c r="C6" s="97" t="str">
        <f>'AI Targeted Values Spreading'!B24</f>
        <v>disabled</v>
      </c>
      <c r="D6" s="97" t="e">
        <f>C6/$C$3</f>
        <v>#VALUE!</v>
      </c>
      <c r="G6" s="80" t="s">
        <v>261</v>
      </c>
      <c r="H6" s="138">
        <f>'Cage-Free'!I5</f>
        <v>88741.196746494257</v>
      </c>
      <c r="I6" s="138">
        <f>'Cage-Free'!J5</f>
        <v>0.31528753718843733</v>
      </c>
      <c r="J6" s="97">
        <f>'Cage-Free'!I6</f>
        <v>16679.269175199799</v>
      </c>
      <c r="K6" s="97" t="str">
        <f>'Cage-Free'!I7</f>
        <v>disabled</v>
      </c>
    </row>
    <row r="7" spans="1:12" ht="30" customHeight="1"/>
    <row r="8" spans="1:12" ht="30" customHeight="1">
      <c r="G8" s="3"/>
      <c r="H8" s="9"/>
      <c r="I8" s="3"/>
      <c r="K8" s="3"/>
      <c r="L8" s="3"/>
    </row>
    <row r="9" spans="1:12" ht="30" customHeight="1">
      <c r="A9" s="6" t="s">
        <v>259</v>
      </c>
    </row>
    <row r="10" spans="1:12" ht="30" customHeight="1">
      <c r="A10" s="44" t="s">
        <v>256</v>
      </c>
      <c r="B10" s="44" t="s">
        <v>0</v>
      </c>
      <c r="C10" s="44" t="s">
        <v>1</v>
      </c>
      <c r="D10" s="44" t="s">
        <v>161</v>
      </c>
      <c r="E10" s="44" t="s">
        <v>163</v>
      </c>
      <c r="F10" s="58" t="s">
        <v>114</v>
      </c>
      <c r="G10" s="58" t="s">
        <v>115</v>
      </c>
      <c r="H10" s="44" t="s">
        <v>27</v>
      </c>
    </row>
    <row r="11" spans="1:12" ht="30" customHeight="1">
      <c r="A11" s="44" t="s">
        <v>116</v>
      </c>
      <c r="B11" s="44"/>
      <c r="C11" s="44"/>
      <c r="D11" s="44"/>
      <c r="E11" s="44"/>
      <c r="F11" s="140" t="e">
        <f>B3</f>
        <v>#VALUE!</v>
      </c>
      <c r="G11" s="140" t="e">
        <f>C3</f>
        <v>#VALUE!</v>
      </c>
    </row>
    <row r="12" spans="1:12" ht="30" customHeight="1">
      <c r="A12" s="44" t="s">
        <v>176</v>
      </c>
      <c r="B12" s="44"/>
      <c r="C12" s="44"/>
      <c r="D12" s="44"/>
      <c r="E12" s="44"/>
      <c r="F12" s="140" t="e">
        <f>B4</f>
        <v>#VALUE!</v>
      </c>
      <c r="G12" s="140" t="e">
        <f>C4</f>
        <v>#VALUE!</v>
      </c>
    </row>
    <row r="13" spans="1:12" ht="30" customHeight="1">
      <c r="A13" s="44" t="s">
        <v>260</v>
      </c>
      <c r="B13" s="44"/>
      <c r="C13" s="44"/>
      <c r="D13" s="44"/>
      <c r="E13" s="44"/>
      <c r="F13" s="140">
        <f>J6</f>
        <v>16679.269175199799</v>
      </c>
      <c r="G13" s="140" t="str">
        <f>K6</f>
        <v>disabled</v>
      </c>
    </row>
    <row r="14" spans="1:12" ht="30" customHeight="1">
      <c r="A14" s="44" t="s">
        <v>117</v>
      </c>
      <c r="B14" s="44"/>
      <c r="C14" s="44"/>
      <c r="D14" s="44"/>
      <c r="E14" s="44"/>
      <c r="F14" s="140" t="e">
        <f>B5</f>
        <v>#VALUE!</v>
      </c>
      <c r="G14" s="140" t="str">
        <f>C5</f>
        <v>disabled</v>
      </c>
    </row>
    <row r="15" spans="1:12" ht="30" customHeight="1">
      <c r="A15" s="44" t="s">
        <v>142</v>
      </c>
      <c r="B15" s="44"/>
      <c r="C15" s="44"/>
      <c r="D15" s="44"/>
      <c r="E15" s="44"/>
      <c r="F15" s="140" t="e">
        <f>B6</f>
        <v>#VALUE!</v>
      </c>
      <c r="G15" s="140" t="str">
        <f>C6</f>
        <v>disabled</v>
      </c>
    </row>
    <row r="16" spans="1:12" ht="30" customHeight="1">
      <c r="A16" s="62" t="s">
        <v>285</v>
      </c>
      <c r="B16" s="92">
        <v>9</v>
      </c>
      <c r="C16" s="92">
        <v>14</v>
      </c>
      <c r="D16" s="138">
        <f t="shared" ref="D16:D21" si="0">GEOMEAN(B16,C16)</f>
        <v>11.224972160321824</v>
      </c>
      <c r="E16" s="80">
        <f t="shared" ref="E16:E21" si="1">LogVariance(B16,C16)</f>
        <v>7.4864535847752101E-2</v>
      </c>
      <c r="F16" s="140">
        <f t="shared" ref="F16:F21" si="2">ParetoPosterior(median,alpha,$D16:$E16)</f>
        <v>7.6651731591110082</v>
      </c>
      <c r="G16" s="140" t="str">
        <f>LognormPosterior(mu_global_poverty,sigma_global_poverty,$D16:$E16)</f>
        <v>disabled</v>
      </c>
    </row>
    <row r="17" spans="1:8" ht="30" customHeight="1">
      <c r="A17" s="62" t="s">
        <v>286</v>
      </c>
      <c r="B17" s="92">
        <v>6</v>
      </c>
      <c r="C17" s="92">
        <v>30</v>
      </c>
      <c r="D17" s="138">
        <f t="shared" si="0"/>
        <v>13.416407864998737</v>
      </c>
      <c r="E17" s="80">
        <f t="shared" si="1"/>
        <v>0.27270459618181209</v>
      </c>
      <c r="F17" s="140">
        <f t="shared" si="2"/>
        <v>3.7274882658620698</v>
      </c>
      <c r="G17" s="140" t="str">
        <f>LognormPosterior(mu_global_poverty,sigma_global_poverty,$D17:$E17)</f>
        <v>disabled</v>
      </c>
    </row>
    <row r="18" spans="1:8" ht="30" customHeight="1">
      <c r="A18" s="62" t="s">
        <v>287</v>
      </c>
      <c r="B18" s="92">
        <v>0.5</v>
      </c>
      <c r="C18" s="92">
        <v>15</v>
      </c>
      <c r="D18" s="138">
        <f t="shared" si="0"/>
        <v>2.7386127875258306</v>
      </c>
      <c r="E18" s="80">
        <f t="shared" si="1"/>
        <v>0.57630191965469357</v>
      </c>
      <c r="F18" s="140">
        <f t="shared" si="2"/>
        <v>0.60816760992752539</v>
      </c>
      <c r="G18" s="140" t="str">
        <f>LognormPosterior(mu_policy,sigma_policy,$D18:$E18)</f>
        <v>disabled</v>
      </c>
      <c r="H18" s="127" t="s">
        <v>257</v>
      </c>
    </row>
    <row r="19" spans="1:8" ht="30" customHeight="1">
      <c r="A19" s="62" t="s">
        <v>288</v>
      </c>
      <c r="B19" s="92">
        <v>2</v>
      </c>
      <c r="C19" s="92">
        <v>25</v>
      </c>
      <c r="D19" s="138">
        <f t="shared" si="0"/>
        <v>7.0710678118654755</v>
      </c>
      <c r="E19" s="80">
        <f t="shared" si="1"/>
        <v>0.42796171550924683</v>
      </c>
      <c r="F19" s="140">
        <f t="shared" si="2"/>
        <v>1.3899606988089097</v>
      </c>
      <c r="G19" s="140" t="str">
        <f>LognormPosterior(mu_policy,sigma_policy,$D19:$E19)</f>
        <v>disabled</v>
      </c>
    </row>
    <row r="20" spans="1:8" ht="30" customHeight="1">
      <c r="A20" s="62" t="s">
        <v>289</v>
      </c>
      <c r="B20" s="92">
        <v>0.1</v>
      </c>
      <c r="C20" s="92">
        <v>10</v>
      </c>
      <c r="D20" s="138">
        <f t="shared" si="0"/>
        <v>1</v>
      </c>
      <c r="E20" s="80">
        <f t="shared" si="1"/>
        <v>0.78030414607237897</v>
      </c>
      <c r="F20" s="140">
        <f t="shared" si="2"/>
        <v>0.32990094699021733</v>
      </c>
      <c r="G20" s="140" t="str">
        <f>LognormPosterior(mu_policy,sigma_policy,$D20:$E20)</f>
        <v>disabled</v>
      </c>
    </row>
    <row r="21" spans="1:8" ht="30" customHeight="1">
      <c r="A21" s="62" t="s">
        <v>290</v>
      </c>
      <c r="B21" s="92">
        <v>1</v>
      </c>
      <c r="C21" s="92">
        <v>100</v>
      </c>
      <c r="D21" s="138">
        <f t="shared" si="0"/>
        <v>10</v>
      </c>
      <c r="E21" s="80">
        <f t="shared" si="1"/>
        <v>0.78030414607237897</v>
      </c>
      <c r="F21" s="140">
        <f t="shared" si="2"/>
        <v>0.91744602369328643</v>
      </c>
      <c r="G21" s="140" t="str">
        <f>LognormPosterior(mu_policy,sigma_policy,$D21:$E21)</f>
        <v>disabled</v>
      </c>
    </row>
    <row r="22" spans="1:8" ht="30" customHeight="1">
      <c r="A22" s="62" t="s">
        <v>262</v>
      </c>
      <c r="B22" s="44"/>
      <c r="C22" s="44"/>
      <c r="D22" s="141" t="e">
        <f>'AI Safety'!H26/10</f>
        <v>#VALUE!</v>
      </c>
      <c r="E22" s="141" t="e">
        <f>'AI Safety'!I26</f>
        <v>#VALUE!</v>
      </c>
      <c r="F22" s="140" t="e">
        <f>ParetoPosterior(1,alpha,$D22:$E22)</f>
        <v>#VALUE!</v>
      </c>
      <c r="G22" s="140" t="str">
        <f>LognormPosterior(mu_far_future,sigma_far_future,$D22:$E22)</f>
        <v>disabled</v>
      </c>
    </row>
    <row r="23" spans="1:8" ht="30" customHeight="1">
      <c r="A23" s="62" t="s">
        <v>263</v>
      </c>
      <c r="B23" s="44"/>
      <c r="C23" s="44"/>
      <c r="D23" s="141" t="e">
        <f>D22</f>
        <v>#VALUE!</v>
      </c>
      <c r="E23" s="141" t="e">
        <f>E22</f>
        <v>#VALUE!</v>
      </c>
      <c r="F23" s="140" t="e">
        <f>ParetoPosterior(median,alpha,$D23:$E23)</f>
        <v>#VALUE!</v>
      </c>
      <c r="G23" s="140" t="str">
        <f>LognormPosterior(mu_far_future,sigma_far_future,$D23:$E23)</f>
        <v>disabled</v>
      </c>
    </row>
    <row r="24" spans="1:8" ht="30" customHeight="1">
      <c r="A24" s="45" t="s">
        <v>284</v>
      </c>
      <c r="B24" s="3"/>
      <c r="C24" s="3"/>
      <c r="D24" s="3"/>
    </row>
    <row r="25" spans="1:8" ht="30" customHeight="1"/>
    <row r="26" spans="1:8" ht="30" customHeight="1"/>
    <row r="27" spans="1:8" ht="30" customHeight="1"/>
    <row r="28" spans="1:8" ht="30" customHeight="1"/>
    <row r="29" spans="1:8" ht="30" customHeight="1"/>
    <row r="30" spans="1:8" ht="30" customHeight="1"/>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8"/>
  <sheetViews>
    <sheetView workbookViewId="0">
      <selection activeCell="A3" sqref="A3"/>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150</v>
      </c>
      <c r="C1" s="6" t="s">
        <v>81</v>
      </c>
      <c r="J1" s="6" t="s">
        <v>4</v>
      </c>
      <c r="M1" s="1"/>
    </row>
    <row r="2" spans="1:13" ht="30" customHeight="1">
      <c r="A2" s="24">
        <v>0</v>
      </c>
      <c r="B2" t="s">
        <v>151</v>
      </c>
      <c r="D2" t="s">
        <v>258</v>
      </c>
      <c r="E2" s="5" t="s">
        <v>147</v>
      </c>
      <c r="F2" s="5" t="s">
        <v>148</v>
      </c>
      <c r="G2" s="5" t="s">
        <v>149</v>
      </c>
      <c r="H2" s="3"/>
    </row>
    <row r="3" spans="1:13" s="44" customFormat="1" ht="30" customHeight="1">
      <c r="A3" s="39" t="s">
        <v>255</v>
      </c>
      <c r="C3" s="71" t="s">
        <v>82</v>
      </c>
      <c r="D3" s="72">
        <v>0.1</v>
      </c>
      <c r="E3" s="72">
        <v>0.1</v>
      </c>
      <c r="F3" s="72">
        <v>1</v>
      </c>
      <c r="G3" s="109">
        <v>10</v>
      </c>
      <c r="H3" s="71" t="s">
        <v>82</v>
      </c>
      <c r="I3" s="73" t="s">
        <v>194</v>
      </c>
      <c r="J3" s="74"/>
      <c r="K3" s="71" t="s">
        <v>3</v>
      </c>
      <c r="L3" s="75">
        <v>0.1</v>
      </c>
    </row>
    <row r="4" spans="1:13" s="44" customFormat="1" ht="30" customHeight="1">
      <c r="C4" s="71" t="s">
        <v>83</v>
      </c>
      <c r="D4" s="72">
        <f>sigma_global_poverty</f>
        <v>0.75</v>
      </c>
      <c r="E4" s="72">
        <v>0.75</v>
      </c>
      <c r="F4" s="72">
        <f>sigma_global_poverty</f>
        <v>0.75</v>
      </c>
      <c r="G4" s="72">
        <f>sigma_global_poverty</f>
        <v>0.75</v>
      </c>
      <c r="H4" s="71" t="s">
        <v>83</v>
      </c>
      <c r="I4" s="73" t="s">
        <v>195</v>
      </c>
      <c r="J4" s="74"/>
      <c r="K4" s="71" t="s">
        <v>2</v>
      </c>
      <c r="L4" s="72">
        <v>1.5</v>
      </c>
    </row>
    <row r="5" spans="1:13" ht="30" customHeight="1">
      <c r="C5" s="103" t="s">
        <v>196</v>
      </c>
      <c r="G5" s="103" t="s">
        <v>264</v>
      </c>
    </row>
    <row r="6" spans="1:13" ht="30" customHeight="1"/>
    <row r="7" spans="1:13" ht="30" customHeight="1">
      <c r="A7" s="76" t="s">
        <v>13</v>
      </c>
      <c r="B7" s="34"/>
      <c r="C7" s="34"/>
      <c r="D7" s="119" t="s">
        <v>282</v>
      </c>
      <c r="E7" s="34"/>
      <c r="F7" s="34"/>
      <c r="J7" s="6" t="s">
        <v>90</v>
      </c>
      <c r="L7" s="48" t="s">
        <v>65</v>
      </c>
    </row>
    <row r="8" spans="1:13" s="44" customFormat="1" ht="30" customHeight="1">
      <c r="A8" s="77" t="s">
        <v>5</v>
      </c>
      <c r="B8" s="78">
        <v>0.2</v>
      </c>
      <c r="C8" s="77" t="s">
        <v>12</v>
      </c>
      <c r="D8" s="78">
        <v>0.7</v>
      </c>
      <c r="E8" s="79" t="s">
        <v>253</v>
      </c>
      <c r="F8" s="79"/>
      <c r="J8" s="58" t="s">
        <v>92</v>
      </c>
      <c r="L8" s="66" t="s">
        <v>26</v>
      </c>
      <c r="M8" s="108">
        <v>20000000000</v>
      </c>
    </row>
    <row r="9" spans="1:13" s="44" customFormat="1" ht="30" customHeight="1">
      <c r="A9" s="77" t="s">
        <v>224</v>
      </c>
      <c r="B9" s="78">
        <v>0.4</v>
      </c>
      <c r="C9" s="77" t="s">
        <v>6</v>
      </c>
      <c r="D9" s="78">
        <v>0.8</v>
      </c>
      <c r="E9" s="77" t="s">
        <v>61</v>
      </c>
      <c r="F9" s="78">
        <v>0.3</v>
      </c>
      <c r="J9" s="59" t="s">
        <v>91</v>
      </c>
      <c r="L9" s="66" t="s">
        <v>97</v>
      </c>
      <c r="M9" s="92">
        <v>0.05</v>
      </c>
    </row>
    <row r="10" spans="1:13" s="44" customFormat="1" ht="30" customHeight="1">
      <c r="A10" s="80"/>
      <c r="B10" s="80"/>
      <c r="C10" s="80"/>
      <c r="D10" s="126" t="s">
        <v>240</v>
      </c>
      <c r="E10" s="77" t="s">
        <v>8</v>
      </c>
      <c r="F10" s="81">
        <v>0.4</v>
      </c>
      <c r="J10" s="60" t="s">
        <v>52</v>
      </c>
    </row>
    <row r="11" spans="1:13" s="44" customFormat="1" ht="30" customHeight="1">
      <c r="A11" s="79"/>
      <c r="B11" s="79"/>
      <c r="C11" s="79"/>
      <c r="D11" s="79"/>
      <c r="E11" s="77" t="s">
        <v>7</v>
      </c>
      <c r="F11" s="81">
        <v>0.3</v>
      </c>
      <c r="J11" s="61" t="s">
        <v>190</v>
      </c>
    </row>
    <row r="12" spans="1:13" s="44" customFormat="1" ht="30" customHeight="1">
      <c r="A12" s="77" t="s">
        <v>225</v>
      </c>
      <c r="B12" s="78">
        <v>0.4</v>
      </c>
      <c r="C12" s="77" t="s">
        <v>9</v>
      </c>
      <c r="D12" s="78">
        <v>0.05</v>
      </c>
      <c r="E12" s="80" t="s">
        <v>250</v>
      </c>
      <c r="F12" s="79"/>
      <c r="J12" s="44" t="s">
        <v>191</v>
      </c>
    </row>
    <row r="13" spans="1:13" s="44" customFormat="1" ht="30" customHeight="1">
      <c r="A13" s="79"/>
      <c r="B13" s="79"/>
      <c r="C13" s="77" t="s">
        <v>201</v>
      </c>
      <c r="D13" s="78">
        <v>0.3</v>
      </c>
      <c r="E13" s="79" t="s">
        <v>249</v>
      </c>
      <c r="F13" s="79"/>
      <c r="J13" s="62" t="s">
        <v>281</v>
      </c>
    </row>
    <row r="14" spans="1:13" s="44" customFormat="1" ht="30" customHeight="1">
      <c r="A14" s="79"/>
      <c r="B14" s="79"/>
      <c r="C14" s="77" t="s">
        <v>10</v>
      </c>
      <c r="D14" s="78">
        <v>0.64</v>
      </c>
      <c r="E14" s="79" t="s">
        <v>251</v>
      </c>
      <c r="F14" s="79"/>
      <c r="J14" s="144" t="s">
        <v>281</v>
      </c>
    </row>
    <row r="15" spans="1:13" s="44" customFormat="1" ht="30" customHeight="1">
      <c r="A15" s="79"/>
      <c r="B15" s="79"/>
      <c r="C15" s="77" t="s">
        <v>11</v>
      </c>
      <c r="D15" s="78">
        <v>0.01</v>
      </c>
      <c r="E15" s="79" t="s">
        <v>252</v>
      </c>
      <c r="F15" s="79"/>
      <c r="J15" s="145" t="s">
        <v>281</v>
      </c>
    </row>
    <row r="16" spans="1:13" ht="30" customHeight="1">
      <c r="D16" s="103" t="s">
        <v>239</v>
      </c>
    </row>
    <row r="17" spans="1:13" ht="30" customHeight="1"/>
    <row r="18" spans="1:13" ht="30" customHeight="1">
      <c r="A18" s="6" t="s">
        <v>37</v>
      </c>
      <c r="D18" s="39" t="s">
        <v>247</v>
      </c>
    </row>
    <row r="19" spans="1:13" ht="30" customHeight="1">
      <c r="A19" s="6"/>
      <c r="B19" s="39" t="s">
        <v>214</v>
      </c>
      <c r="D19" s="39" t="s">
        <v>209</v>
      </c>
    </row>
    <row r="20" spans="1:13" ht="30" customHeight="1">
      <c r="B20" s="44" t="s">
        <v>0</v>
      </c>
      <c r="C20" s="44" t="s">
        <v>1</v>
      </c>
      <c r="D20" s="45" t="s">
        <v>0</v>
      </c>
      <c r="E20" s="44" t="s">
        <v>1</v>
      </c>
      <c r="F20" s="44" t="s">
        <v>60</v>
      </c>
      <c r="G20" s="104" t="s">
        <v>210</v>
      </c>
      <c r="H20" s="44" t="s">
        <v>212</v>
      </c>
      <c r="I20" s="44" t="s">
        <v>211</v>
      </c>
      <c r="J20" s="44" t="s">
        <v>213</v>
      </c>
      <c r="K20" s="44" t="s">
        <v>161</v>
      </c>
      <c r="L20" s="44" t="s">
        <v>163</v>
      </c>
      <c r="M20" s="44" t="s">
        <v>27</v>
      </c>
    </row>
    <row r="21" spans="1:13" ht="30" customHeight="1">
      <c r="A21" s="62" t="s">
        <v>227</v>
      </c>
      <c r="B21" s="106">
        <v>1</v>
      </c>
      <c r="C21" s="45">
        <f>B21</f>
        <v>1</v>
      </c>
      <c r="D21" s="106">
        <v>1</v>
      </c>
      <c r="E21" s="45">
        <v>1</v>
      </c>
      <c r="F21" s="92">
        <v>1</v>
      </c>
      <c r="G21" s="44">
        <f t="shared" ref="G21" si="0">GEOMEAN(B21,C21)</f>
        <v>1</v>
      </c>
      <c r="H21" s="44">
        <f t="shared" ref="H21" si="1">LogVariance(B21,C21)</f>
        <v>0</v>
      </c>
      <c r="I21" s="44">
        <f t="shared" ref="I21" si="2">GEOMEAN(D21,E21)</f>
        <v>1</v>
      </c>
      <c r="J21" s="44">
        <f t="shared" ref="J21" si="3">LogVariance(D21,E21)</f>
        <v>0</v>
      </c>
      <c r="K21" s="105">
        <f>G21*I21</f>
        <v>1</v>
      </c>
      <c r="L21" s="45">
        <f>H21+J21</f>
        <v>0</v>
      </c>
      <c r="M21" s="39" t="s">
        <v>246</v>
      </c>
    </row>
    <row r="22" spans="1:13" s="44" customFormat="1" ht="30" customHeight="1">
      <c r="A22" s="64" t="s">
        <v>226</v>
      </c>
      <c r="B22" s="65">
        <v>0.6</v>
      </c>
      <c r="C22" s="92">
        <f t="shared" ref="C22:C29" si="4">B22</f>
        <v>0.6</v>
      </c>
      <c r="D22" s="106">
        <v>1</v>
      </c>
      <c r="E22" s="45">
        <v>1</v>
      </c>
      <c r="F22" s="92">
        <v>1</v>
      </c>
      <c r="G22" s="44">
        <f t="shared" ref="G22:G30" si="5">GEOMEAN(B22,C22)</f>
        <v>0.6</v>
      </c>
      <c r="H22" s="44">
        <f t="shared" ref="H22:H30" si="6">LogVariance(B22,C22)</f>
        <v>0</v>
      </c>
      <c r="I22" s="44">
        <f t="shared" ref="I22:I30" si="7">GEOMEAN(D22,E22)</f>
        <v>1</v>
      </c>
      <c r="J22" s="44">
        <f t="shared" ref="J22:J30" si="8">LogVariance(D22,E22)</f>
        <v>0</v>
      </c>
      <c r="K22" s="105">
        <f>G22*I22</f>
        <v>0.6</v>
      </c>
      <c r="L22" s="45">
        <f>H22+J22</f>
        <v>0</v>
      </c>
      <c r="M22" s="39" t="s">
        <v>228</v>
      </c>
    </row>
    <row r="23" spans="1:13" s="44" customFormat="1" ht="30" customHeight="1">
      <c r="A23" s="64" t="s">
        <v>38</v>
      </c>
      <c r="B23" s="65">
        <v>6</v>
      </c>
      <c r="C23" s="92">
        <f t="shared" si="4"/>
        <v>6</v>
      </c>
      <c r="D23" s="65">
        <v>0.3</v>
      </c>
      <c r="E23" s="92">
        <f>D23</f>
        <v>0.3</v>
      </c>
      <c r="F23" s="92">
        <v>-1</v>
      </c>
      <c r="G23" s="44">
        <f t="shared" si="5"/>
        <v>6</v>
      </c>
      <c r="H23" s="44">
        <f t="shared" si="6"/>
        <v>0</v>
      </c>
      <c r="I23" s="44">
        <f t="shared" si="7"/>
        <v>0.3</v>
      </c>
      <c r="J23" s="44">
        <f t="shared" si="8"/>
        <v>0</v>
      </c>
      <c r="K23" s="105">
        <f t="shared" ref="K23:K30" si="9">G23*I23</f>
        <v>1.7999999999999998</v>
      </c>
      <c r="L23" s="45">
        <f t="shared" ref="L23:L30" si="10">H23+J23</f>
        <v>0</v>
      </c>
      <c r="M23" s="39" t="s">
        <v>154</v>
      </c>
    </row>
    <row r="24" spans="1:13" s="44" customFormat="1" ht="30" customHeight="1">
      <c r="A24" s="66" t="s">
        <v>119</v>
      </c>
      <c r="B24" s="65">
        <v>1</v>
      </c>
      <c r="C24" s="92">
        <f t="shared" si="4"/>
        <v>1</v>
      </c>
      <c r="D24" s="65">
        <f>D23</f>
        <v>0.3</v>
      </c>
      <c r="E24" s="92">
        <f t="shared" ref="E24:E26" si="11">D24</f>
        <v>0.3</v>
      </c>
      <c r="F24" s="92">
        <v>1</v>
      </c>
      <c r="G24" s="44">
        <f t="shared" si="5"/>
        <v>1</v>
      </c>
      <c r="H24" s="44">
        <f t="shared" si="6"/>
        <v>0</v>
      </c>
      <c r="I24" s="44">
        <f t="shared" si="7"/>
        <v>0.3</v>
      </c>
      <c r="J24" s="44">
        <f t="shared" si="8"/>
        <v>0</v>
      </c>
      <c r="K24" s="105">
        <f t="shared" si="9"/>
        <v>0.3</v>
      </c>
      <c r="L24" s="45">
        <f t="shared" si="10"/>
        <v>0</v>
      </c>
      <c r="M24" s="39"/>
    </row>
    <row r="25" spans="1:13" s="44" customFormat="1" ht="30" customHeight="1">
      <c r="A25" s="64" t="s">
        <v>39</v>
      </c>
      <c r="B25" s="65">
        <v>2</v>
      </c>
      <c r="C25" s="92">
        <f t="shared" si="4"/>
        <v>2</v>
      </c>
      <c r="D25" s="65">
        <v>0.2</v>
      </c>
      <c r="E25" s="92">
        <f t="shared" si="11"/>
        <v>0.2</v>
      </c>
      <c r="F25" s="92">
        <v>-1</v>
      </c>
      <c r="G25" s="44">
        <f t="shared" si="5"/>
        <v>2</v>
      </c>
      <c r="H25" s="44">
        <f t="shared" si="6"/>
        <v>0</v>
      </c>
      <c r="I25" s="44">
        <f t="shared" si="7"/>
        <v>0.2</v>
      </c>
      <c r="J25" s="44">
        <f t="shared" si="8"/>
        <v>0</v>
      </c>
      <c r="K25" s="105">
        <f t="shared" si="9"/>
        <v>0.4</v>
      </c>
      <c r="L25" s="45">
        <f t="shared" si="10"/>
        <v>0</v>
      </c>
      <c r="M25" s="39"/>
    </row>
    <row r="26" spans="1:13" s="44" customFormat="1" ht="30" customHeight="1">
      <c r="A26" s="64" t="s">
        <v>40</v>
      </c>
      <c r="B26" s="65">
        <v>4</v>
      </c>
      <c r="C26" s="92">
        <f t="shared" si="4"/>
        <v>4</v>
      </c>
      <c r="D26" s="65">
        <v>0.01</v>
      </c>
      <c r="E26" s="92">
        <f t="shared" si="11"/>
        <v>0.01</v>
      </c>
      <c r="F26" s="92">
        <v>-1</v>
      </c>
      <c r="G26" s="44">
        <f t="shared" si="5"/>
        <v>4</v>
      </c>
      <c r="H26" s="44">
        <f t="shared" si="6"/>
        <v>0</v>
      </c>
      <c r="I26" s="44">
        <f t="shared" si="7"/>
        <v>0.01</v>
      </c>
      <c r="J26" s="44">
        <f t="shared" si="8"/>
        <v>0</v>
      </c>
      <c r="K26" s="105">
        <f t="shared" si="9"/>
        <v>0.04</v>
      </c>
      <c r="L26" s="45">
        <f t="shared" si="10"/>
        <v>0</v>
      </c>
      <c r="M26" s="39" t="s">
        <v>146</v>
      </c>
    </row>
    <row r="27" spans="1:13" s="44" customFormat="1" ht="30" customHeight="1">
      <c r="A27" s="64" t="s">
        <v>42</v>
      </c>
      <c r="B27" s="65">
        <v>1000</v>
      </c>
      <c r="C27" s="92">
        <f t="shared" si="4"/>
        <v>1000</v>
      </c>
      <c r="D27" s="106">
        <f>D22</f>
        <v>1</v>
      </c>
      <c r="E27" s="45">
        <v>1</v>
      </c>
      <c r="F27" s="45">
        <v>1</v>
      </c>
      <c r="G27" s="44">
        <f t="shared" si="5"/>
        <v>1000</v>
      </c>
      <c r="H27" s="44">
        <f t="shared" si="6"/>
        <v>0</v>
      </c>
      <c r="I27" s="44">
        <f t="shared" si="7"/>
        <v>1</v>
      </c>
      <c r="J27" s="44">
        <f t="shared" si="8"/>
        <v>0</v>
      </c>
      <c r="K27" s="105">
        <f t="shared" si="9"/>
        <v>1000</v>
      </c>
      <c r="L27" s="45">
        <f t="shared" si="10"/>
        <v>0</v>
      </c>
      <c r="M27" s="39" t="s">
        <v>45</v>
      </c>
    </row>
    <row r="28" spans="1:13" s="44" customFormat="1" ht="30" customHeight="1">
      <c r="A28" s="64" t="s">
        <v>198</v>
      </c>
      <c r="B28" s="65">
        <v>1</v>
      </c>
      <c r="C28" s="92">
        <f t="shared" si="4"/>
        <v>1</v>
      </c>
      <c r="D28" s="106">
        <v>1</v>
      </c>
      <c r="E28" s="45">
        <v>1</v>
      </c>
      <c r="F28" s="92">
        <v>1</v>
      </c>
      <c r="G28" s="44">
        <f t="shared" si="5"/>
        <v>1</v>
      </c>
      <c r="H28" s="44">
        <f t="shared" si="6"/>
        <v>0</v>
      </c>
      <c r="I28" s="44">
        <f t="shared" si="7"/>
        <v>1</v>
      </c>
      <c r="J28" s="44">
        <f t="shared" si="8"/>
        <v>0</v>
      </c>
      <c r="K28" s="105">
        <f t="shared" si="9"/>
        <v>1</v>
      </c>
      <c r="L28" s="45">
        <f t="shared" si="10"/>
        <v>0</v>
      </c>
    </row>
    <row r="29" spans="1:13" s="44" customFormat="1" ht="30" customHeight="1">
      <c r="A29" s="64" t="s">
        <v>43</v>
      </c>
      <c r="B29" s="65">
        <v>0.1</v>
      </c>
      <c r="C29" s="92">
        <f t="shared" si="4"/>
        <v>0.1</v>
      </c>
      <c r="D29" s="106">
        <v>1</v>
      </c>
      <c r="E29" s="45">
        <v>1</v>
      </c>
      <c r="F29" s="92">
        <v>-1</v>
      </c>
      <c r="G29" s="44">
        <f t="shared" si="5"/>
        <v>0.1</v>
      </c>
      <c r="H29" s="44">
        <f t="shared" si="6"/>
        <v>0</v>
      </c>
      <c r="I29" s="44">
        <f t="shared" si="7"/>
        <v>1</v>
      </c>
      <c r="J29" s="44">
        <f t="shared" si="8"/>
        <v>0</v>
      </c>
      <c r="K29" s="105">
        <f t="shared" si="9"/>
        <v>0.1</v>
      </c>
      <c r="L29" s="45">
        <f t="shared" si="10"/>
        <v>0</v>
      </c>
    </row>
    <row r="30" spans="1:13" s="44" customFormat="1" ht="30" customHeight="1">
      <c r="A30" s="64" t="s">
        <v>44</v>
      </c>
      <c r="B30" s="65">
        <f>B27</f>
        <v>1000</v>
      </c>
      <c r="C30" s="92">
        <f>C27</f>
        <v>1000</v>
      </c>
      <c r="D30" s="106">
        <v>1</v>
      </c>
      <c r="E30" s="45">
        <v>1</v>
      </c>
      <c r="F30" s="45">
        <v>-1</v>
      </c>
      <c r="G30" s="44">
        <f t="shared" si="5"/>
        <v>1000</v>
      </c>
      <c r="H30" s="44">
        <f t="shared" si="6"/>
        <v>0</v>
      </c>
      <c r="I30" s="44">
        <f t="shared" si="7"/>
        <v>1</v>
      </c>
      <c r="J30" s="44">
        <f t="shared" si="8"/>
        <v>0</v>
      </c>
      <c r="K30" s="105">
        <f t="shared" si="9"/>
        <v>1000</v>
      </c>
      <c r="L30" s="45">
        <f t="shared" si="10"/>
        <v>0</v>
      </c>
    </row>
    <row r="31" spans="1:13" s="44" customFormat="1" ht="30" customHeight="1"/>
    <row r="32" spans="1:13" s="44" customFormat="1" ht="30" customHeight="1"/>
    <row r="33" spans="1:16" s="44" customFormat="1" ht="30" customHeight="1">
      <c r="A33" s="40" t="s">
        <v>29</v>
      </c>
      <c r="J33" s="48" t="s">
        <v>31</v>
      </c>
    </row>
    <row r="34" spans="1:16" s="44" customFormat="1" ht="30" customHeight="1">
      <c r="A34" s="53" t="s">
        <v>36</v>
      </c>
      <c r="E34" s="53" t="s">
        <v>28</v>
      </c>
    </row>
    <row r="35" spans="1:16" s="44" customFormat="1" ht="30" customHeight="1">
      <c r="B35" s="44" t="s">
        <v>0</v>
      </c>
      <c r="C35" s="44" t="s">
        <v>1</v>
      </c>
      <c r="D35" s="44" t="s">
        <v>27</v>
      </c>
      <c r="F35" s="44" t="s">
        <v>0</v>
      </c>
      <c r="G35" s="44" t="s">
        <v>1</v>
      </c>
      <c r="H35" s="44" t="s">
        <v>27</v>
      </c>
      <c r="K35" s="54" t="s">
        <v>161</v>
      </c>
      <c r="L35" s="54" t="s">
        <v>162</v>
      </c>
      <c r="O35" s="54" t="s">
        <v>161</v>
      </c>
      <c r="P35" s="54" t="s">
        <v>162</v>
      </c>
    </row>
    <row r="36" spans="1:16" s="44" customFormat="1" ht="30" customHeight="1">
      <c r="A36" s="67" t="s">
        <v>14</v>
      </c>
      <c r="B36" s="68">
        <v>100000000000</v>
      </c>
      <c r="C36" s="68">
        <v>100000000000000</v>
      </c>
      <c r="D36" s="39" t="s">
        <v>33</v>
      </c>
      <c r="E36" s="67" t="s">
        <v>14</v>
      </c>
      <c r="F36" s="68">
        <v>10000000000</v>
      </c>
      <c r="G36" s="68">
        <v>100000000000000</v>
      </c>
      <c r="H36" s="39" t="s">
        <v>33</v>
      </c>
      <c r="J36" s="55" t="str">
        <f>A36</f>
        <v>accessible stars</v>
      </c>
      <c r="K36" s="44">
        <f>SQRT(B36*C36)</f>
        <v>3162277660168.3794</v>
      </c>
      <c r="L36" s="49">
        <f>LogVariance(B36,C36)</f>
        <v>1.1704562191085683</v>
      </c>
      <c r="N36" s="55" t="str">
        <f>E36</f>
        <v>accessible stars</v>
      </c>
      <c r="O36" s="44">
        <f>SQRT(F36*G36)</f>
        <v>1000000000000</v>
      </c>
      <c r="P36" s="49">
        <f>LogVariance(F36,G36)</f>
        <v>1.5606082921447579</v>
      </c>
    </row>
    <row r="37" spans="1:16" s="44" customFormat="1" ht="30" customHeight="1">
      <c r="A37" s="67" t="s">
        <v>16</v>
      </c>
      <c r="B37" s="68">
        <v>100000000000</v>
      </c>
      <c r="C37" s="68">
        <v>1000000000000</v>
      </c>
      <c r="D37" s="39" t="s">
        <v>32</v>
      </c>
      <c r="E37" s="69" t="s">
        <v>16</v>
      </c>
      <c r="F37" s="70">
        <v>100000000000</v>
      </c>
      <c r="G37" s="70">
        <v>1000000000000</v>
      </c>
      <c r="H37" s="41" t="s">
        <v>32</v>
      </c>
      <c r="J37" s="55" t="str">
        <f t="shared" ref="J37:J38" si="12">A37</f>
        <v>years of future</v>
      </c>
      <c r="K37" s="44">
        <f t="shared" ref="K37:K39" si="13">SQRT(B37*C37)</f>
        <v>316227766016.83789</v>
      </c>
      <c r="L37" s="49">
        <f t="shared" ref="L37:L39" si="14">LogVariance(B37,C37)</f>
        <v>0.39015207303618948</v>
      </c>
      <c r="M37" s="49"/>
      <c r="N37" s="55" t="str">
        <f t="shared" ref="N37:N41" si="15">E37</f>
        <v>years of future</v>
      </c>
      <c r="O37" s="44">
        <f t="shared" ref="O37:O41" si="16">SQRT(F37*G37)</f>
        <v>316227766016.83789</v>
      </c>
      <c r="P37" s="49">
        <f t="shared" ref="P37:P42" si="17">LogVariance(F37,G37)</f>
        <v>0.39015207303618948</v>
      </c>
    </row>
    <row r="38" spans="1:16" s="44" customFormat="1" ht="30" customHeight="1">
      <c r="A38" s="67" t="s">
        <v>15</v>
      </c>
      <c r="B38" s="68">
        <v>1E+20</v>
      </c>
      <c r="C38" s="68">
        <v>1.0000000000000001E+25</v>
      </c>
      <c r="D38" s="39" t="s">
        <v>33</v>
      </c>
      <c r="E38" s="67" t="s">
        <v>17</v>
      </c>
      <c r="F38" s="68">
        <v>10000000000</v>
      </c>
      <c r="G38" s="68">
        <v>1000000000000</v>
      </c>
      <c r="H38" s="39"/>
      <c r="J38" s="55" t="str">
        <f t="shared" si="12"/>
        <v>usable wattage</v>
      </c>
      <c r="K38" s="44">
        <f t="shared" si="13"/>
        <v>3.1622776601683796E+22</v>
      </c>
      <c r="L38" s="49">
        <f t="shared" si="14"/>
        <v>1.9507603651809475</v>
      </c>
      <c r="N38" s="55" t="str">
        <f t="shared" si="15"/>
        <v>humans per star</v>
      </c>
      <c r="O38" s="44">
        <f t="shared" si="16"/>
        <v>100000000000</v>
      </c>
      <c r="P38" s="49">
        <f t="shared" si="17"/>
        <v>0.78030414607237897</v>
      </c>
    </row>
    <row r="39" spans="1:16" s="44" customFormat="1" ht="30" customHeight="1">
      <c r="A39" s="67" t="s">
        <v>41</v>
      </c>
      <c r="B39" s="68">
        <v>0.1</v>
      </c>
      <c r="C39" s="68">
        <v>0.1</v>
      </c>
      <c r="D39" s="39" t="s">
        <v>33</v>
      </c>
      <c r="E39" s="67" t="s">
        <v>18</v>
      </c>
      <c r="F39" s="68">
        <v>10000000000</v>
      </c>
      <c r="G39" s="68">
        <v>1000000000000</v>
      </c>
      <c r="H39" s="39"/>
      <c r="J39" s="55" t="str">
        <f>A39</f>
        <v>brains per watt</v>
      </c>
      <c r="K39" s="44">
        <f t="shared" si="13"/>
        <v>0.1</v>
      </c>
      <c r="L39" s="49">
        <f t="shared" si="14"/>
        <v>0</v>
      </c>
      <c r="N39" s="55" t="str">
        <f t="shared" si="15"/>
        <v>factory farmed animals per star</v>
      </c>
      <c r="O39" s="44">
        <f t="shared" si="16"/>
        <v>100000000000</v>
      </c>
      <c r="P39" s="49">
        <f t="shared" si="17"/>
        <v>0.78030414607237897</v>
      </c>
    </row>
    <row r="40" spans="1:16" s="44" customFormat="1" ht="30" customHeight="1">
      <c r="A40" s="55"/>
      <c r="B40" s="56"/>
      <c r="C40" s="56"/>
      <c r="E40" s="67" t="s">
        <v>19</v>
      </c>
      <c r="F40" s="68">
        <v>10000000000000</v>
      </c>
      <c r="G40" s="68">
        <v>1E+16</v>
      </c>
      <c r="H40" s="39" t="s">
        <v>34</v>
      </c>
      <c r="J40" s="55"/>
      <c r="L40" s="49"/>
      <c r="N40" s="55" t="str">
        <f t="shared" si="15"/>
        <v>wild vertebrates per star</v>
      </c>
      <c r="O40" s="44">
        <f t="shared" si="16"/>
        <v>316227766016837.94</v>
      </c>
      <c r="P40" s="49">
        <f t="shared" si="17"/>
        <v>1.1704562191085683</v>
      </c>
    </row>
    <row r="41" spans="1:16" s="44" customFormat="1" ht="30" customHeight="1">
      <c r="A41" s="55"/>
      <c r="B41" s="56"/>
      <c r="C41" s="56"/>
      <c r="E41" s="67" t="s">
        <v>54</v>
      </c>
      <c r="F41" s="68">
        <v>1E+17</v>
      </c>
      <c r="G41" s="68">
        <v>1E+21</v>
      </c>
      <c r="H41" s="39" t="s">
        <v>35</v>
      </c>
      <c r="J41" s="55"/>
      <c r="L41" s="49"/>
      <c r="N41" s="55" t="str">
        <f t="shared" si="15"/>
        <v>insects per star</v>
      </c>
      <c r="O41" s="44">
        <f t="shared" si="16"/>
        <v>1E+19</v>
      </c>
      <c r="P41" s="49">
        <f t="shared" si="17"/>
        <v>1.5606082921447579</v>
      </c>
    </row>
    <row r="42" spans="1:16" s="44" customFormat="1" ht="30" customHeight="1">
      <c r="E42" s="67" t="s">
        <v>58</v>
      </c>
      <c r="F42" s="68">
        <v>1E-3</v>
      </c>
      <c r="G42" s="68">
        <v>1</v>
      </c>
      <c r="H42" s="39"/>
      <c r="N42" s="55" t="str">
        <f>E42</f>
        <v>simulations per insect</v>
      </c>
      <c r="O42" s="44">
        <f>SQRT(F42*G42)</f>
        <v>3.1622776601683791E-2</v>
      </c>
      <c r="P42" s="49">
        <f t="shared" si="17"/>
        <v>1.1704562191085683</v>
      </c>
    </row>
    <row r="45" spans="1:16" ht="20">
      <c r="A45" s="6" t="s">
        <v>20</v>
      </c>
    </row>
    <row r="46" spans="1:16">
      <c r="A46">
        <v>1</v>
      </c>
      <c r="B46" t="s">
        <v>25</v>
      </c>
      <c r="C46" t="s">
        <v>21</v>
      </c>
    </row>
    <row r="47" spans="1:16">
      <c r="A47">
        <v>2</v>
      </c>
      <c r="B47" t="s">
        <v>126</v>
      </c>
      <c r="C47" t="s">
        <v>22</v>
      </c>
    </row>
    <row r="48" spans="1:16">
      <c r="A48">
        <v>3</v>
      </c>
      <c r="B48" t="s">
        <v>23</v>
      </c>
      <c r="C48" t="s">
        <v>24</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L8" sqref="L8"/>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51</v>
      </c>
      <c r="F1" s="11" t="s">
        <v>46</v>
      </c>
      <c r="K1" s="11" t="s">
        <v>59</v>
      </c>
      <c r="L1" s="12" t="s">
        <v>230</v>
      </c>
    </row>
    <row r="2" spans="1:18" ht="45">
      <c r="B2" s="110" t="s">
        <v>161</v>
      </c>
      <c r="C2" s="110" t="s">
        <v>162</v>
      </c>
      <c r="D2" s="5" t="s">
        <v>27</v>
      </c>
      <c r="E2" s="5"/>
      <c r="F2" s="5"/>
      <c r="G2" s="110" t="s">
        <v>161</v>
      </c>
      <c r="H2" s="110" t="s">
        <v>162</v>
      </c>
      <c r="I2" s="5" t="s">
        <v>27</v>
      </c>
      <c r="L2" s="3" t="s">
        <v>165</v>
      </c>
      <c r="M2" s="3" t="s">
        <v>163</v>
      </c>
      <c r="O2" t="s">
        <v>166</v>
      </c>
      <c r="Q2" s="3"/>
      <c r="R2" s="3"/>
    </row>
    <row r="3" spans="1:18">
      <c r="A3" s="5" t="s">
        <v>14</v>
      </c>
      <c r="B3" s="8">
        <f>VLOOKUP($A3,Globals!$J$36:$L$40,2,FALSE)</f>
        <v>3162277660168.3794</v>
      </c>
      <c r="C3" s="8">
        <f>VLOOKUP($A3,Globals!$J$36:$L$40,3,FALSE)</f>
        <v>1.1704562191085683</v>
      </c>
      <c r="D3" s="5"/>
      <c r="E3" s="5"/>
      <c r="F3" s="5" t="s">
        <v>14</v>
      </c>
      <c r="G3" s="5">
        <f>VLOOKUP($F3,Globals!$N$36:$P$42,2,FALSE)</f>
        <v>1000000000000</v>
      </c>
      <c r="H3" s="5">
        <f>VLOOKUP($F3,Globals!$N$36:$P$42,3,FALSE)</f>
        <v>1.5606082921447579</v>
      </c>
      <c r="I3" s="5"/>
      <c r="K3" s="15" t="s">
        <v>188</v>
      </c>
      <c r="L3" s="14">
        <f>G10*O3</f>
        <v>1.2649110640673517E+34</v>
      </c>
      <c r="M3" s="14">
        <f>H10</f>
        <v>2.7310645112533267</v>
      </c>
      <c r="N3" t="s">
        <v>72</v>
      </c>
      <c r="O3">
        <f>p_biological</f>
        <v>0.4</v>
      </c>
      <c r="Q3" s="3"/>
      <c r="R3" s="3"/>
    </row>
    <row r="4" spans="1:18">
      <c r="A4" s="5" t="s">
        <v>16</v>
      </c>
      <c r="B4" s="8">
        <f>VLOOKUP($A4,Globals!$J$36:$L$40,2,FALSE)</f>
        <v>316227766016.83789</v>
      </c>
      <c r="C4" s="8">
        <f>VLOOKUP($A4,Globals!$J$36:$L$40,3,FALSE)</f>
        <v>0.39015207303618948</v>
      </c>
      <c r="D4" s="5"/>
      <c r="E4" s="5"/>
      <c r="F4" s="5" t="s">
        <v>16</v>
      </c>
      <c r="G4" s="5">
        <f>VLOOKUP($F4,Globals!$N$36:$P$42,2,FALSE)</f>
        <v>316227766016.83789</v>
      </c>
      <c r="H4" s="5">
        <f>VLOOKUP($F4,Globals!$N$36:$P$42,3,FALSE)</f>
        <v>0.39015207303618948</v>
      </c>
      <c r="I4" s="5"/>
      <c r="K4" s="15" t="s">
        <v>182</v>
      </c>
      <c r="L4" s="14">
        <f>B11*O4</f>
        <v>6.3245553203367595E+46</v>
      </c>
      <c r="M4" s="14">
        <f>C11</f>
        <v>3.5113686573257055</v>
      </c>
      <c r="N4" t="s">
        <v>76</v>
      </c>
      <c r="O4">
        <f>p_computronium*p_hedonium</f>
        <v>2.0000000000000004E-2</v>
      </c>
      <c r="Q4" s="3"/>
      <c r="R4" s="3"/>
    </row>
    <row r="5" spans="1:18">
      <c r="A5" s="5" t="s">
        <v>15</v>
      </c>
      <c r="B5" s="8">
        <f>VLOOKUP($A5,Globals!$J$36:$L$40,2,FALSE)</f>
        <v>3.1622776601683796E+22</v>
      </c>
      <c r="C5" s="8">
        <f>VLOOKUP($A5,Globals!$J$36:$L$40,3,FALSE)</f>
        <v>1.9507603651809475</v>
      </c>
      <c r="D5" s="5"/>
      <c r="E5" s="5"/>
      <c r="F5" s="5"/>
      <c r="G5" s="5"/>
      <c r="H5" s="5"/>
      <c r="I5" s="5"/>
      <c r="K5" s="15" t="s">
        <v>199</v>
      </c>
      <c r="L5" s="14">
        <f>B16*O5</f>
        <v>3.7947331922020553E+44</v>
      </c>
      <c r="M5" s="14">
        <f>C16</f>
        <v>3.5113686573257055</v>
      </c>
      <c r="N5" t="s">
        <v>200</v>
      </c>
      <c r="O5">
        <f>p_computronium*p_ems</f>
        <v>0.12</v>
      </c>
      <c r="Q5" s="3"/>
      <c r="R5" s="3"/>
    </row>
    <row r="6" spans="1:18">
      <c r="A6" s="5" t="s">
        <v>41</v>
      </c>
      <c r="B6" s="8">
        <f>VLOOKUP($A6,Globals!$J$36:$L$40,2,FALSE)</f>
        <v>0.1</v>
      </c>
      <c r="C6" s="8">
        <f>VLOOKUP($A6,Globals!$J$36:$L$40,3,FALSE)</f>
        <v>0</v>
      </c>
      <c r="D6" s="5"/>
      <c r="E6" s="5"/>
      <c r="F6" s="5"/>
      <c r="G6" s="5"/>
      <c r="H6" s="5"/>
      <c r="I6" s="5"/>
      <c r="K6" s="30" t="s">
        <v>157</v>
      </c>
      <c r="L6" s="31" t="str">
        <f>WriteArray(SumLognormDists(L3:M5))</f>
        <v>disabled</v>
      </c>
      <c r="M6" s="31" t="s">
        <v>153</v>
      </c>
      <c r="Q6" s="3"/>
      <c r="R6" s="3"/>
    </row>
    <row r="7" spans="1:18">
      <c r="B7" s="5"/>
      <c r="C7" s="5"/>
      <c r="D7" s="5"/>
      <c r="E7" s="5"/>
      <c r="F7" s="10" t="s">
        <v>50</v>
      </c>
      <c r="G7" s="5"/>
      <c r="H7" s="5"/>
      <c r="I7" s="5"/>
      <c r="K7" s="3" t="s">
        <v>160</v>
      </c>
      <c r="L7" s="3" t="e">
        <f>STupidExcelMean(L6)</f>
        <v>#VALUE!</v>
      </c>
      <c r="M7" s="3" t="e">
        <f>STupidExcelVariance(L6,L7)</f>
        <v>#VALUE!</v>
      </c>
      <c r="N7" t="s">
        <v>155</v>
      </c>
      <c r="Q7" s="3"/>
      <c r="R7" s="3"/>
    </row>
    <row r="8" spans="1:18">
      <c r="B8" s="5"/>
      <c r="C8" s="5"/>
      <c r="D8" s="5"/>
      <c r="E8" s="5"/>
      <c r="F8" s="5" t="s">
        <v>17</v>
      </c>
      <c r="G8" s="5">
        <f>VLOOKUP($F8,Globals!$N$36:$P$42,2,FALSE)</f>
        <v>100000000000</v>
      </c>
      <c r="H8" s="5">
        <f>VLOOKUP($F8,Globals!$N$36:$P$42,3,FALSE)</f>
        <v>0.78030414607237897</v>
      </c>
      <c r="I8" s="5"/>
      <c r="Q8" s="3"/>
      <c r="R8" s="3"/>
    </row>
    <row r="9" spans="1:18" ht="30">
      <c r="A9" s="10" t="s">
        <v>47</v>
      </c>
      <c r="B9" s="5"/>
      <c r="C9" s="5"/>
      <c r="D9" s="5"/>
      <c r="E9" s="5"/>
      <c r="F9" s="5" t="s">
        <v>227</v>
      </c>
      <c r="G9" s="5">
        <f>VLOOKUP(F9,Globals!$A$21:$L$30,11,FALSE)</f>
        <v>1</v>
      </c>
      <c r="H9" s="5">
        <f>VLOOKUP(F9,Globals!$A$21:$L$30,12,FALSE)</f>
        <v>0</v>
      </c>
      <c r="I9" s="12" t="s">
        <v>229</v>
      </c>
      <c r="K9" s="15" t="s">
        <v>187</v>
      </c>
      <c r="L9" s="14">
        <f>G16*O9</f>
        <v>5.4644157967709579E+33</v>
      </c>
      <c r="M9" s="14">
        <f>H16</f>
        <v>2.7310645112533267</v>
      </c>
      <c r="N9" t="s">
        <v>62</v>
      </c>
      <c r="O9">
        <f>p_biological*p_not_care_about_animals*p_factory_farming</f>
        <v>9.6000000000000016E-2</v>
      </c>
      <c r="Q9" s="3"/>
      <c r="R9" s="3"/>
    </row>
    <row r="10" spans="1:18">
      <c r="A10" s="5" t="s">
        <v>42</v>
      </c>
      <c r="B10" s="5">
        <f>VLOOKUP(A10,Globals!$A$21:$L$30,11,FALSE)</f>
        <v>1000</v>
      </c>
      <c r="C10" s="5">
        <f>VLOOKUP(A10,Globals!$A$21:$L$30,12,FALSE)</f>
        <v>0</v>
      </c>
      <c r="D10" s="5"/>
      <c r="E10" s="5"/>
      <c r="F10" s="17" t="s">
        <v>52</v>
      </c>
      <c r="G10" s="111">
        <f>PRODUCT(G$3:G$4)*PRODUCT(G8:G9)</f>
        <v>3.1622776601683788E+34</v>
      </c>
      <c r="H10" s="111">
        <f>SUM(H$3:H$4)+SUM(H8:H9)</f>
        <v>2.7310645112533267</v>
      </c>
      <c r="I10" s="5"/>
      <c r="K10" s="15" t="s">
        <v>184</v>
      </c>
      <c r="L10" s="14">
        <f>G22*O10</f>
        <v>5.1200000000000003E+36</v>
      </c>
      <c r="M10" s="14">
        <f>H22</f>
        <v>3.1212165842895159</v>
      </c>
      <c r="N10" t="s">
        <v>73</v>
      </c>
      <c r="O10">
        <f>p_biological*p_not_care_about_animals*p_spread_was</f>
        <v>0.12800000000000003</v>
      </c>
      <c r="Q10" s="3"/>
      <c r="R10" s="3"/>
    </row>
    <row r="11" spans="1:18">
      <c r="A11" s="16" t="s">
        <v>52</v>
      </c>
      <c r="B11" s="111">
        <f>PRODUCT($B$3:$B$6)*B10</f>
        <v>3.1622776601683793E+48</v>
      </c>
      <c r="C11" s="111">
        <f>SUM(C$3:C$6)+C10</f>
        <v>3.5113686573257055</v>
      </c>
      <c r="D11" s="5"/>
      <c r="E11" s="5"/>
      <c r="F11" s="5"/>
      <c r="G11" s="5"/>
      <c r="H11" s="5"/>
      <c r="I11" s="5"/>
      <c r="K11" s="15" t="s">
        <v>185</v>
      </c>
      <c r="L11" s="14">
        <f>G28*O11</f>
        <v>1.6190861620062103E+40</v>
      </c>
      <c r="M11" s="14">
        <f>H28</f>
        <v>3.5113686573257055</v>
      </c>
      <c r="N11" t="s">
        <v>74</v>
      </c>
      <c r="O11">
        <f>p_biological*p_not_care_about_animals*p_spread_was</f>
        <v>0.12800000000000003</v>
      </c>
      <c r="Q11" s="3"/>
      <c r="R11" s="3"/>
    </row>
    <row r="12" spans="1:18">
      <c r="B12" s="8"/>
      <c r="C12" s="5"/>
      <c r="D12" s="5"/>
      <c r="E12" s="5"/>
      <c r="F12" s="5"/>
      <c r="G12" s="5"/>
      <c r="H12" s="5"/>
      <c r="I12" s="5"/>
      <c r="K12" s="15" t="s">
        <v>186</v>
      </c>
      <c r="L12" s="14">
        <f>G35*O12</f>
        <v>3.8399999999999992E+38</v>
      </c>
      <c r="M12" s="14">
        <f>H35</f>
        <v>4.6818248764342734</v>
      </c>
      <c r="N12" t="s">
        <v>75</v>
      </c>
      <c r="O12">
        <f>p_biological*p_not_care_about_animals*p_suffering_simulations</f>
        <v>9.6000000000000016E-2</v>
      </c>
      <c r="Q12" s="3"/>
      <c r="R12" s="3"/>
    </row>
    <row r="13" spans="1:18" ht="30">
      <c r="B13" s="5"/>
      <c r="C13" s="5"/>
      <c r="D13" s="5"/>
      <c r="E13" s="5"/>
      <c r="F13" s="10" t="s">
        <v>53</v>
      </c>
      <c r="G13" s="5"/>
      <c r="H13" s="5"/>
      <c r="I13" s="5"/>
      <c r="K13" s="15" t="s">
        <v>189</v>
      </c>
      <c r="L13" s="14">
        <f>B21*O13</f>
        <v>8.0954308100310524E+43</v>
      </c>
      <c r="M13" s="14">
        <f>C21</f>
        <v>3.5113686573257055</v>
      </c>
      <c r="N13" t="s">
        <v>77</v>
      </c>
      <c r="O13">
        <f>p_computronium*p_paperclip</f>
        <v>0.25600000000000001</v>
      </c>
      <c r="Q13" s="3"/>
      <c r="R13" s="3"/>
    </row>
    <row r="14" spans="1:18" ht="30">
      <c r="A14" s="10" t="s">
        <v>197</v>
      </c>
      <c r="B14" s="5"/>
      <c r="C14" s="5"/>
      <c r="D14" s="5"/>
      <c r="E14" s="5"/>
      <c r="F14" s="5" t="s">
        <v>18</v>
      </c>
      <c r="G14" s="5">
        <f>VLOOKUP($F14,Globals!$N$36:$P$42,2,FALSE)</f>
        <v>100000000000</v>
      </c>
      <c r="H14" s="5">
        <f>VLOOKUP($F14,Globals!$N$36:$P$42,3,FALSE)</f>
        <v>0.78030414607237897</v>
      </c>
      <c r="I14" s="5"/>
      <c r="K14" s="15" t="s">
        <v>183</v>
      </c>
      <c r="L14" s="14">
        <f>B26*O14</f>
        <v>1.2649110640673518E+46</v>
      </c>
      <c r="M14" s="14">
        <f>C26</f>
        <v>3.5113686573257055</v>
      </c>
      <c r="N14" t="s">
        <v>78</v>
      </c>
      <c r="O14">
        <f>p_computronium*p_dolorium</f>
        <v>4.0000000000000001E-3</v>
      </c>
    </row>
    <row r="15" spans="1:18" ht="30">
      <c r="A15" s="5" t="s">
        <v>198</v>
      </c>
      <c r="B15" s="5">
        <f>VLOOKUP(A15,Globals!$A$21:$L$30,11,FALSE)</f>
        <v>1</v>
      </c>
      <c r="C15" s="5">
        <f>VLOOKUP(A15,Globals!$A$21:$L$30,12,FALSE)</f>
        <v>0</v>
      </c>
      <c r="D15" s="5"/>
      <c r="E15" s="5"/>
      <c r="F15" s="5" t="s">
        <v>38</v>
      </c>
      <c r="G15" s="5">
        <f>VLOOKUP(F15,Globals!$A$21:$L$30,11,FALSE)</f>
        <v>1.7999999999999998</v>
      </c>
      <c r="H15" s="5">
        <f>VLOOKUP(F15,Globals!$A$21:$L$30,12,FALSE)</f>
        <v>0</v>
      </c>
      <c r="I15" s="5"/>
      <c r="K15" s="30" t="s">
        <v>158</v>
      </c>
      <c r="L15" s="31" t="str">
        <f>WriteArray(SumLognormDists(L9:M14))</f>
        <v>disabled</v>
      </c>
      <c r="M15" s="31" t="s">
        <v>153</v>
      </c>
    </row>
    <row r="16" spans="1:18">
      <c r="A16" s="16" t="s">
        <v>52</v>
      </c>
      <c r="B16" s="111">
        <f>PRODUCT($B$3:$B$6)*B15</f>
        <v>3.1622776601683795E+45</v>
      </c>
      <c r="C16" s="111">
        <f>SUM(C$3:C$6)+C15</f>
        <v>3.5113686573257055</v>
      </c>
      <c r="D16" s="5"/>
      <c r="E16" s="5"/>
      <c r="F16" s="17" t="s">
        <v>52</v>
      </c>
      <c r="G16" s="111">
        <f>PRODUCT(G$3:G$4)*PRODUCT(G14:G15)</f>
        <v>5.6920997883030807E+34</v>
      </c>
      <c r="H16" s="111">
        <f>SUM(H$3:H$4)+SUM(H14:H15)</f>
        <v>2.7310645112533267</v>
      </c>
      <c r="I16" s="5"/>
      <c r="K16" s="3" t="s">
        <v>159</v>
      </c>
      <c r="L16" s="3" t="e">
        <f>STupidExcelMean(L15)</f>
        <v>#VALUE!</v>
      </c>
      <c r="M16" s="3" t="e">
        <f>STupidExcelVariance(L15,L16)</f>
        <v>#VALUE!</v>
      </c>
      <c r="N16" s="7" t="s">
        <v>155</v>
      </c>
    </row>
    <row r="17" spans="1:23">
      <c r="B17" s="5"/>
      <c r="C17" s="5"/>
      <c r="D17" s="5"/>
      <c r="E17" s="5"/>
      <c r="F17" s="5"/>
      <c r="G17" s="5"/>
      <c r="H17" s="5"/>
      <c r="I17" s="5"/>
    </row>
    <row r="18" spans="1:23">
      <c r="B18" s="5"/>
      <c r="C18" s="5"/>
      <c r="D18" s="5"/>
      <c r="E18" s="5"/>
      <c r="F18" s="5"/>
      <c r="G18" s="5"/>
      <c r="H18" s="5"/>
      <c r="I18" s="5"/>
      <c r="K18" s="3" t="s">
        <v>156</v>
      </c>
      <c r="L18" s="3" t="e">
        <f>L7-L16</f>
        <v>#VALUE!</v>
      </c>
      <c r="M18" t="e">
        <f>DifferenceVariance(L7:M7,L16:M16)</f>
        <v>#VALUE!</v>
      </c>
    </row>
    <row r="19" spans="1:23" ht="30">
      <c r="A19" s="10" t="s">
        <v>48</v>
      </c>
      <c r="B19" s="5"/>
      <c r="C19" s="5"/>
      <c r="D19" s="5"/>
      <c r="E19" s="5"/>
      <c r="F19" s="10" t="s">
        <v>55</v>
      </c>
      <c r="G19" s="5"/>
      <c r="H19" s="5"/>
      <c r="I19" s="5"/>
      <c r="K19" s="27" t="s">
        <v>109</v>
      </c>
      <c r="L19" s="19" t="e">
        <f>EXP(MuFromParams(L18,M18))</f>
        <v>#VALUE!</v>
      </c>
      <c r="M19" s="19" t="e">
        <f>(SigmaFromParams(L18,M18) / LN(10))^2</f>
        <v>#VALUE!</v>
      </c>
      <c r="S19" s="3"/>
      <c r="T19" s="3"/>
      <c r="U19" s="3"/>
      <c r="V19" s="3"/>
      <c r="W19" s="3"/>
    </row>
    <row r="20" spans="1:23">
      <c r="A20" s="5" t="s">
        <v>43</v>
      </c>
      <c r="B20" s="5">
        <f>VLOOKUP(A20,Globals!$A$21:$L$30,11,FALSE)</f>
        <v>0.1</v>
      </c>
      <c r="C20" s="5">
        <f>VLOOKUP(A20,Globals!$A$21:$L$30,12,FALSE)</f>
        <v>0</v>
      </c>
      <c r="D20" s="5"/>
      <c r="E20" s="5"/>
      <c r="F20" s="5" t="s">
        <v>19</v>
      </c>
      <c r="G20" s="5">
        <f>VLOOKUP($F20,Globals!$N$36:$P$42,2,FALSE)</f>
        <v>316227766016837.94</v>
      </c>
      <c r="H20" s="5">
        <f>VLOOKUP($F20,Globals!$N$36:$P$42,3,FALSE)</f>
        <v>1.1704562191085683</v>
      </c>
      <c r="I20" s="5"/>
      <c r="S20" s="22"/>
      <c r="T20" s="3"/>
      <c r="U20" s="3"/>
      <c r="V20" s="3"/>
      <c r="W20" s="3"/>
    </row>
    <row r="21" spans="1:23" ht="30">
      <c r="A21" s="16" t="s">
        <v>52</v>
      </c>
      <c r="B21" s="111">
        <f>PRODUCT($B$3:$B$6)*B20</f>
        <v>3.1622776601683798E+44</v>
      </c>
      <c r="C21" s="111">
        <f>SUM(C$3:C$6)+C20</f>
        <v>3.5113686573257055</v>
      </c>
      <c r="D21" s="5"/>
      <c r="E21" s="5"/>
      <c r="F21" s="5" t="s">
        <v>39</v>
      </c>
      <c r="G21" s="5">
        <f>VLOOKUP(F21,Globals!$A$21:$L$30,11,FALSE)</f>
        <v>0.4</v>
      </c>
      <c r="H21" s="5">
        <f>VLOOKUP(F21,Globals!$A$21:$L$30,12,FALSE)</f>
        <v>0</v>
      </c>
      <c r="I21" s="5"/>
      <c r="L21" s="3"/>
      <c r="M21" s="3"/>
      <c r="N21" s="28"/>
      <c r="S21" s="8"/>
      <c r="T21" s="3"/>
      <c r="U21" s="3"/>
      <c r="V21" s="3"/>
      <c r="W21" s="3"/>
    </row>
    <row r="22" spans="1:23">
      <c r="B22" s="5"/>
      <c r="C22" s="5"/>
      <c r="D22" s="5"/>
      <c r="E22" s="5"/>
      <c r="F22" s="17" t="s">
        <v>52</v>
      </c>
      <c r="G22" s="111">
        <f>PRODUCT(G$3:G$4)*PRODUCT(G20:G21)</f>
        <v>3.9999999999999993E+37</v>
      </c>
      <c r="H22" s="111">
        <f>SUM(H$3:H$4)+SUM(H20:H21)</f>
        <v>3.1212165842895159</v>
      </c>
      <c r="I22" s="5"/>
      <c r="L22" s="2"/>
      <c r="M22" s="2"/>
      <c r="S22" s="8"/>
      <c r="T22" s="3"/>
      <c r="U22" s="3"/>
      <c r="V22" s="3"/>
      <c r="W22" s="3"/>
    </row>
    <row r="23" spans="1:23">
      <c r="B23" s="5"/>
      <c r="C23" s="5"/>
      <c r="D23" s="5"/>
      <c r="E23" s="5"/>
      <c r="F23" s="5"/>
      <c r="G23" s="5"/>
      <c r="H23" s="5"/>
      <c r="I23" s="5"/>
      <c r="K23" s="3"/>
      <c r="L23" s="3"/>
      <c r="M23" s="3"/>
      <c r="S23" s="8"/>
      <c r="T23" s="3"/>
      <c r="U23" s="3"/>
      <c r="V23" s="3"/>
      <c r="W23" s="3"/>
    </row>
    <row r="24" spans="1:23">
      <c r="A24" s="10" t="s">
        <v>49</v>
      </c>
      <c r="B24" s="5"/>
      <c r="C24" s="5"/>
      <c r="D24" s="5"/>
      <c r="E24" s="5"/>
      <c r="F24" s="5"/>
      <c r="G24" s="5"/>
      <c r="H24" s="5"/>
      <c r="I24" s="5"/>
      <c r="L24" s="3"/>
      <c r="M24" s="3"/>
      <c r="S24" s="8"/>
      <c r="T24" s="3"/>
      <c r="U24" s="3"/>
      <c r="V24" s="3"/>
      <c r="W24" s="3"/>
    </row>
    <row r="25" spans="1:23">
      <c r="A25" s="5" t="s">
        <v>44</v>
      </c>
      <c r="B25" s="5">
        <f>VLOOKUP(A25,Globals!$A$21:$L$30,11,FALSE)</f>
        <v>1000</v>
      </c>
      <c r="C25" s="5">
        <f>VLOOKUP(A25,Globals!$A$21:$L$30,12,FALSE)</f>
        <v>0</v>
      </c>
      <c r="D25" s="5"/>
      <c r="E25" s="5"/>
      <c r="F25" s="10" t="s">
        <v>56</v>
      </c>
      <c r="G25" s="5"/>
      <c r="H25" s="5"/>
      <c r="I25" s="5"/>
      <c r="M25" s="28"/>
      <c r="S25" s="8"/>
      <c r="T25" s="3"/>
      <c r="U25" s="3"/>
      <c r="V25" s="3"/>
      <c r="W25" s="3"/>
    </row>
    <row r="26" spans="1:23">
      <c r="A26" s="16" t="s">
        <v>52</v>
      </c>
      <c r="B26" s="111">
        <f>PRODUCT($B$3:$B$6)*B25</f>
        <v>3.1622776601683793E+48</v>
      </c>
      <c r="C26" s="111">
        <f>SUM(C$3:C$6)+C25</f>
        <v>3.5113686573257055</v>
      </c>
      <c r="D26" s="5"/>
      <c r="E26" s="5"/>
      <c r="F26" s="5" t="s">
        <v>54</v>
      </c>
      <c r="G26" s="5">
        <f>VLOOKUP($F26,Globals!$N$36:$P$42,2,FALSE)</f>
        <v>1E+19</v>
      </c>
      <c r="H26" s="5">
        <f>VLOOKUP($F26,Globals!$N$36:$P$42,3,FALSE)</f>
        <v>1.5606082921447579</v>
      </c>
      <c r="I26" s="5"/>
      <c r="M26" s="28"/>
      <c r="S26" s="23"/>
      <c r="T26" s="3"/>
      <c r="U26" s="3"/>
      <c r="V26" s="3"/>
      <c r="W26" s="3"/>
    </row>
    <row r="27" spans="1:23">
      <c r="A27" s="8"/>
      <c r="B27" s="8"/>
      <c r="C27" s="8"/>
      <c r="D27" s="5"/>
      <c r="E27" s="5"/>
      <c r="F27" s="5" t="s">
        <v>40</v>
      </c>
      <c r="G27" s="5">
        <f>VLOOKUP(F27,Globals!$A$21:$L$30,11,FALSE)</f>
        <v>0.04</v>
      </c>
      <c r="H27" s="5">
        <f>VLOOKUP(F27,Globals!$A$21:$L$30,12,FALSE)</f>
        <v>0</v>
      </c>
      <c r="I27" s="5"/>
      <c r="M27" s="28"/>
      <c r="S27" s="3"/>
      <c r="T27" s="3"/>
      <c r="U27" s="3"/>
      <c r="V27" s="3"/>
      <c r="W27" s="3"/>
    </row>
    <row r="28" spans="1:23">
      <c r="B28" s="5"/>
      <c r="C28" s="5"/>
      <c r="D28" s="5"/>
      <c r="E28" s="5"/>
      <c r="F28" s="17" t="s">
        <v>52</v>
      </c>
      <c r="G28" s="111">
        <f>PRODUCT(G$3:G$4)*PRODUCT(G26:G27)</f>
        <v>1.2649110640673514E+41</v>
      </c>
      <c r="H28" s="111">
        <f>SUM(H$3:H$4)+SUM(H26:H27)</f>
        <v>3.5113686573257055</v>
      </c>
      <c r="I28" s="5"/>
      <c r="S28" s="3"/>
      <c r="T28" s="3"/>
      <c r="U28" s="3"/>
      <c r="V28" s="3"/>
      <c r="W28" s="3"/>
    </row>
    <row r="29" spans="1:23">
      <c r="B29" s="5"/>
      <c r="C29" s="5"/>
      <c r="D29" s="5"/>
      <c r="E29" s="5"/>
      <c r="F29" s="5"/>
      <c r="G29" s="5"/>
      <c r="H29" s="5"/>
      <c r="I29" s="5"/>
      <c r="S29" s="13"/>
      <c r="T29" s="3"/>
      <c r="U29" s="3"/>
      <c r="V29" s="3"/>
      <c r="W29" s="3"/>
    </row>
    <row r="30" spans="1:23">
      <c r="B30" s="5"/>
      <c r="C30" s="5"/>
      <c r="D30" s="5"/>
      <c r="E30" s="5"/>
      <c r="F30" s="5"/>
      <c r="G30" s="5"/>
      <c r="H30" s="5"/>
      <c r="I30" s="5"/>
      <c r="S30" s="3"/>
      <c r="T30" s="3"/>
      <c r="U30" s="3"/>
      <c r="V30" s="3"/>
      <c r="W30" s="3"/>
    </row>
    <row r="31" spans="1:23">
      <c r="A31" s="8"/>
      <c r="B31" s="8"/>
      <c r="C31" s="8"/>
      <c r="D31" s="5"/>
      <c r="E31" s="5"/>
      <c r="F31" s="10" t="s">
        <v>57</v>
      </c>
      <c r="G31" s="5"/>
      <c r="H31" s="5"/>
      <c r="I31" s="5"/>
      <c r="S31" s="3"/>
      <c r="T31" s="3"/>
      <c r="U31" s="3"/>
      <c r="V31" s="3"/>
      <c r="W31" s="3"/>
    </row>
    <row r="32" spans="1:23">
      <c r="A32" s="8"/>
      <c r="B32" s="8"/>
      <c r="C32" s="8"/>
      <c r="D32" s="5"/>
      <c r="E32" s="5"/>
      <c r="F32" s="5" t="s">
        <v>54</v>
      </c>
      <c r="G32" s="5">
        <f>VLOOKUP($F32,Globals!$N$36:$P$42,2,FALSE)</f>
        <v>1E+19</v>
      </c>
      <c r="H32" s="5">
        <f>VLOOKUP($F32,Globals!$N$36:$P$42,3,FALSE)</f>
        <v>1.5606082921447579</v>
      </c>
      <c r="I32" s="5"/>
      <c r="S32" s="3"/>
      <c r="T32" s="3"/>
      <c r="U32" s="3"/>
      <c r="V32" s="3"/>
      <c r="W32" s="3"/>
    </row>
    <row r="33" spans="1:23">
      <c r="A33" s="8"/>
      <c r="B33" s="8"/>
      <c r="C33" s="8"/>
      <c r="D33" s="5"/>
      <c r="E33" s="5"/>
      <c r="F33" s="5" t="s">
        <v>58</v>
      </c>
      <c r="G33" s="5">
        <f>VLOOKUP($F33,Globals!$N$36:$P$42,2,FALSE)</f>
        <v>3.1622776601683791E-2</v>
      </c>
      <c r="H33" s="5">
        <f>VLOOKUP($F33,Globals!$N$36:$P$42,3,FALSE)</f>
        <v>1.1704562191085683</v>
      </c>
      <c r="I33" s="5"/>
      <c r="S33" s="3"/>
      <c r="T33" s="3"/>
      <c r="U33" s="3"/>
      <c r="V33" s="3"/>
      <c r="W33" s="3"/>
    </row>
    <row r="34" spans="1:23">
      <c r="A34" s="8"/>
      <c r="B34" s="8"/>
      <c r="C34" s="8"/>
      <c r="D34" s="5"/>
      <c r="E34" s="5"/>
      <c r="F34" s="5" t="s">
        <v>40</v>
      </c>
      <c r="G34" s="5">
        <f>VLOOKUP(F34,Globals!$A$21:$L$30,11,FALSE)</f>
        <v>0.04</v>
      </c>
      <c r="H34" s="5">
        <f>VLOOKUP(F34,Globals!$A$21:$L$30,12,FALSE)</f>
        <v>0</v>
      </c>
      <c r="I34" s="5"/>
      <c r="S34" s="8"/>
      <c r="T34" s="3"/>
      <c r="U34" s="3"/>
      <c r="V34" s="3"/>
      <c r="W34" s="3"/>
    </row>
    <row r="35" spans="1:23">
      <c r="A35" s="8"/>
      <c r="B35" s="8"/>
      <c r="C35" s="8"/>
      <c r="D35" s="5"/>
      <c r="E35" s="5"/>
      <c r="F35" s="16" t="s">
        <v>52</v>
      </c>
      <c r="G35" s="111">
        <f>PRODUCT(G$3:G$4)*PRODUCT(G32:G34)</f>
        <v>3.9999999999999985E+39</v>
      </c>
      <c r="H35" s="111">
        <f>SUM(H$3:H$4)+SUM(H32:H34)</f>
        <v>4.6818248764342734</v>
      </c>
      <c r="I35" s="5"/>
      <c r="S35" s="8"/>
      <c r="T35" s="3"/>
      <c r="U35" s="3"/>
      <c r="V35" s="3"/>
      <c r="W35" s="3"/>
    </row>
    <row r="36" spans="1:23">
      <c r="A36" s="8"/>
      <c r="B36" s="8"/>
      <c r="C36" s="8"/>
      <c r="D36" s="5"/>
      <c r="E36" s="5"/>
      <c r="F36" s="5"/>
      <c r="G36" s="5"/>
      <c r="H36" s="5"/>
      <c r="I36" s="5"/>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G6" sqref="G6"/>
    </sheetView>
  </sheetViews>
  <sheetFormatPr baseColWidth="10" defaultRowHeight="15" x14ac:dyDescent="0"/>
  <cols>
    <col min="1" max="1" width="21.6640625" customWidth="1"/>
    <col min="2" max="2" width="12.83203125" bestFit="1" customWidth="1"/>
    <col min="3" max="3" width="12.1640625" bestFit="1" customWidth="1"/>
    <col min="4" max="4" width="10.83203125" style="103"/>
    <col min="5" max="5" width="10.83203125" customWidth="1"/>
    <col min="6" max="6" width="21.6640625" customWidth="1"/>
    <col min="7" max="7" width="12.83203125" bestFit="1" customWidth="1"/>
    <col min="11" max="11" width="12.83203125" bestFit="1" customWidth="1"/>
    <col min="12" max="13" width="12.1640625" bestFit="1" customWidth="1"/>
  </cols>
  <sheetData>
    <row r="1" spans="1:16" ht="20">
      <c r="A1" s="93" t="s">
        <v>124</v>
      </c>
      <c r="B1" s="82"/>
      <c r="C1" s="82"/>
      <c r="D1" s="119"/>
      <c r="F1" s="1" t="s">
        <v>63</v>
      </c>
    </row>
    <row r="2" spans="1:16">
      <c r="A2" s="74"/>
      <c r="B2" s="74" t="s">
        <v>0</v>
      </c>
      <c r="C2" s="74" t="s">
        <v>1</v>
      </c>
      <c r="D2" s="119" t="s">
        <v>27</v>
      </c>
      <c r="G2" s="7" t="s">
        <v>161</v>
      </c>
      <c r="H2" s="7" t="s">
        <v>162</v>
      </c>
      <c r="I2" t="s">
        <v>164</v>
      </c>
    </row>
    <row r="3" spans="1:16" ht="30">
      <c r="A3" s="42" t="s">
        <v>99</v>
      </c>
      <c r="B3" s="50">
        <v>50000000000</v>
      </c>
      <c r="C3" s="50">
        <v>2000000000000</v>
      </c>
      <c r="D3" s="119" t="s">
        <v>238</v>
      </c>
      <c r="F3" s="15" t="s">
        <v>52</v>
      </c>
      <c r="G3" s="14">
        <v>1</v>
      </c>
      <c r="H3" s="14">
        <f>I3^2</f>
        <v>4.0000000000000008E-2</v>
      </c>
      <c r="I3">
        <v>0.2</v>
      </c>
    </row>
    <row r="4" spans="1:16">
      <c r="A4" s="46" t="s">
        <v>93</v>
      </c>
      <c r="B4" s="47">
        <v>0.1</v>
      </c>
      <c r="C4" s="47">
        <v>0.5</v>
      </c>
      <c r="D4" s="119" t="s">
        <v>193</v>
      </c>
      <c r="F4" s="18" t="s">
        <v>80</v>
      </c>
      <c r="G4" s="19">
        <f>ParetoPosterior(median,alpha,G3:H3)</f>
        <v>0.85832741114212496</v>
      </c>
      <c r="H4" s="3"/>
    </row>
    <row r="5" spans="1:16" ht="45">
      <c r="A5" s="46" t="s">
        <v>265</v>
      </c>
      <c r="B5" s="47">
        <v>5.0000000000000001E-3</v>
      </c>
      <c r="C5" s="47">
        <v>0.2</v>
      </c>
      <c r="D5" s="119"/>
      <c r="F5" s="18" t="s">
        <v>87</v>
      </c>
      <c r="G5" s="19" t="str">
        <f>LognormPosterior(mu_global_poverty,sigma_global_poverty,G3:H3)</f>
        <v>disabled</v>
      </c>
      <c r="H5" s="3"/>
    </row>
    <row r="6" spans="1:16" ht="45">
      <c r="A6" s="46" t="s">
        <v>266</v>
      </c>
      <c r="B6" s="47">
        <f>B5*1.01</f>
        <v>5.0499999999999998E-3</v>
      </c>
      <c r="C6" s="47">
        <f>C5*1.01</f>
        <v>0.20200000000000001</v>
      </c>
      <c r="D6" s="119"/>
    </row>
    <row r="7" spans="1:16" ht="30">
      <c r="A7" s="116" t="s">
        <v>89</v>
      </c>
      <c r="B7" s="107">
        <f>1000/C3*interest_rate</f>
        <v>2.5000000000000004E-11</v>
      </c>
      <c r="C7" s="107">
        <f>1000/B3*interest_rate</f>
        <v>1.0000000000000001E-9</v>
      </c>
      <c r="D7" s="119"/>
    </row>
    <row r="8" spans="1:16" ht="45">
      <c r="A8" s="91" t="s">
        <v>267</v>
      </c>
      <c r="B8" s="65">
        <v>1.21</v>
      </c>
      <c r="C8" s="65">
        <v>192</v>
      </c>
      <c r="D8" s="120" t="s">
        <v>234</v>
      </c>
      <c r="F8" s="1" t="s">
        <v>88</v>
      </c>
      <c r="K8" s="1" t="s">
        <v>96</v>
      </c>
    </row>
    <row r="9" spans="1:16" ht="30">
      <c r="A9" s="118" t="s">
        <v>235</v>
      </c>
      <c r="B9" s="44">
        <f>B8/365</f>
        <v>3.3150684931506848E-3</v>
      </c>
      <c r="C9" s="44">
        <f>C8/365</f>
        <v>0.52602739726027392</v>
      </c>
      <c r="G9" t="s">
        <v>161</v>
      </c>
      <c r="H9" t="s">
        <v>163</v>
      </c>
      <c r="J9" s="13"/>
      <c r="L9" s="7" t="s">
        <v>161</v>
      </c>
      <c r="M9" s="7" t="s">
        <v>163</v>
      </c>
      <c r="N9" s="13"/>
      <c r="O9" s="3"/>
      <c r="P9" s="3"/>
    </row>
    <row r="10" spans="1:16">
      <c r="A10" s="118"/>
      <c r="F10" t="s">
        <v>93</v>
      </c>
      <c r="G10">
        <f>GEOMEAN($B$4,$C$4)</f>
        <v>0.22360679774997896</v>
      </c>
      <c r="H10">
        <f>LogVariance($B$4,$C$4)</f>
        <v>0.27270459618181209</v>
      </c>
      <c r="J10" s="3"/>
      <c r="K10" t="s">
        <v>93</v>
      </c>
      <c r="L10">
        <f>GEOMEAN($B$4,$C$4)</f>
        <v>0.22360679774997896</v>
      </c>
      <c r="M10">
        <f>LogVariance($B$4,$C$4)</f>
        <v>0.27270459618181209</v>
      </c>
      <c r="N10" s="3"/>
      <c r="O10" s="3"/>
      <c r="P10" s="3"/>
    </row>
    <row r="11" spans="1:16">
      <c r="A11" s="118"/>
      <c r="F11" s="3" t="s">
        <v>94</v>
      </c>
      <c r="G11">
        <f>GEOMEAN($B$5,$C$5)</f>
        <v>3.1622776601683791E-2</v>
      </c>
      <c r="H11">
        <f>LogVariance($B$5,$C$5)</f>
        <v>0.62504702674494428</v>
      </c>
      <c r="J11" s="3"/>
      <c r="K11" s="3" t="s">
        <v>95</v>
      </c>
      <c r="L11">
        <f>GEOMEAN($B$6,$C$6)</f>
        <v>3.1939004367700634E-2</v>
      </c>
      <c r="M11">
        <f>LogVariance($B$6,$C$6)</f>
        <v>0.62504702674494439</v>
      </c>
      <c r="N11" s="3"/>
      <c r="O11" s="3"/>
      <c r="P11" s="3"/>
    </row>
    <row r="12" spans="1:16">
      <c r="A12" s="118"/>
      <c r="F12" t="s">
        <v>89</v>
      </c>
      <c r="G12">
        <f>GEOMEAN($B$7,$C$7)</f>
        <v>1.5811388300841898E-10</v>
      </c>
      <c r="H12">
        <f>LogVariance($B$7,$C$7)</f>
        <v>0.62504702674494428</v>
      </c>
      <c r="J12" s="3"/>
      <c r="K12" t="s">
        <v>89</v>
      </c>
      <c r="L12">
        <f>GEOMEAN($B$7,$C$7)</f>
        <v>1.5811388300841898E-10</v>
      </c>
      <c r="M12">
        <f>LogVariance($B$7,$C$7)</f>
        <v>0.62504702674494428</v>
      </c>
      <c r="N12" s="3"/>
      <c r="O12" s="3"/>
      <c r="P12" s="3"/>
    </row>
    <row r="13" spans="1:16">
      <c r="A13" s="103"/>
      <c r="F13" t="s">
        <v>109</v>
      </c>
      <c r="G13" t="e">
        <f>VLOOKUP(F13,'EV of Far Future'!$K$18:$M$19,2,FALSE)</f>
        <v>#VALUE!</v>
      </c>
      <c r="H13" t="e">
        <f>VLOOKUP(F13,'EV of Far Future'!$K$18:$M$19,3,FALSE)</f>
        <v>#VALUE!</v>
      </c>
      <c r="J13" s="3"/>
      <c r="K13" t="s">
        <v>109</v>
      </c>
      <c r="L13" t="e">
        <f>VLOOKUP(K13,'EV of Far Future'!$K$18:$M$19,2,FALSE)</f>
        <v>#VALUE!</v>
      </c>
      <c r="M13" t="e">
        <f>VLOOKUP(K13,'EV of Far Future'!$K$18:$M$19,3,FALSE)</f>
        <v>#VALUE!</v>
      </c>
      <c r="N13" s="3"/>
      <c r="O13" s="3"/>
      <c r="P13" s="3"/>
    </row>
    <row r="14" spans="1:16">
      <c r="A14" s="103"/>
      <c r="F14" s="15" t="s">
        <v>52</v>
      </c>
      <c r="G14" s="14" t="e">
        <f>PRODUCT(G10:G13)</f>
        <v>#VALUE!</v>
      </c>
      <c r="H14" s="14" t="e">
        <f>SUM(H10:H13)</f>
        <v>#VALUE!</v>
      </c>
      <c r="J14" s="3"/>
      <c r="K14" s="15" t="s">
        <v>52</v>
      </c>
      <c r="L14" s="14" t="e">
        <f>PRODUCT(L10:L13)</f>
        <v>#VALUE!</v>
      </c>
      <c r="M14" s="14" t="e">
        <f>SUM(M10:M13)</f>
        <v>#VALUE!</v>
      </c>
      <c r="N14" s="3"/>
      <c r="O14" s="3"/>
      <c r="P14" s="3"/>
    </row>
    <row r="15" spans="1:16">
      <c r="F15" s="3" t="s">
        <v>160</v>
      </c>
      <c r="G15" t="e">
        <f>meanFromParams(G14:H14)</f>
        <v>#VALUE!</v>
      </c>
      <c r="H15" t="e">
        <f>VarianceFromParams(G14:H14)</f>
        <v>#VALUE!</v>
      </c>
      <c r="J15" s="3"/>
      <c r="K15" s="3"/>
      <c r="L15" s="3"/>
      <c r="M15" s="3"/>
      <c r="N15" s="3"/>
      <c r="O15" s="3"/>
      <c r="P15" s="3"/>
    </row>
    <row r="16" spans="1:16">
      <c r="J16" s="3"/>
      <c r="K16" s="117"/>
      <c r="L16" s="117"/>
      <c r="M16" s="117"/>
      <c r="N16" s="3"/>
      <c r="O16" s="3"/>
      <c r="P16" s="3"/>
    </row>
    <row r="17" spans="1:16">
      <c r="J17" s="3"/>
      <c r="K17" s="121" t="s">
        <v>233</v>
      </c>
      <c r="L17" s="117"/>
      <c r="M17" s="117"/>
      <c r="N17" s="3"/>
      <c r="O17" s="3"/>
      <c r="P17" s="3"/>
    </row>
    <row r="18" spans="1:16">
      <c r="J18" s="3"/>
      <c r="K18" s="12"/>
      <c r="L18" s="117" t="s">
        <v>161</v>
      </c>
      <c r="M18" s="117" t="s">
        <v>163</v>
      </c>
      <c r="O18" s="3"/>
      <c r="P18" s="3"/>
    </row>
    <row r="19" spans="1:16">
      <c r="J19" s="3"/>
      <c r="K19" s="103" t="s">
        <v>235</v>
      </c>
      <c r="L19" s="117">
        <f>GEOMEAN(B9,C9)</f>
        <v>4.1759033168783891E-2</v>
      </c>
      <c r="M19" s="117">
        <f>LogVariance(B9,C9)</f>
        <v>0.85853582389873684</v>
      </c>
      <c r="N19" s="3"/>
      <c r="O19" s="3"/>
      <c r="P19" s="3"/>
    </row>
    <row r="20" spans="1:16">
      <c r="J20" s="13"/>
      <c r="K20" s="117" t="s">
        <v>38</v>
      </c>
      <c r="L20">
        <f>VLOOKUP(K20,Globals!$A$22:$L$30,11,FALSE)</f>
        <v>1.7999999999999998</v>
      </c>
      <c r="M20">
        <f>VLOOKUP(K20,Globals!$A$22:$L$30,12,FALSE)</f>
        <v>0</v>
      </c>
      <c r="N20" s="13"/>
      <c r="O20" s="3"/>
      <c r="P20" s="3"/>
    </row>
    <row r="21" spans="1:16">
      <c r="J21" s="3"/>
      <c r="K21" s="123" t="s">
        <v>52</v>
      </c>
      <c r="L21" s="122">
        <f>PRODUCT(L19:L20)</f>
        <v>7.5166259703810995E-2</v>
      </c>
      <c r="M21" s="122">
        <f>SUM(M19:M20)</f>
        <v>0.85853582389873684</v>
      </c>
      <c r="N21" s="3"/>
      <c r="O21" s="3"/>
      <c r="P21" s="3"/>
    </row>
    <row r="22" spans="1:16" ht="20">
      <c r="A22" s="32" t="s">
        <v>59</v>
      </c>
      <c r="J22" s="3"/>
      <c r="K22" s="117"/>
      <c r="L22" s="117"/>
      <c r="M22" s="117"/>
      <c r="N22" s="3"/>
      <c r="O22" s="3"/>
      <c r="P22" s="3"/>
    </row>
    <row r="23" spans="1:16">
      <c r="A23" s="22" t="s">
        <v>169</v>
      </c>
      <c r="B23" s="3"/>
      <c r="C23" s="3"/>
      <c r="J23" s="3"/>
      <c r="N23" s="3"/>
      <c r="O23" s="3"/>
      <c r="P23" s="3"/>
    </row>
    <row r="24" spans="1:16" ht="30">
      <c r="A24" s="5" t="s">
        <v>167</v>
      </c>
      <c r="B24" t="e">
        <f>G15-L28</f>
        <v>#VALUE!</v>
      </c>
      <c r="C24" t="e">
        <f>DifferenceVariance(G15:H15,L28:M28)</f>
        <v>#VALUE!</v>
      </c>
      <c r="J24" s="3"/>
      <c r="K24" t="s">
        <v>236</v>
      </c>
      <c r="N24" s="3"/>
      <c r="O24" s="3"/>
      <c r="P24" s="3"/>
    </row>
    <row r="25" spans="1:16">
      <c r="A25" s="16" t="s">
        <v>168</v>
      </c>
      <c r="B25" s="14" t="e">
        <f>EXP(MuFromParams(ABS(B24),C24))</f>
        <v>#VALUE!</v>
      </c>
      <c r="C25" s="14" t="e">
        <f>(SigmaFromParams(B24,C24) / LN(10))^2</f>
        <v>#VALUE!</v>
      </c>
      <c r="K25" s="12" t="s">
        <v>237</v>
      </c>
      <c r="L25" s="12" t="e">
        <f>L14</f>
        <v>#VALUE!</v>
      </c>
      <c r="M25" s="12" t="e">
        <f>M14</f>
        <v>#VALUE!</v>
      </c>
    </row>
    <row r="26" spans="1:16">
      <c r="A26" s="36" t="s">
        <v>80</v>
      </c>
      <c r="B26" s="19" t="e">
        <f>ParetoPosterior(median,alpha,B25:C25)*SIGN(B24)</f>
        <v>#VALUE!</v>
      </c>
      <c r="K26" s="12" t="s">
        <v>148</v>
      </c>
      <c r="L26" s="12">
        <f>L21</f>
        <v>7.5166259703810995E-2</v>
      </c>
      <c r="M26" s="12">
        <f>M21</f>
        <v>0.85853582389873684</v>
      </c>
    </row>
    <row r="27" spans="1:16">
      <c r="A27" s="36" t="s">
        <v>87</v>
      </c>
      <c r="B27" s="19" t="e">
        <f>LognormPosterior(mu_far_future,sigma_far_future,B25:C25)*SIGN(B24)</f>
        <v>#VALUE!</v>
      </c>
      <c r="K27" s="125" t="s">
        <v>172</v>
      </c>
      <c r="L27" s="124" t="str">
        <f>WriteArray(SumLognormDists(L25:M26))</f>
        <v>disabled</v>
      </c>
      <c r="M27" s="124" t="s">
        <v>153</v>
      </c>
    </row>
    <row r="28" spans="1:16">
      <c r="A28" s="5"/>
      <c r="K28" s="7" t="s">
        <v>159</v>
      </c>
      <c r="L28" s="7" t="e">
        <f>STupidExcelMean(L27)</f>
        <v>#VALUE!</v>
      </c>
      <c r="M28" s="7" t="e">
        <f>STupidExcelVariance(L27,L28)</f>
        <v>#VALUE!</v>
      </c>
    </row>
    <row r="29" spans="1:16">
      <c r="A29" s="5"/>
    </row>
    <row r="30" spans="1:16">
      <c r="A30" s="33" t="s">
        <v>85</v>
      </c>
      <c r="B30" s="4" t="e">
        <f>B26+G4</f>
        <v>#VALUE!</v>
      </c>
    </row>
    <row r="31" spans="1:16">
      <c r="A31" s="33" t="s">
        <v>86</v>
      </c>
      <c r="B31" s="4" t="e">
        <f>B27+G5</f>
        <v>#VALUE!</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hyperlinks>
    <hyperlink ref="D8" r:id="rId1"/>
  </hyperlink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H14" sqref="H14"/>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124</v>
      </c>
      <c r="H1" s="1" t="s">
        <v>63</v>
      </c>
      <c r="M1" s="1" t="s">
        <v>79</v>
      </c>
    </row>
    <row r="2" spans="1:15">
      <c r="A2" s="57"/>
      <c r="B2" s="44" t="s">
        <v>0</v>
      </c>
      <c r="C2" s="44" t="s">
        <v>1</v>
      </c>
      <c r="D2" s="54" t="s">
        <v>161</v>
      </c>
      <c r="E2" s="54" t="s">
        <v>163</v>
      </c>
      <c r="F2" t="s">
        <v>27</v>
      </c>
      <c r="I2" s="7" t="s">
        <v>161</v>
      </c>
      <c r="J2" s="7" t="s">
        <v>162</v>
      </c>
      <c r="N2" s="7" t="s">
        <v>161</v>
      </c>
      <c r="O2" s="7" t="s">
        <v>163</v>
      </c>
    </row>
    <row r="3" spans="1:15" ht="30">
      <c r="A3" s="42" t="s">
        <v>120</v>
      </c>
      <c r="B3" s="43">
        <v>0.7</v>
      </c>
      <c r="C3" s="83">
        <v>13</v>
      </c>
      <c r="D3" s="74"/>
      <c r="E3" s="74"/>
      <c r="F3" s="142" t="s">
        <v>123</v>
      </c>
      <c r="G3" s="7"/>
      <c r="H3" t="s">
        <v>68</v>
      </c>
      <c r="I3">
        <f>D5</f>
        <v>3016.620625799671</v>
      </c>
      <c r="J3">
        <f>E5</f>
        <v>0.49504262895320128</v>
      </c>
      <c r="M3" s="3" t="s">
        <v>248</v>
      </c>
      <c r="N3" s="25">
        <f>VLOOKUP(M3,$A$14:$E$17,4,FALSE)</f>
        <v>4.4721359549995794E-2</v>
      </c>
      <c r="O3" s="25">
        <f>VLOOKUP(M3,$A$14:$E$17,5,FALSE)</f>
        <v>0.50759954989056688</v>
      </c>
    </row>
    <row r="4" spans="1:15" ht="30">
      <c r="A4" s="46" t="s">
        <v>152</v>
      </c>
      <c r="B4" s="47">
        <v>3</v>
      </c>
      <c r="C4" s="84">
        <v>4</v>
      </c>
      <c r="D4" s="74">
        <f>GEOMEAN(B4,C4)</f>
        <v>3.4641016151377548</v>
      </c>
      <c r="E4" s="74">
        <f>LogVariance(B4,C4)</f>
        <v>4.8745107090250664E-2</v>
      </c>
      <c r="F4" s="103" t="s">
        <v>203</v>
      </c>
      <c r="H4" t="s">
        <v>38</v>
      </c>
      <c r="I4">
        <f>VLOOKUP($H4,Globals!$A$22:$L$30,11,FALSE)</f>
        <v>1.7999999999999998</v>
      </c>
      <c r="J4">
        <f>VLOOKUP($H4,Globals!$A$22:$L$30,12,FALSE)</f>
        <v>0</v>
      </c>
      <c r="M4" s="3" t="s">
        <v>186</v>
      </c>
      <c r="N4">
        <f>VLOOKUP($M4,'EV of Far Future'!$K$3:$N$14,2,FALSE)</f>
        <v>3.8399999999999992E+38</v>
      </c>
      <c r="O4">
        <f>VLOOKUP($M4,'EV of Far Future'!$K$3:$N$14,3,FALSE)</f>
        <v>4.6818248764342734</v>
      </c>
    </row>
    <row r="5" spans="1:15" ht="30">
      <c r="A5" s="85" t="s">
        <v>68</v>
      </c>
      <c r="B5" s="86">
        <f>B3*1000</f>
        <v>700</v>
      </c>
      <c r="C5" s="86">
        <f>C3*1000</f>
        <v>13000</v>
      </c>
      <c r="D5" s="74">
        <f>GEOMEAN(B5,C5)</f>
        <v>3016.620625799671</v>
      </c>
      <c r="E5" s="74">
        <f>LogVariance(B5,C5)</f>
        <v>0.49504262895320128</v>
      </c>
      <c r="F5" s="103"/>
      <c r="H5" s="15" t="s">
        <v>52</v>
      </c>
      <c r="I5" s="14">
        <f>PRODUCT(I3:I4)</f>
        <v>5429.9171264394072</v>
      </c>
      <c r="J5" s="14">
        <f>SUM(J3:J4)</f>
        <v>0.49504262895320128</v>
      </c>
      <c r="M5" s="3" t="s">
        <v>66</v>
      </c>
      <c r="N5">
        <f>1/factory_farmed_animals</f>
        <v>5.0000000000000002E-11</v>
      </c>
      <c r="O5">
        <v>0</v>
      </c>
    </row>
    <row r="6" spans="1:15" ht="30">
      <c r="A6" s="85" t="s">
        <v>67</v>
      </c>
      <c r="B6" s="86"/>
      <c r="C6" s="86"/>
      <c r="D6" s="74">
        <f>PRODUCT(D4:D5)</f>
        <v>10449.880382090505</v>
      </c>
      <c r="E6" s="74">
        <f>SUM(E4:E5)</f>
        <v>0.54378773604345199</v>
      </c>
      <c r="F6" s="103"/>
      <c r="H6" s="18" t="s">
        <v>80</v>
      </c>
      <c r="I6" s="19">
        <f>ParetoPosterior(median,alpha,I5:J5)</f>
        <v>396.49368154968971</v>
      </c>
      <c r="M6" s="3" t="s">
        <v>98</v>
      </c>
      <c r="N6" t="e">
        <f>$D$12</f>
        <v>#VALUE!</v>
      </c>
      <c r="O6" t="e">
        <f>$E$12</f>
        <v>#VALUE!</v>
      </c>
    </row>
    <row r="7" spans="1:15" ht="45">
      <c r="A7" s="46" t="s">
        <v>106</v>
      </c>
      <c r="B7" s="47">
        <v>5.0000000000000001E-3</v>
      </c>
      <c r="C7" s="47">
        <v>0.03</v>
      </c>
      <c r="D7" s="74">
        <f>GEOMEAN(B7,C7)</f>
        <v>1.2247448713915889E-2</v>
      </c>
      <c r="E7" s="74">
        <f>LogVariance(B7,C7)</f>
        <v>0.30359732347288149</v>
      </c>
      <c r="F7" s="103"/>
      <c r="H7" s="18" t="s">
        <v>69</v>
      </c>
      <c r="I7" s="20" t="str">
        <f>LognormPosterior(mu_factory_farming,sigma_factory_farming,I5:J5)</f>
        <v>disabled</v>
      </c>
      <c r="M7" s="15" t="s">
        <v>52</v>
      </c>
      <c r="N7" s="14" t="e">
        <f>PRODUCT(N3:N6)</f>
        <v>#VALUE!</v>
      </c>
      <c r="O7" s="14" t="e">
        <f>SUM(O3:O6)</f>
        <v>#VALUE!</v>
      </c>
    </row>
    <row r="8" spans="1:15" ht="30">
      <c r="A8" s="85" t="s">
        <v>231</v>
      </c>
      <c r="B8" s="112"/>
      <c r="C8" s="112"/>
      <c r="D8">
        <f>D6*interest_rate</f>
        <v>522.49401910452525</v>
      </c>
      <c r="E8">
        <f>E6</f>
        <v>0.54378773604345199</v>
      </c>
      <c r="F8" s="103"/>
      <c r="I8" s="21"/>
    </row>
    <row r="9" spans="1:15" ht="30">
      <c r="A9" s="113" t="s">
        <v>232</v>
      </c>
      <c r="B9" s="112"/>
      <c r="C9" s="112"/>
      <c r="D9">
        <f>D6*D7</f>
        <v>127.98437404620924</v>
      </c>
      <c r="E9">
        <f>E6+E7</f>
        <v>0.84738505951633347</v>
      </c>
      <c r="F9" s="103"/>
      <c r="I9" s="2" t="str">
        <f>LognormPosterior(mu_factory_farming,sigma_factory_farming,I5:J5)</f>
        <v>disabled</v>
      </c>
    </row>
    <row r="10" spans="1:15">
      <c r="A10" s="115" t="s">
        <v>172</v>
      </c>
      <c r="D10" s="114" t="str">
        <f>WriteArray(SumLognormDists(D8:E9))</f>
        <v>disabled</v>
      </c>
      <c r="E10" s="114" t="s">
        <v>153</v>
      </c>
      <c r="F10" s="103"/>
      <c r="H10" s="13" t="s">
        <v>64</v>
      </c>
      <c r="M10" s="1" t="s">
        <v>177</v>
      </c>
    </row>
    <row r="11" spans="1:15">
      <c r="A11" s="3" t="s">
        <v>156</v>
      </c>
      <c r="D11" s="3" t="e">
        <f>STupidExcelMean(D10)</f>
        <v>#VALUE!</v>
      </c>
      <c r="E11" s="3" t="e">
        <f>STupidExcelVariance(D10,D11)</f>
        <v>#VALUE!</v>
      </c>
      <c r="F11" s="103"/>
      <c r="I11" s="7" t="s">
        <v>161</v>
      </c>
      <c r="J11" s="7" t="s">
        <v>162</v>
      </c>
      <c r="M11" s="3" t="s">
        <v>179</v>
      </c>
      <c r="N11" s="25">
        <f>VLOOKUP(M11,$A$14:$E$17,4,FALSE)</f>
        <v>2.2360679774997897E-2</v>
      </c>
      <c r="O11" s="25">
        <f>VLOOKUP(M11,$A$14:$E$17,5,FALSE)</f>
        <v>0.27270459618181209</v>
      </c>
    </row>
    <row r="12" spans="1:15" ht="30">
      <c r="A12" s="113" t="s">
        <v>98</v>
      </c>
      <c r="B12" s="112"/>
      <c r="C12" s="112"/>
      <c r="D12" s="3" t="e">
        <f>EXP(MuFromParams(ABS(D11),E11))</f>
        <v>#VALUE!</v>
      </c>
      <c r="E12" s="3" t="e">
        <f>(SigmaFromParams(D11,E11) / LN(10))^2</f>
        <v>#VALUE!</v>
      </c>
      <c r="F12" s="103"/>
      <c r="H12" s="3" t="s">
        <v>70</v>
      </c>
      <c r="I12">
        <v>1</v>
      </c>
      <c r="J12">
        <v>0</v>
      </c>
      <c r="M12" s="3" t="s">
        <v>182</v>
      </c>
      <c r="N12">
        <f>VLOOKUP($M12,'EV of Far Future'!$K$3:$N$14,2,FALSE)</f>
        <v>6.3245553203367595E+46</v>
      </c>
      <c r="O12">
        <f>VLOOKUP($M12,'EV of Far Future'!$K$3:$N$14,3,FALSE)</f>
        <v>3.5113686573257055</v>
      </c>
    </row>
    <row r="13" spans="1:15">
      <c r="A13" s="113"/>
      <c r="B13" s="112"/>
      <c r="C13" s="112"/>
      <c r="F13" s="103"/>
      <c r="H13" s="3" t="s">
        <v>187</v>
      </c>
      <c r="I13">
        <f>VLOOKUP($H13,'EV of Far Future'!$K$3:$N$14,2,FALSE)</f>
        <v>5.4644157967709579E+33</v>
      </c>
      <c r="J13">
        <f>VLOOKUP($H13,'EV of Far Future'!$K$3:$N$14,3,FALSE)</f>
        <v>2.7310645112533267</v>
      </c>
      <c r="M13" s="3" t="s">
        <v>66</v>
      </c>
      <c r="N13">
        <f>1/factory_farmed_animals</f>
        <v>5.0000000000000002E-11</v>
      </c>
      <c r="O13">
        <v>0</v>
      </c>
    </row>
    <row r="14" spans="1:15" ht="45">
      <c r="A14" s="46" t="s">
        <v>178</v>
      </c>
      <c r="B14" s="47">
        <v>0.01</v>
      </c>
      <c r="C14" s="47">
        <v>0.2</v>
      </c>
      <c r="D14" s="74">
        <f>GEOMEAN(B14,C14)</f>
        <v>4.4721359549995794E-2</v>
      </c>
      <c r="E14" s="74">
        <f>LogVariance(B14,C14)</f>
        <v>0.50759954989056688</v>
      </c>
      <c r="F14" s="103" t="s">
        <v>180</v>
      </c>
      <c r="H14" s="3" t="s">
        <v>66</v>
      </c>
      <c r="I14">
        <f>1/factory_farmed_animals</f>
        <v>5.0000000000000002E-11</v>
      </c>
      <c r="J14">
        <v>0</v>
      </c>
      <c r="M14" s="3" t="s">
        <v>98</v>
      </c>
      <c r="N14" t="e">
        <f>$D$12</f>
        <v>#VALUE!</v>
      </c>
      <c r="O14" t="e">
        <f>$E$12</f>
        <v>#VALUE!</v>
      </c>
    </row>
    <row r="15" spans="1:15" ht="30">
      <c r="A15" s="46" t="s">
        <v>136</v>
      </c>
      <c r="B15" s="47">
        <v>5.0000000000000001E-3</v>
      </c>
      <c r="C15" s="47">
        <v>0.1</v>
      </c>
      <c r="D15" s="74">
        <f>GEOMEAN(B15,C15)</f>
        <v>2.2360679774997897E-2</v>
      </c>
      <c r="E15" s="74">
        <f>LogVariance(B15,C15)</f>
        <v>0.50759954989056688</v>
      </c>
      <c r="F15" s="103"/>
      <c r="H15" s="3" t="s">
        <v>98</v>
      </c>
      <c r="I15" t="e">
        <f>$D$12</f>
        <v>#VALUE!</v>
      </c>
      <c r="J15" t="e">
        <f>$E$12</f>
        <v>#VALUE!</v>
      </c>
      <c r="M15" s="15" t="s">
        <v>52</v>
      </c>
      <c r="N15" s="14" t="e">
        <f>PRODUCT(N11:N14)</f>
        <v>#VALUE!</v>
      </c>
      <c r="O15" s="14" t="e">
        <f>SUM(O11:O14)</f>
        <v>#VALUE!</v>
      </c>
    </row>
    <row r="16" spans="1:15" ht="30">
      <c r="A16" s="46" t="s">
        <v>248</v>
      </c>
      <c r="B16" s="47">
        <v>0.01</v>
      </c>
      <c r="C16" s="47">
        <v>0.2</v>
      </c>
      <c r="D16" s="74">
        <f>GEOMEAN(B16,C16)</f>
        <v>4.4721359549995794E-2</v>
      </c>
      <c r="E16" s="74">
        <f>LogVariance(B16,C16)</f>
        <v>0.50759954989056688</v>
      </c>
      <c r="F16" s="103"/>
      <c r="H16" s="15" t="s">
        <v>52</v>
      </c>
      <c r="I16" s="14" t="e">
        <f>PRODUCT(I12:I15)</f>
        <v>#VALUE!</v>
      </c>
      <c r="J16" s="14" t="e">
        <f>SUM(J12:J15)</f>
        <v>#VALUE!</v>
      </c>
    </row>
    <row r="17" spans="1:15">
      <c r="A17" s="52" t="s">
        <v>179</v>
      </c>
      <c r="B17" s="51">
        <v>0.01</v>
      </c>
      <c r="C17" s="51">
        <v>0.05</v>
      </c>
      <c r="D17" s="74">
        <f>GEOMEAN(B17,C17)</f>
        <v>2.2360679774997897E-2</v>
      </c>
      <c r="E17" s="74">
        <f>LogVariance(B17,C17)</f>
        <v>0.27270459618181209</v>
      </c>
      <c r="F17" s="103"/>
    </row>
    <row r="18" spans="1:15">
      <c r="A18" s="35"/>
      <c r="B18" s="34"/>
      <c r="C18" s="34"/>
      <c r="D18" s="34"/>
      <c r="E18" s="34"/>
      <c r="M18" t="s">
        <v>170</v>
      </c>
    </row>
    <row r="19" spans="1:15">
      <c r="M19" t="s">
        <v>171</v>
      </c>
      <c r="N19" t="e">
        <f>I16</f>
        <v>#VALUE!</v>
      </c>
      <c r="O19" t="e">
        <f>J16</f>
        <v>#VALUE!</v>
      </c>
    </row>
    <row r="20" spans="1:15">
      <c r="H20" s="1" t="s">
        <v>71</v>
      </c>
      <c r="N20" t="e">
        <f>I26</f>
        <v>#VALUE!</v>
      </c>
      <c r="O20" t="e">
        <f>J26</f>
        <v>#VALUE!</v>
      </c>
    </row>
    <row r="21" spans="1:15">
      <c r="I21" s="7" t="s">
        <v>161</v>
      </c>
      <c r="J21" s="7" t="s">
        <v>163</v>
      </c>
      <c r="N21" t="e">
        <f>I35</f>
        <v>#VALUE!</v>
      </c>
      <c r="O21" t="e">
        <f>J35</f>
        <v>#VALUE!</v>
      </c>
    </row>
    <row r="22" spans="1:15" ht="20">
      <c r="A22" s="32" t="s">
        <v>59</v>
      </c>
      <c r="H22" s="3" t="s">
        <v>178</v>
      </c>
      <c r="I22" s="25">
        <f>VLOOKUP(H22,$A$14:$E$17,4,FALSE)</f>
        <v>4.4721359549995794E-2</v>
      </c>
      <c r="J22" s="25">
        <f>VLOOKUP(H22,$A$14:$E$17,5,FALSE)</f>
        <v>0.50759954989056688</v>
      </c>
      <c r="M22" s="3"/>
      <c r="N22" s="3" t="e">
        <f>N7</f>
        <v>#VALUE!</v>
      </c>
      <c r="O22" s="3" t="e">
        <f>O7</f>
        <v>#VALUE!</v>
      </c>
    </row>
    <row r="23" spans="1:15">
      <c r="A23" s="10" t="s">
        <v>173</v>
      </c>
      <c r="B23" t="s">
        <v>161</v>
      </c>
      <c r="C23" t="s">
        <v>163</v>
      </c>
      <c r="H23" s="3" t="s">
        <v>184</v>
      </c>
      <c r="I23">
        <f>VLOOKUP($H23,'EV of Far Future'!$K$3:$N$14,2,FALSE)</f>
        <v>5.1200000000000003E+36</v>
      </c>
      <c r="J23">
        <f>VLOOKUP($H23,'EV of Far Future'!$K$3:$N$14,3,FALSE)</f>
        <v>3.1212165842895159</v>
      </c>
      <c r="N23" t="e">
        <f>N15</f>
        <v>#VALUE!</v>
      </c>
      <c r="O23" t="e">
        <f>O15</f>
        <v>#VALUE!</v>
      </c>
    </row>
    <row r="24" spans="1:15">
      <c r="A24" s="8" t="s">
        <v>156</v>
      </c>
      <c r="B24" t="e">
        <f>N25</f>
        <v>#VALUE!</v>
      </c>
      <c r="C24" t="e">
        <f>O25</f>
        <v>#VALUE!</v>
      </c>
      <c r="H24" s="3" t="s">
        <v>66</v>
      </c>
      <c r="I24">
        <f>1/factory_farmed_animals</f>
        <v>5.0000000000000002E-11</v>
      </c>
      <c r="J24">
        <v>0</v>
      </c>
      <c r="M24" s="30" t="s">
        <v>172</v>
      </c>
      <c r="N24" s="31" t="str">
        <f>WriteArray(SumLognormDists(N19:O23))</f>
        <v>disabled</v>
      </c>
      <c r="O24" s="31" t="s">
        <v>153</v>
      </c>
    </row>
    <row r="25" spans="1:15">
      <c r="A25" s="16" t="s">
        <v>168</v>
      </c>
      <c r="B25" s="14" t="e">
        <f>EXP(MuFromParams(ABS(B24),C24))</f>
        <v>#VALUE!</v>
      </c>
      <c r="C25" s="14" t="e">
        <f>(SigmaFromParams(B24,C24) / LN(10))^2</f>
        <v>#VALUE!</v>
      </c>
      <c r="H25" s="3" t="s">
        <v>98</v>
      </c>
      <c r="I25" t="e">
        <f>$D$12</f>
        <v>#VALUE!</v>
      </c>
      <c r="J25" t="e">
        <f>$E$12</f>
        <v>#VALUE!</v>
      </c>
      <c r="M25" s="3" t="s">
        <v>156</v>
      </c>
      <c r="N25" s="3" t="e">
        <f>STupidExcelMean(N24)</f>
        <v>#VALUE!</v>
      </c>
      <c r="O25" s="3" t="e">
        <f>STupidExcelVariance(N24,N25)</f>
        <v>#VALUE!</v>
      </c>
    </row>
    <row r="26" spans="1:15">
      <c r="A26" s="36" t="s">
        <v>80</v>
      </c>
      <c r="B26" s="19" t="e">
        <f>ParetoPosterior(median,alpha,B25:C25)*SIGN(B24)</f>
        <v>#VALUE!</v>
      </c>
      <c r="H26" s="15" t="s">
        <v>52</v>
      </c>
      <c r="I26" s="14" t="e">
        <f>PRODUCT(I22:I25)</f>
        <v>#VALUE!</v>
      </c>
      <c r="J26" s="14" t="e">
        <f>SUM(J22:J25)</f>
        <v>#VALUE!</v>
      </c>
      <c r="M26" s="3"/>
      <c r="N26" s="3"/>
      <c r="O26" s="3"/>
    </row>
    <row r="27" spans="1:15">
      <c r="A27" s="36" t="s">
        <v>87</v>
      </c>
      <c r="B27" s="19" t="e">
        <f>LognormPosterior(mu_far_future,sigma_far_future,B25:C25)*SIGN(B24)</f>
        <v>#VALUE!</v>
      </c>
      <c r="H27" s="3"/>
      <c r="I27" s="3"/>
      <c r="M27" s="3"/>
      <c r="N27" s="3"/>
      <c r="O27" s="3"/>
    </row>
    <row r="28" spans="1:15">
      <c r="H28" s="3"/>
      <c r="I28" s="21"/>
      <c r="M28" s="3"/>
      <c r="N28" s="3"/>
      <c r="O28" s="3"/>
    </row>
    <row r="29" spans="1:15">
      <c r="A29" s="8"/>
      <c r="B29" s="3"/>
      <c r="C29" s="3"/>
      <c r="D29" s="3"/>
      <c r="H29" s="1" t="s">
        <v>84</v>
      </c>
      <c r="M29" s="3"/>
      <c r="N29" s="3"/>
      <c r="O29" s="3"/>
    </row>
    <row r="30" spans="1:15">
      <c r="A30" s="33" t="s">
        <v>85</v>
      </c>
      <c r="B30" s="4" t="e">
        <f>B26+I6</f>
        <v>#VALUE!</v>
      </c>
      <c r="C30" s="3"/>
      <c r="D30" s="3"/>
      <c r="I30" s="7" t="s">
        <v>161</v>
      </c>
      <c r="J30" s="7" t="s">
        <v>163</v>
      </c>
      <c r="M30" s="3"/>
      <c r="N30" s="21"/>
      <c r="O30" s="3"/>
    </row>
    <row r="31" spans="1:15">
      <c r="A31" s="33" t="s">
        <v>86</v>
      </c>
      <c r="B31" s="4" t="e">
        <f>B27+I7</f>
        <v>#VALUE!</v>
      </c>
      <c r="D31" s="3"/>
      <c r="H31" s="3" t="s">
        <v>136</v>
      </c>
      <c r="I31" s="25">
        <f>VLOOKUP(H31,$A$14:$E$17,4,FALSE)</f>
        <v>2.2360679774997897E-2</v>
      </c>
      <c r="J31" s="25">
        <f>VLOOKUP(H31,$A$14:$E$17,5,FALSE)</f>
        <v>0.50759954989056688</v>
      </c>
      <c r="M31" s="13"/>
      <c r="N31" s="3"/>
      <c r="O31" s="3"/>
    </row>
    <row r="32" spans="1:15">
      <c r="H32" s="3" t="s">
        <v>185</v>
      </c>
      <c r="I32">
        <f>VLOOKUP($H32,'EV of Far Future'!$K$3:$N$14,2,FALSE)</f>
        <v>1.6190861620062103E+40</v>
      </c>
      <c r="J32">
        <f>VLOOKUP($H32,'EV of Far Future'!$K$3:$N$14,3,FALSE)</f>
        <v>3.5113686573257055</v>
      </c>
      <c r="M32" s="3"/>
      <c r="N32" s="29"/>
      <c r="O32" s="29"/>
    </row>
    <row r="33" spans="2:15">
      <c r="B33" s="3"/>
      <c r="H33" s="3" t="s">
        <v>66</v>
      </c>
      <c r="I33">
        <f>1/factory_farmed_animals</f>
        <v>5.0000000000000002E-11</v>
      </c>
      <c r="J33">
        <v>0</v>
      </c>
      <c r="M33" s="3"/>
      <c r="N33" s="25"/>
      <c r="O33" s="3"/>
    </row>
    <row r="34" spans="2:15">
      <c r="B34" s="3"/>
      <c r="H34" s="3" t="s">
        <v>98</v>
      </c>
      <c r="I34" t="e">
        <f>$D$12</f>
        <v>#VALUE!</v>
      </c>
      <c r="J34" t="e">
        <f>$E$12</f>
        <v>#VALUE!</v>
      </c>
      <c r="M34" s="3"/>
      <c r="N34" s="3"/>
      <c r="O34" s="3"/>
    </row>
    <row r="35" spans="2:15">
      <c r="H35" s="15" t="s">
        <v>52</v>
      </c>
      <c r="I35" s="14" t="e">
        <f>PRODUCT(I31:I34)</f>
        <v>#VALUE!</v>
      </c>
      <c r="J35" s="14" t="e">
        <f>SUM(J31:J34)</f>
        <v>#VALUE!</v>
      </c>
      <c r="M35" s="3"/>
      <c r="N35" s="3"/>
      <c r="O35" s="3"/>
    </row>
    <row r="36" spans="2:15">
      <c r="H36" s="3"/>
      <c r="I36" s="3"/>
      <c r="M36" s="3"/>
      <c r="N36" s="3"/>
      <c r="O36" s="3"/>
    </row>
    <row r="37" spans="2:15">
      <c r="H37" s="3"/>
      <c r="I37" s="21"/>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J9"/>
  <sheetViews>
    <sheetView workbookViewId="0">
      <selection activeCell="I8" sqref="I8"/>
    </sheetView>
  </sheetViews>
  <sheetFormatPr baseColWidth="10" defaultRowHeight="15" x14ac:dyDescent="0"/>
  <cols>
    <col min="1" max="1" width="21.6640625" style="130" customWidth="1"/>
    <col min="4" max="4" width="12.1640625" bestFit="1" customWidth="1"/>
    <col min="8" max="8" width="21.6640625" customWidth="1"/>
  </cols>
  <sheetData>
    <row r="1" spans="1:10" ht="20">
      <c r="A1" s="128" t="s">
        <v>124</v>
      </c>
      <c r="H1" s="1" t="s">
        <v>63</v>
      </c>
    </row>
    <row r="2" spans="1:10">
      <c r="B2" s="129" t="s">
        <v>0</v>
      </c>
      <c r="C2" s="129" t="s">
        <v>1</v>
      </c>
      <c r="D2" s="129" t="s">
        <v>161</v>
      </c>
      <c r="E2" s="129" t="s">
        <v>163</v>
      </c>
      <c r="F2" s="129" t="s">
        <v>27</v>
      </c>
      <c r="I2" s="129" t="s">
        <v>161</v>
      </c>
      <c r="J2" s="129" t="s">
        <v>163</v>
      </c>
    </row>
    <row r="3" spans="1:10">
      <c r="A3" s="42" t="s">
        <v>245</v>
      </c>
      <c r="B3" s="136">
        <v>2</v>
      </c>
      <c r="C3" s="136">
        <v>3</v>
      </c>
      <c r="D3" s="103"/>
      <c r="E3" s="103"/>
      <c r="F3" s="103" t="s">
        <v>268</v>
      </c>
      <c r="H3" s="127" t="s">
        <v>244</v>
      </c>
      <c r="I3">
        <f>D9</f>
        <v>295803.98915498087</v>
      </c>
      <c r="J3">
        <f>E9</f>
        <v>0.31528753718843733</v>
      </c>
    </row>
    <row r="4" spans="1:10">
      <c r="A4" s="87" t="s">
        <v>243</v>
      </c>
      <c r="B4" s="131">
        <f>1/C3</f>
        <v>0.33333333333333331</v>
      </c>
      <c r="C4" s="131">
        <f>1/B3</f>
        <v>0.5</v>
      </c>
      <c r="D4" s="103">
        <f>GEOMEAN(B4,C4)</f>
        <v>0.40824829046386302</v>
      </c>
      <c r="E4" s="103">
        <f>LogVariance(B4,C4)</f>
        <v>6.8702369764126706E-2</v>
      </c>
      <c r="F4" s="103"/>
      <c r="H4" s="127" t="s">
        <v>119</v>
      </c>
      <c r="I4">
        <f>Globals!K24</f>
        <v>0.3</v>
      </c>
      <c r="J4">
        <f>Globals!L24</f>
        <v>0</v>
      </c>
    </row>
    <row r="5" spans="1:10" ht="45">
      <c r="A5" s="46" t="s">
        <v>269</v>
      </c>
      <c r="B5" s="132">
        <v>5</v>
      </c>
      <c r="C5" s="132">
        <v>10</v>
      </c>
      <c r="D5" s="103">
        <f t="shared" ref="D5:D6" si="0">GEOMEAN(B5,C5)</f>
        <v>7.0710678118654755</v>
      </c>
      <c r="E5" s="103">
        <f t="shared" ref="E5:E6" si="1">LogVariance(B5,C5)</f>
        <v>0.11744747685437738</v>
      </c>
      <c r="F5" s="103" t="s">
        <v>241</v>
      </c>
      <c r="H5" s="134" t="s">
        <v>52</v>
      </c>
      <c r="I5" s="14">
        <f>I3*I4</f>
        <v>88741.196746494257</v>
      </c>
      <c r="J5" s="14">
        <f>J3+J4</f>
        <v>0.31528753718843733</v>
      </c>
    </row>
    <row r="6" spans="1:10" ht="30">
      <c r="A6" s="46" t="s">
        <v>270</v>
      </c>
      <c r="B6" s="137">
        <v>100</v>
      </c>
      <c r="C6" s="137">
        <v>150</v>
      </c>
      <c r="D6" s="103">
        <f t="shared" si="0"/>
        <v>122.47448713915891</v>
      </c>
      <c r="E6" s="103">
        <f t="shared" si="1"/>
        <v>6.8702369764126706E-2</v>
      </c>
      <c r="F6" s="103"/>
      <c r="H6" s="135" t="s">
        <v>80</v>
      </c>
      <c r="I6" s="19">
        <f>ParetoPosterior(median,alpha,I5:J5)</f>
        <v>16679.269175199799</v>
      </c>
    </row>
    <row r="7" spans="1:10" ht="45">
      <c r="A7" s="46" t="s">
        <v>271</v>
      </c>
      <c r="B7" s="132">
        <v>0.7</v>
      </c>
      <c r="C7" s="132">
        <v>1</v>
      </c>
      <c r="D7" s="103">
        <f t="shared" ref="D7" si="2">GEOMEAN(B7,C7)</f>
        <v>0.83666002653407556</v>
      </c>
      <c r="E7" s="103">
        <f t="shared" ref="E7" si="3">LogVariance(B7,C7)</f>
        <v>6.0435320805806568E-2</v>
      </c>
      <c r="F7" s="103"/>
      <c r="H7" s="135" t="s">
        <v>87</v>
      </c>
      <c r="I7" s="19" t="str">
        <f>LognormPosterior(mu_factory_farming,sigma_factory_farming,I5:J5)</f>
        <v>disabled</v>
      </c>
    </row>
    <row r="8" spans="1:10">
      <c r="A8" s="90" t="s">
        <v>242</v>
      </c>
      <c r="B8" s="133"/>
      <c r="C8" s="133"/>
      <c r="D8" s="103">
        <f>PRODUCT(D4:D7)</f>
        <v>295.80398915498085</v>
      </c>
      <c r="E8" s="103">
        <f>SUM(E4:E7)</f>
        <v>0.31528753718843733</v>
      </c>
      <c r="F8" s="103"/>
    </row>
    <row r="9" spans="1:10" ht="30">
      <c r="A9" s="130" t="s">
        <v>244</v>
      </c>
      <c r="D9" s="103">
        <f>D8*1000</f>
        <v>295803.98915498087</v>
      </c>
      <c r="E9" s="103">
        <f>E8</f>
        <v>0.31528753718843733</v>
      </c>
      <c r="F9"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4"/>
  <sheetViews>
    <sheetView workbookViewId="0">
      <selection activeCell="K21" sqref="K21"/>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110</v>
      </c>
      <c r="B1" t="s">
        <v>125</v>
      </c>
      <c r="G1" s="99" t="s">
        <v>107</v>
      </c>
      <c r="H1" t="s">
        <v>125</v>
      </c>
      <c r="I1" t="s">
        <v>283</v>
      </c>
      <c r="M1" s="1"/>
    </row>
    <row r="2" spans="1:15">
      <c r="A2" s="57"/>
      <c r="B2" s="44" t="s">
        <v>0</v>
      </c>
      <c r="C2" s="44" t="s">
        <v>1</v>
      </c>
      <c r="D2" s="44" t="s">
        <v>161</v>
      </c>
      <c r="E2" s="44" t="s">
        <v>163</v>
      </c>
      <c r="H2" s="44" t="s">
        <v>0</v>
      </c>
      <c r="I2" s="44" t="s">
        <v>1</v>
      </c>
      <c r="J2" s="44" t="s">
        <v>161</v>
      </c>
      <c r="K2" s="44" t="s">
        <v>163</v>
      </c>
    </row>
    <row r="3" spans="1:15">
      <c r="A3" s="91" t="s">
        <v>104</v>
      </c>
      <c r="B3" s="92">
        <v>70000</v>
      </c>
      <c r="C3" s="92">
        <v>150000</v>
      </c>
      <c r="D3" s="44"/>
      <c r="E3" s="44"/>
      <c r="F3" t="s">
        <v>216</v>
      </c>
      <c r="G3" s="42" t="s">
        <v>100</v>
      </c>
      <c r="H3" s="43">
        <v>0.03</v>
      </c>
      <c r="I3" s="43">
        <v>0.3</v>
      </c>
      <c r="J3" s="44">
        <f>GEOMEAN(H3,I3)</f>
        <v>9.4868329805051374E-2</v>
      </c>
      <c r="K3" s="44">
        <f>LogVariance(H3,I3)</f>
        <v>0.39015207303618948</v>
      </c>
      <c r="L3" s="103" t="s">
        <v>202</v>
      </c>
    </row>
    <row r="4" spans="1:15" ht="30">
      <c r="A4" s="57" t="s">
        <v>105</v>
      </c>
      <c r="B4" s="44">
        <f>1/C3</f>
        <v>6.6666666666666666E-6</v>
      </c>
      <c r="C4" s="44">
        <f>1/B3</f>
        <v>1.4285714285714285E-5</v>
      </c>
      <c r="D4" s="44">
        <f>GEOMEAN(B4,C4)</f>
        <v>9.7590007294853309E-6</v>
      </c>
      <c r="E4" s="44">
        <f>LogVariance(B4,C4)</f>
        <v>0.12913769056993327</v>
      </c>
      <c r="G4" s="46" t="s">
        <v>103</v>
      </c>
      <c r="H4" s="47">
        <v>200</v>
      </c>
      <c r="I4" s="47">
        <v>10000</v>
      </c>
      <c r="J4" s="44"/>
      <c r="K4" s="44"/>
      <c r="L4" s="103" t="s">
        <v>208</v>
      </c>
    </row>
    <row r="5" spans="1:15" ht="30">
      <c r="G5" s="87" t="s">
        <v>132</v>
      </c>
      <c r="H5" s="86">
        <f>1/I4</f>
        <v>1E-4</v>
      </c>
      <c r="I5" s="86">
        <f>1/H4</f>
        <v>5.0000000000000001E-3</v>
      </c>
      <c r="J5" s="44">
        <f>GEOMEAN(H5,I5)</f>
        <v>7.0710678118654762E-4</v>
      </c>
      <c r="K5" s="44">
        <f>LogVariance(H5,I5)</f>
        <v>0.66285666921800146</v>
      </c>
      <c r="L5" s="103"/>
    </row>
    <row r="6" spans="1:15" ht="30">
      <c r="G6" s="46" t="s">
        <v>101</v>
      </c>
      <c r="H6" s="47">
        <v>1</v>
      </c>
      <c r="I6" s="47">
        <v>3</v>
      </c>
      <c r="J6" s="44">
        <f>GEOMEAN(H6,I6)</f>
        <v>1.7320508075688774</v>
      </c>
      <c r="K6" s="44">
        <f>LogVariance(H6,I6)</f>
        <v>0.18614984661850412</v>
      </c>
      <c r="L6" s="103" t="s">
        <v>272</v>
      </c>
    </row>
    <row r="7" spans="1:15" ht="45">
      <c r="G7" s="46" t="s">
        <v>273</v>
      </c>
      <c r="H7" s="47">
        <v>0.1</v>
      </c>
      <c r="I7" s="47">
        <v>0.7</v>
      </c>
      <c r="J7" s="44">
        <f>GEOMEAN(H7,I7)</f>
        <v>0.26457513110645903</v>
      </c>
      <c r="K7" s="44">
        <f>LogVariance(H7,I7)</f>
        <v>0.32971675223038288</v>
      </c>
      <c r="L7" s="103"/>
      <c r="M7" s="25"/>
      <c r="N7" s="3"/>
      <c r="O7" s="3"/>
    </row>
    <row r="8" spans="1:15">
      <c r="G8" s="63" t="s">
        <v>111</v>
      </c>
      <c r="H8" s="88"/>
      <c r="I8" s="88"/>
      <c r="J8" s="44">
        <f>J3*J5*J6*J7*D4*1000</f>
        <v>2.9999999999999999E-7</v>
      </c>
      <c r="K8" s="44">
        <f>K3+K5+K6+K7+E4</f>
        <v>1.6980130316730113</v>
      </c>
      <c r="L8" s="103"/>
      <c r="M8" s="3"/>
      <c r="N8" s="3"/>
      <c r="O8" s="3"/>
    </row>
    <row r="9" spans="1:15" ht="20">
      <c r="A9" s="32" t="s">
        <v>59</v>
      </c>
      <c r="G9" s="57"/>
      <c r="H9" s="44"/>
      <c r="I9" s="44"/>
      <c r="J9" s="44"/>
      <c r="K9" s="44"/>
      <c r="L9" s="103"/>
      <c r="M9" s="3"/>
      <c r="N9" s="3" t="s">
        <v>146</v>
      </c>
      <c r="O9" s="3"/>
    </row>
    <row r="10" spans="1:15">
      <c r="A10" s="10" t="s">
        <v>118</v>
      </c>
      <c r="G10" s="57"/>
      <c r="H10" s="44"/>
      <c r="I10" s="44"/>
      <c r="J10" s="44"/>
      <c r="K10" s="44"/>
      <c r="L10" s="103"/>
      <c r="M10" s="3"/>
      <c r="O10" s="3"/>
    </row>
    <row r="11" spans="1:15">
      <c r="A11" s="37" t="s">
        <v>174</v>
      </c>
      <c r="B11" s="38" t="e">
        <f>ParetoPosterior(median,alpha,H26:I26)</f>
        <v>#VALUE!</v>
      </c>
      <c r="G11" s="98" t="s">
        <v>108</v>
      </c>
      <c r="H11" s="54" t="s">
        <v>125</v>
      </c>
      <c r="I11" s="44"/>
      <c r="J11" s="44"/>
      <c r="K11" s="44"/>
      <c r="L11" s="103"/>
      <c r="M11" s="3"/>
      <c r="N11" s="3"/>
      <c r="O11" s="3"/>
    </row>
    <row r="12" spans="1:15" ht="30">
      <c r="A12" s="37" t="s">
        <v>175</v>
      </c>
      <c r="B12" s="38" t="str">
        <f>LognormPosterior(mu_far_future,sigma_far_future,H26:I26)</f>
        <v>disabled</v>
      </c>
      <c r="G12" s="79"/>
      <c r="H12" s="74" t="s">
        <v>0</v>
      </c>
      <c r="I12" s="74" t="s">
        <v>1</v>
      </c>
      <c r="J12" s="44" t="s">
        <v>161</v>
      </c>
      <c r="K12" s="44" t="s">
        <v>163</v>
      </c>
      <c r="L12" s="103"/>
      <c r="M12" s="3"/>
      <c r="N12" s="26"/>
      <c r="O12" s="26"/>
    </row>
    <row r="13" spans="1:15">
      <c r="A13" s="35"/>
      <c r="B13" s="34"/>
      <c r="G13" s="42" t="s">
        <v>102</v>
      </c>
      <c r="H13" s="50">
        <v>1000000</v>
      </c>
      <c r="I13" s="50">
        <v>10000000000</v>
      </c>
      <c r="J13" s="44">
        <f>GEOMEAN(H13,I13)</f>
        <v>100000000</v>
      </c>
      <c r="K13" s="44">
        <f>LogVariance(H13,I13)</f>
        <v>1.5606082921447579</v>
      </c>
      <c r="L13" s="103" t="s">
        <v>279</v>
      </c>
      <c r="M13" s="3"/>
      <c r="N13" s="3"/>
      <c r="O13" s="3"/>
    </row>
    <row r="14" spans="1:15" ht="30">
      <c r="G14" s="46" t="s">
        <v>274</v>
      </c>
      <c r="H14" s="47">
        <v>2000</v>
      </c>
      <c r="I14" s="47">
        <v>2000</v>
      </c>
      <c r="J14" s="44">
        <f>GEOMEAN(H14,I14)</f>
        <v>2000</v>
      </c>
      <c r="K14" s="44">
        <f>LogVariance(H14,I14)</f>
        <v>0</v>
      </c>
      <c r="L14" s="103"/>
      <c r="M14" s="3"/>
      <c r="N14" s="3"/>
      <c r="O14" s="3"/>
    </row>
    <row r="15" spans="1:15">
      <c r="A15" s="22"/>
      <c r="B15" s="3"/>
      <c r="G15" s="85" t="s">
        <v>112</v>
      </c>
      <c r="H15" s="89">
        <f>1/I13</f>
        <v>1E-10</v>
      </c>
      <c r="I15" s="89">
        <f>1/H13</f>
        <v>9.9999999999999995E-7</v>
      </c>
      <c r="J15" s="44">
        <f>GEOMEAN(H15,I15)</f>
        <v>1E-8</v>
      </c>
      <c r="K15" s="44">
        <f>LogVariance(H15,I15)</f>
        <v>1.5606082921447579</v>
      </c>
      <c r="L15" s="103"/>
      <c r="M15" s="25"/>
      <c r="N15" s="3"/>
      <c r="O15" s="3"/>
    </row>
    <row r="16" spans="1:15">
      <c r="A16" s="8"/>
      <c r="B16" s="3"/>
      <c r="G16" s="90" t="s">
        <v>111</v>
      </c>
      <c r="H16" s="88"/>
      <c r="I16" s="88"/>
      <c r="J16" s="44">
        <f>J14*J15*D4*1000</f>
        <v>1.9518001458970664E-7</v>
      </c>
      <c r="K16" s="44">
        <f>K14+K15+E4</f>
        <v>1.6897459827146912</v>
      </c>
      <c r="L16" s="103"/>
      <c r="M16" s="3"/>
      <c r="O16" s="3"/>
    </row>
    <row r="17" spans="1:15">
      <c r="A17" s="8"/>
      <c r="B17" s="3"/>
      <c r="L17" s="103"/>
      <c r="M17" s="3"/>
      <c r="O17" s="3"/>
    </row>
    <row r="18" spans="1:15">
      <c r="A18" s="8"/>
      <c r="B18" s="3"/>
      <c r="L18" s="103"/>
      <c r="M18" s="3"/>
      <c r="N18" s="3"/>
      <c r="O18" s="3"/>
    </row>
    <row r="19" spans="1:15">
      <c r="A19" s="8"/>
      <c r="B19" s="3"/>
      <c r="G19" s="10" t="s">
        <v>113</v>
      </c>
      <c r="L19" s="103"/>
      <c r="M19" s="3"/>
      <c r="N19" s="3"/>
      <c r="O19" s="3"/>
    </row>
    <row r="20" spans="1:15">
      <c r="A20" s="22"/>
      <c r="B20" s="3"/>
      <c r="G20" s="5" t="s">
        <v>111</v>
      </c>
      <c r="J20">
        <f>GEOMEAN(J8,J16)</f>
        <v>2.4197934700488798E-7</v>
      </c>
      <c r="K20">
        <f>AVERAGE(K8,K16)</f>
        <v>1.6938795071938513</v>
      </c>
      <c r="L20" s="103" t="s">
        <v>280</v>
      </c>
      <c r="M20" s="3"/>
      <c r="N20" s="3"/>
      <c r="O20" s="3"/>
    </row>
    <row r="21" spans="1:15">
      <c r="A21" s="8"/>
      <c r="B21" s="3"/>
      <c r="L21" s="103"/>
    </row>
    <row r="22" spans="1:15">
      <c r="A22" s="8"/>
      <c r="B22" s="3"/>
      <c r="L22" s="103"/>
    </row>
    <row r="23" spans="1:15">
      <c r="H23" s="7" t="s">
        <v>161</v>
      </c>
      <c r="I23" s="7" t="s">
        <v>162</v>
      </c>
      <c r="L23" s="103"/>
    </row>
    <row r="24" spans="1:15">
      <c r="G24" s="5" t="s">
        <v>111</v>
      </c>
      <c r="H24">
        <f>J20</f>
        <v>2.4197934700488798E-7</v>
      </c>
      <c r="I24">
        <f>K20</f>
        <v>1.6938795071938513</v>
      </c>
      <c r="J24" s="3"/>
      <c r="K24" s="3"/>
      <c r="L24" s="143"/>
      <c r="M24" s="3"/>
    </row>
    <row r="25" spans="1:15">
      <c r="G25" s="8" t="s">
        <v>109</v>
      </c>
      <c r="H25" t="e">
        <f>'EV of Far Future'!L19</f>
        <v>#VALUE!</v>
      </c>
      <c r="I25" t="e">
        <f>'EV of Far Future'!M19</f>
        <v>#VALUE!</v>
      </c>
      <c r="J25" s="3"/>
      <c r="K25" s="3"/>
      <c r="L25" s="143"/>
      <c r="M25" s="3"/>
    </row>
    <row r="26" spans="1:15">
      <c r="G26" s="16" t="s">
        <v>52</v>
      </c>
      <c r="H26" s="14" t="e">
        <f>PRODUCT(H24:H25)</f>
        <v>#VALUE!</v>
      </c>
      <c r="I26" s="14" t="e">
        <f>SUM(I24:I25)</f>
        <v>#VALUE!</v>
      </c>
      <c r="J26" s="3"/>
      <c r="K26" s="3"/>
      <c r="L26" s="143"/>
      <c r="M26" s="3"/>
    </row>
    <row r="27" spans="1:15">
      <c r="G27" s="8"/>
      <c r="H27" s="3"/>
      <c r="I27" s="3"/>
      <c r="J27" s="3"/>
      <c r="K27" s="3"/>
      <c r="L27" s="143"/>
      <c r="M27" s="3"/>
    </row>
    <row r="28" spans="1:15">
      <c r="G28" s="8"/>
      <c r="H28" s="3"/>
      <c r="I28" s="3"/>
      <c r="J28" s="3"/>
      <c r="K28" s="3"/>
      <c r="L28" s="143"/>
      <c r="M28" s="3"/>
    </row>
    <row r="29" spans="1:15">
      <c r="G29" s="22" t="s">
        <v>254</v>
      </c>
      <c r="H29" s="44" t="s">
        <v>0</v>
      </c>
      <c r="I29" s="44" t="s">
        <v>1</v>
      </c>
      <c r="J29" s="44" t="s">
        <v>161</v>
      </c>
      <c r="K29" s="44" t="s">
        <v>163</v>
      </c>
      <c r="L29" s="143" t="s">
        <v>215</v>
      </c>
      <c r="M29" s="3"/>
    </row>
    <row r="30" spans="1:15" ht="30">
      <c r="G30" s="91" t="s">
        <v>217</v>
      </c>
      <c r="H30" s="3">
        <v>0.1</v>
      </c>
      <c r="I30" s="3">
        <v>0.1</v>
      </c>
      <c r="J30" s="3"/>
      <c r="K30" s="3"/>
      <c r="L30" s="143" t="s">
        <v>220</v>
      </c>
      <c r="M30" s="3"/>
    </row>
    <row r="31" spans="1:15">
      <c r="G31" s="91" t="s">
        <v>218</v>
      </c>
      <c r="H31" s="3">
        <v>2040</v>
      </c>
      <c r="I31" s="3">
        <v>2100</v>
      </c>
      <c r="J31" s="3"/>
      <c r="K31" s="3"/>
      <c r="L31" s="143"/>
      <c r="M31" s="3"/>
    </row>
    <row r="32" spans="1:15">
      <c r="G32" s="91" t="s">
        <v>219</v>
      </c>
      <c r="H32" s="3">
        <f ca="1">H31-YEAR(TODAY())</f>
        <v>24</v>
      </c>
      <c r="I32" s="3">
        <f ca="1">I31-YEAR(TODAY())</f>
        <v>84</v>
      </c>
      <c r="J32" s="3"/>
      <c r="K32" s="3"/>
      <c r="L32" s="143"/>
      <c r="M32" s="3"/>
    </row>
    <row r="33" spans="7:12" ht="30">
      <c r="G33" s="8" t="s">
        <v>221</v>
      </c>
      <c r="H33">
        <f ca="1">H4/LN(1+H30)*(1-1/((1+H30)^H32))</f>
        <v>1885.3692309674122</v>
      </c>
      <c r="I33">
        <f ca="1">I4/LN(1+I30)*(1-1/((1+I30)^I32))</f>
        <v>104885.60241393384</v>
      </c>
      <c r="J33" s="44">
        <f ca="1">GEOMEAN(H33,I33)</f>
        <v>14062.293111819003</v>
      </c>
      <c r="K33" s="44">
        <f ca="1">LogVariance(H33,I33)</f>
        <v>0.68094000612010941</v>
      </c>
      <c r="L33" s="103" t="s">
        <v>222</v>
      </c>
    </row>
    <row r="34" spans="7:12" ht="45">
      <c r="G34" s="5" t="s">
        <v>223</v>
      </c>
      <c r="L34" s="10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tabSelected="1" workbookViewId="0">
      <selection activeCell="I18" sqref="I18"/>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124</v>
      </c>
      <c r="H1" s="1" t="s">
        <v>141</v>
      </c>
    </row>
    <row r="2" spans="1:10">
      <c r="B2" s="44" t="s">
        <v>0</v>
      </c>
      <c r="C2" s="44" t="s">
        <v>1</v>
      </c>
      <c r="D2" s="44" t="s">
        <v>161</v>
      </c>
      <c r="E2" s="44" t="s">
        <v>163</v>
      </c>
      <c r="F2" s="44" t="s">
        <v>27</v>
      </c>
      <c r="I2" t="s">
        <v>161</v>
      </c>
      <c r="J2" s="44" t="s">
        <v>163</v>
      </c>
    </row>
    <row r="3" spans="1:10">
      <c r="A3" s="94" t="s">
        <v>127</v>
      </c>
      <c r="B3" s="43">
        <v>0.1</v>
      </c>
      <c r="C3" s="43">
        <v>0.5</v>
      </c>
      <c r="D3" s="74">
        <f>GEOMEAN(B3,C3)</f>
        <v>0.22360679774997896</v>
      </c>
      <c r="E3" s="74">
        <f>LogVariance(B3,C3)</f>
        <v>0.27270459618181209</v>
      </c>
      <c r="F3" s="39"/>
      <c r="H3" t="s">
        <v>182</v>
      </c>
      <c r="I3">
        <f>VLOOKUP(H3,'EV of Far Future'!$K$3:$M$14,2,FALSE)</f>
        <v>6.3245553203367595E+46</v>
      </c>
      <c r="J3">
        <f>VLOOKUP(H3,'EV of Far Future'!$K$3:$M$14,3,FALSE)</f>
        <v>3.5113686573257055</v>
      </c>
    </row>
    <row r="4" spans="1:10" ht="30">
      <c r="A4" s="95" t="s">
        <v>131</v>
      </c>
      <c r="B4" s="47">
        <v>0.2</v>
      </c>
      <c r="C4" s="47">
        <v>0.8</v>
      </c>
      <c r="D4" s="74">
        <f>GEOMEAN(B4,C4)</f>
        <v>0.4</v>
      </c>
      <c r="E4" s="74">
        <f>LogVariance(B4,C4)</f>
        <v>0.23489495370875477</v>
      </c>
      <c r="F4" s="39"/>
      <c r="H4" t="s">
        <v>183</v>
      </c>
      <c r="I4">
        <f>VLOOKUP(H4,'EV of Far Future'!$K$3:$M$14,2,FALSE)</f>
        <v>1.2649110640673518E+46</v>
      </c>
      <c r="J4">
        <f>VLOOKUP(H4,'EV of Far Future'!$K$3:$M$14,3,FALSE)</f>
        <v>3.5113686573257055</v>
      </c>
    </row>
    <row r="5" spans="1:10" ht="30" customHeight="1">
      <c r="A5" s="101" t="s">
        <v>204</v>
      </c>
      <c r="B5" s="102">
        <v>0.1</v>
      </c>
      <c r="C5" s="102">
        <v>0.6</v>
      </c>
      <c r="D5" s="74">
        <f>GEOMEAN(B5,C5)</f>
        <v>0.2449489742783178</v>
      </c>
      <c r="E5" s="74">
        <f>LogVariance(B5,C5)</f>
        <v>0.30359732347288149</v>
      </c>
      <c r="F5" s="39"/>
      <c r="H5" t="s">
        <v>187</v>
      </c>
      <c r="I5">
        <f>VLOOKUP(H5,'EV of Far Future'!$K$3:$M$14,2,FALSE)</f>
        <v>5.4644157967709579E+33</v>
      </c>
      <c r="J5">
        <f>VLOOKUP(H5,'EV of Far Future'!$K$3:$M$14,3,FALSE)</f>
        <v>2.7310645112533267</v>
      </c>
    </row>
    <row r="6" spans="1:10" ht="45">
      <c r="A6" s="46" t="s">
        <v>205</v>
      </c>
      <c r="B6" s="47">
        <v>5000</v>
      </c>
      <c r="C6" s="47">
        <v>100000</v>
      </c>
      <c r="D6" s="44"/>
      <c r="E6" s="44"/>
      <c r="F6" s="39" t="s">
        <v>207</v>
      </c>
      <c r="H6" t="s">
        <v>184</v>
      </c>
      <c r="I6">
        <f>VLOOKUP(H6,'EV of Far Future'!$K$3:$M$14,2,FALSE)</f>
        <v>5.1200000000000003E+36</v>
      </c>
      <c r="J6">
        <f>VLOOKUP(H6,'EV of Far Future'!$K$3:$M$14,3,FALSE)</f>
        <v>3.1212165842895159</v>
      </c>
    </row>
    <row r="7" spans="1:10" ht="30">
      <c r="A7" s="87" t="s">
        <v>206</v>
      </c>
      <c r="B7" s="86">
        <f>1/C6</f>
        <v>1.0000000000000001E-5</v>
      </c>
      <c r="C7" s="86">
        <f>1/B6</f>
        <v>2.0000000000000001E-4</v>
      </c>
      <c r="D7" s="74">
        <f>GEOMEAN(B7,C7)</f>
        <v>4.4721359549995795E-5</v>
      </c>
      <c r="E7" s="74">
        <f>LogVariance(B7,C7)</f>
        <v>0.50759954989056688</v>
      </c>
      <c r="F7" s="39"/>
      <c r="H7" t="s">
        <v>185</v>
      </c>
      <c r="I7">
        <f>VLOOKUP(H7,'EV of Far Future'!$K$3:$M$14,2,FALSE)</f>
        <v>1.6190861620062103E+40</v>
      </c>
      <c r="J7">
        <f>VLOOKUP(H7,'EV of Far Future'!$K$3:$M$14,3,FALSE)</f>
        <v>3.5113686573257055</v>
      </c>
    </row>
    <row r="8" spans="1:10" ht="30">
      <c r="A8" s="46" t="s">
        <v>129</v>
      </c>
      <c r="B8" s="47">
        <v>0.5</v>
      </c>
      <c r="C8" s="47">
        <v>5</v>
      </c>
      <c r="D8" s="74">
        <f>GEOMEAN(B8,C8)</f>
        <v>1.5811388300841898</v>
      </c>
      <c r="E8" s="74">
        <f>LogVariance(B8,C8)</f>
        <v>0.39015207303618948</v>
      </c>
      <c r="F8" s="39" t="s">
        <v>275</v>
      </c>
      <c r="H8" t="s">
        <v>186</v>
      </c>
      <c r="I8">
        <f>VLOOKUP(H8,'EV of Far Future'!$K$3:$M$14,2,FALSE)</f>
        <v>3.8399999999999992E+38</v>
      </c>
      <c r="J8">
        <f>VLOOKUP(H8,'EV of Far Future'!$K$3:$M$14,3,FALSE)</f>
        <v>4.6818248764342734</v>
      </c>
    </row>
    <row r="9" spans="1:10" ht="45">
      <c r="A9" s="46" t="s">
        <v>130</v>
      </c>
      <c r="B9" s="47">
        <v>1000</v>
      </c>
      <c r="C9" s="47">
        <v>100000</v>
      </c>
      <c r="D9" s="74"/>
      <c r="E9" s="74"/>
      <c r="F9" s="39"/>
    </row>
    <row r="10" spans="1:10">
      <c r="A10" s="85" t="s">
        <v>133</v>
      </c>
      <c r="B10" s="86">
        <f>1000/C9</f>
        <v>0.01</v>
      </c>
      <c r="C10" s="86">
        <f>1000/B9</f>
        <v>1</v>
      </c>
      <c r="D10" s="74">
        <f>GEOMEAN(B10,C10)</f>
        <v>0.1</v>
      </c>
      <c r="E10" s="74">
        <f>LogVariance(B10,C10)</f>
        <v>0.78030414607237897</v>
      </c>
      <c r="F10" s="39"/>
      <c r="H10" s="15" t="s">
        <v>181</v>
      </c>
      <c r="I10" s="14">
        <f t="shared" ref="I10:I15" si="0">D13*I3</f>
        <v>1.4142135623730952E+45</v>
      </c>
      <c r="J10" s="14">
        <f t="shared" ref="J10:J15" si="1">E13+J3</f>
        <v>3.7840732535075174</v>
      </c>
    </row>
    <row r="11" spans="1:10" ht="45">
      <c r="A11" s="85" t="s">
        <v>134</v>
      </c>
      <c r="B11" s="86"/>
      <c r="C11" s="86"/>
      <c r="D11" s="74">
        <f>PRODUCT(D3:D8)*D10</f>
        <v>1.5491933384829672E-7</v>
      </c>
      <c r="E11" s="74">
        <f>SUM(E3:E8)+E10</f>
        <v>2.489252642362584</v>
      </c>
      <c r="F11" s="39"/>
      <c r="H11" s="15" t="s">
        <v>137</v>
      </c>
      <c r="I11" s="14">
        <f t="shared" si="0"/>
        <v>4.0000000000000004E+44</v>
      </c>
      <c r="J11" s="14">
        <f t="shared" si="1"/>
        <v>3.9015207303618951</v>
      </c>
    </row>
    <row r="12" spans="1:10">
      <c r="A12" s="85"/>
      <c r="B12" s="86"/>
      <c r="C12" s="86"/>
      <c r="D12" s="74"/>
      <c r="E12" s="74"/>
      <c r="F12" s="39"/>
      <c r="H12" s="15" t="s">
        <v>192</v>
      </c>
      <c r="I12" s="14">
        <f t="shared" si="0"/>
        <v>5.4644157967709579E+33</v>
      </c>
      <c r="J12" s="14">
        <f t="shared" si="1"/>
        <v>2.7310645112533267</v>
      </c>
    </row>
    <row r="13" spans="1:10" ht="60">
      <c r="A13" s="46" t="s">
        <v>276</v>
      </c>
      <c r="B13" s="47">
        <v>0.01</v>
      </c>
      <c r="C13" s="47">
        <v>0.05</v>
      </c>
      <c r="D13" s="74">
        <f t="shared" ref="D13:D18" si="2">GEOMEAN(B13,C13)</f>
        <v>2.2360679774997897E-2</v>
      </c>
      <c r="E13" s="74">
        <f t="shared" ref="E13:E18" si="3">LogVariance(B13,C13)</f>
        <v>0.27270459618181209</v>
      </c>
      <c r="F13" s="39"/>
      <c r="H13" s="15" t="s">
        <v>138</v>
      </c>
      <c r="I13" s="14">
        <f t="shared" si="0"/>
        <v>1.0240000000000001E+36</v>
      </c>
      <c r="J13" s="14">
        <f t="shared" si="1"/>
        <v>3.3561115379982707</v>
      </c>
    </row>
    <row r="14" spans="1:10" ht="30">
      <c r="A14" s="46" t="s">
        <v>277</v>
      </c>
      <c r="B14" s="47">
        <v>0.01</v>
      </c>
      <c r="C14" s="47">
        <v>0.1</v>
      </c>
      <c r="D14" s="74">
        <f t="shared" si="2"/>
        <v>3.1622776601683791E-2</v>
      </c>
      <c r="E14" s="74">
        <f t="shared" si="3"/>
        <v>0.39015207303618948</v>
      </c>
      <c r="F14" s="39"/>
      <c r="H14" s="15" t="s">
        <v>139</v>
      </c>
      <c r="I14" s="14">
        <f t="shared" si="0"/>
        <v>1.6190861620062104E+39</v>
      </c>
      <c r="J14" s="14">
        <f t="shared" si="1"/>
        <v>3.7462636110344603</v>
      </c>
    </row>
    <row r="15" spans="1:10" ht="30">
      <c r="A15" s="46" t="s">
        <v>278</v>
      </c>
      <c r="B15" s="47">
        <v>1</v>
      </c>
      <c r="C15" s="47">
        <v>1</v>
      </c>
      <c r="D15" s="74">
        <f t="shared" si="2"/>
        <v>1</v>
      </c>
      <c r="E15" s="74">
        <f t="shared" si="3"/>
        <v>0</v>
      </c>
      <c r="F15" s="39"/>
      <c r="H15" s="15" t="s">
        <v>140</v>
      </c>
      <c r="I15" s="14">
        <f t="shared" si="0"/>
        <v>3.8399999999999994E+37</v>
      </c>
      <c r="J15" s="14">
        <f t="shared" si="1"/>
        <v>4.9167198301430277</v>
      </c>
    </row>
    <row r="16" spans="1:10" ht="30">
      <c r="A16" s="46" t="s">
        <v>135</v>
      </c>
      <c r="B16" s="47">
        <v>0.1</v>
      </c>
      <c r="C16" s="47">
        <v>0.4</v>
      </c>
      <c r="D16" s="74">
        <f t="shared" si="2"/>
        <v>0.2</v>
      </c>
      <c r="E16" s="74">
        <f t="shared" si="3"/>
        <v>0.23489495370875477</v>
      </c>
      <c r="F16" s="39"/>
      <c r="H16" s="30" t="s">
        <v>172</v>
      </c>
      <c r="I16" s="31" t="str">
        <f>WriteArray(SumLognormDists(I10:J15))</f>
        <v>disabled</v>
      </c>
      <c r="J16" s="31" t="s">
        <v>153</v>
      </c>
    </row>
    <row r="17" spans="1:12" ht="30">
      <c r="A17" s="46" t="s">
        <v>136</v>
      </c>
      <c r="B17" s="47">
        <v>0.05</v>
      </c>
      <c r="C17" s="47">
        <v>0.2</v>
      </c>
      <c r="D17" s="74">
        <f t="shared" si="2"/>
        <v>0.1</v>
      </c>
      <c r="E17" s="74">
        <f t="shared" si="3"/>
        <v>0.23489495370875477</v>
      </c>
      <c r="F17" s="39"/>
      <c r="H17" s="3" t="s">
        <v>156</v>
      </c>
      <c r="I17" s="3" t="e">
        <f>STupidExcelMean(I16)</f>
        <v>#VALUE!</v>
      </c>
      <c r="J17" s="3" t="e">
        <f>STupidExcelVariance(I16,I17)</f>
        <v>#VALUE!</v>
      </c>
      <c r="K17" s="3"/>
      <c r="L17" s="3"/>
    </row>
    <row r="18" spans="1:12" ht="30">
      <c r="A18" s="46" t="s">
        <v>128</v>
      </c>
      <c r="B18" s="47">
        <v>0.05</v>
      </c>
      <c r="C18" s="47">
        <v>0.2</v>
      </c>
      <c r="D18" s="74">
        <f t="shared" si="2"/>
        <v>0.1</v>
      </c>
      <c r="E18" s="74">
        <f t="shared" si="3"/>
        <v>0.23489495370875477</v>
      </c>
      <c r="F18" s="39"/>
      <c r="H18" s="15" t="s">
        <v>168</v>
      </c>
      <c r="I18" s="14" t="e">
        <f>EXP(MuFromParams(ABS(I17),J17))</f>
        <v>#VALUE!</v>
      </c>
      <c r="J18" s="14" t="e">
        <f>(SigmaFromParams(I17,J17) / LN(10))^2</f>
        <v>#VALUE!</v>
      </c>
      <c r="K18" s="3"/>
      <c r="L18" s="3"/>
    </row>
    <row r="19" spans="1:12">
      <c r="K19" s="3"/>
      <c r="L19" s="3"/>
    </row>
    <row r="20" spans="1:12">
      <c r="K20" s="3"/>
      <c r="L20" s="3"/>
    </row>
    <row r="21" spans="1:12">
      <c r="K21" s="3"/>
      <c r="L21" s="3"/>
    </row>
    <row r="22" spans="1:12" ht="20">
      <c r="A22" s="6" t="s">
        <v>59</v>
      </c>
    </row>
    <row r="23" spans="1:12">
      <c r="A23" s="33" t="s">
        <v>174</v>
      </c>
      <c r="B23" s="100" t="e">
        <f>ParetoPosterior(median,alpha,I18:J18)</f>
        <v>#VALUE!</v>
      </c>
    </row>
    <row r="24" spans="1:12" ht="30">
      <c r="A24" s="33" t="s">
        <v>175</v>
      </c>
      <c r="B24" s="100" t="str">
        <f>LognormPosterior(mu_far_future,sigma_far_future,I18:J18)</f>
        <v>disabled</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Cage-Free</vt:lpstr>
      <vt:lpstr>AI Safety</vt:lpstr>
      <vt:lpstr>AI Targeted Values Spreading</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2016-05-15T06:00:12Z</dcterms:modified>
</cp:coreProperties>
</file>