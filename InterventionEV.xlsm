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709" codeName="{00000000-0000-0000-0000-000000000000}"/>
  <workbookPr showInkAnnotation="0" codeName="ThisWorkbook" autoCompressPictures="0"/>
  <bookViews>
    <workbookView xWindow="0" yWindow="0" windowWidth="25600" windowHeight="28260" tabRatio="500"/>
  </bookViews>
  <sheets>
    <sheet name="Summary" sheetId="7" r:id="rId1"/>
    <sheet name="Globals" sheetId="2" r:id="rId2"/>
    <sheet name="EV of Far Future" sheetId="3" r:id="rId3"/>
    <sheet name="GiveDirectly" sheetId="5" r:id="rId4"/>
    <sheet name="Veg Ads" sheetId="1" r:id="rId5"/>
    <sheet name="ACE" sheetId="11" r:id="rId6"/>
    <sheet name="AI Safety" sheetId="6" r:id="rId7"/>
    <sheet name="AI Targeted Values Spreading" sheetId="10" r:id="rId8"/>
  </sheets>
  <definedNames>
    <definedName name="alpha">Globals!$B$3</definedName>
    <definedName name="enable_calculations">Globals!$N$2</definedName>
    <definedName name="EV_far_future">'EV of Far Future'!$L$13</definedName>
    <definedName name="EV_far_future_biological">'EV of Far Future'!$L$11</definedName>
    <definedName name="EV_far_future_computronium">'EV of Far Future'!$L$12</definedName>
    <definedName name="factory_farmed_animals">Globals!$O$18</definedName>
    <definedName name="interest_rate">Globals!$O$19</definedName>
    <definedName name="measurement">Globals!$B$4</definedName>
    <definedName name="median">Globals!$B$2</definedName>
    <definedName name="mu_factory_farming">Globals!$G$2</definedName>
    <definedName name="mu_far_future">Globals!$J$2</definedName>
    <definedName name="mu_far_future_humans">Globals!$J$2</definedName>
    <definedName name="mu_global_poverty">Globals!$F$2</definedName>
    <definedName name="mu_sentient_simulations">Globals!$I$2</definedName>
    <definedName name="mu_wild_animals">Globals!$H$2</definedName>
    <definedName name="p_biological">Globals!$B$8</definedName>
    <definedName name="p_computronium">Globals!$B$11</definedName>
    <definedName name="p_dolorium">Globals!$D$13</definedName>
    <definedName name="p_factory_farming">Globals!$F$8</definedName>
    <definedName name="p_hedonium">Globals!$D$11</definedName>
    <definedName name="p_not_care_about_animals">Globals!$D$8</definedName>
    <definedName name="p_paperclip">Globals!$D$12</definedName>
    <definedName name="p_reduce_WAS">Globals!$D$6</definedName>
    <definedName name="p_society_does_not_care_about_animals">Globals!$D$8</definedName>
    <definedName name="p_spread_was">Globals!$F$9</definedName>
    <definedName name="p_stay_on_earth">Globals!$B$6</definedName>
    <definedName name="p_suffering_simulations">Globals!$F$10</definedName>
    <definedName name="sigma_factory_farming">Globals!$G$3</definedName>
    <definedName name="sigma_far_future">Globals!$J$3</definedName>
    <definedName name="sigma_far_future_humans">Globals!$J$3</definedName>
    <definedName name="sigma_global_poverty">Globals!$F$3</definedName>
    <definedName name="sigma_sentient_simulations">Globals!$I$3</definedName>
    <definedName name="sigma_wild_animals">Globals!$H$3</definedName>
    <definedName name="stay_on_earth">Globals!$B$6</definedName>
    <definedName name="stdev_base10">Globals!#REF!</definedName>
    <definedName name="utility_per_dolorium">Globals!$D$24</definedName>
    <definedName name="utility_per_factory_farmed_animal">Globals!$D$18</definedName>
    <definedName name="utility_per_hedonium">Globals!$D$22</definedName>
    <definedName name="utility_per_human">Globals!$D$17</definedName>
    <definedName name="utility_per_insect">Globals!$D$21</definedName>
    <definedName name="utility_per_paperclip">Globals!$D$23</definedName>
    <definedName name="utility_per_wild_vertebrate">Globals!$D$20</definedName>
    <definedName name="x_m">Globals!#REF!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2" l="1"/>
  <c r="K7" i="7"/>
  <c r="K6" i="7"/>
  <c r="K5" i="7"/>
  <c r="K4" i="7"/>
  <c r="J5" i="7"/>
  <c r="J4" i="7"/>
  <c r="J6" i="7"/>
  <c r="N4" i="6"/>
  <c r="O4" i="6"/>
  <c r="N10" i="6"/>
  <c r="O10" i="6"/>
  <c r="J3" i="2"/>
  <c r="N11" i="6"/>
  <c r="N5" i="6"/>
  <c r="N6" i="6"/>
  <c r="N12" i="6"/>
  <c r="M9" i="1"/>
  <c r="L11" i="3"/>
  <c r="G9" i="3"/>
  <c r="G3" i="3"/>
  <c r="G4" i="3"/>
  <c r="G8" i="3"/>
  <c r="G10" i="3"/>
  <c r="L3" i="3"/>
  <c r="H9" i="3"/>
  <c r="P30" i="2"/>
  <c r="H3" i="3"/>
  <c r="P31" i="2"/>
  <c r="H4" i="3"/>
  <c r="P32" i="2"/>
  <c r="H8" i="3"/>
  <c r="H10" i="3"/>
  <c r="M3" i="3"/>
  <c r="D18" i="2"/>
  <c r="G15" i="3"/>
  <c r="G14" i="3"/>
  <c r="G16" i="3"/>
  <c r="L4" i="3"/>
  <c r="H15" i="3"/>
  <c r="P33" i="2"/>
  <c r="H14" i="3"/>
  <c r="H16" i="3"/>
  <c r="M4" i="3"/>
  <c r="D20" i="2"/>
  <c r="G21" i="3"/>
  <c r="G20" i="3"/>
  <c r="G22" i="3"/>
  <c r="L5" i="3"/>
  <c r="H21" i="3"/>
  <c r="P34" i="2"/>
  <c r="H20" i="3"/>
  <c r="H22" i="3"/>
  <c r="M5" i="3"/>
  <c r="D21" i="2"/>
  <c r="G27" i="3"/>
  <c r="G26" i="3"/>
  <c r="G28" i="3"/>
  <c r="L6" i="3"/>
  <c r="H27" i="3"/>
  <c r="P35" i="2"/>
  <c r="H26" i="3"/>
  <c r="H28" i="3"/>
  <c r="M6" i="3"/>
  <c r="G34" i="3"/>
  <c r="G32" i="3"/>
  <c r="G33" i="3"/>
  <c r="G35" i="3"/>
  <c r="L7" i="3"/>
  <c r="H34" i="3"/>
  <c r="H32" i="3"/>
  <c r="P36" i="2"/>
  <c r="H33" i="3"/>
  <c r="H35" i="3"/>
  <c r="M7" i="3"/>
  <c r="B10" i="3"/>
  <c r="B3" i="3"/>
  <c r="B4" i="3"/>
  <c r="B5" i="3"/>
  <c r="B6" i="3"/>
  <c r="B11" i="3"/>
  <c r="L8" i="3"/>
  <c r="C10" i="3"/>
  <c r="L30" i="2"/>
  <c r="C3" i="3"/>
  <c r="L31" i="2"/>
  <c r="C4" i="3"/>
  <c r="L32" i="2"/>
  <c r="C5" i="3"/>
  <c r="L33" i="2"/>
  <c r="C6" i="3"/>
  <c r="C11" i="3"/>
  <c r="M8" i="3"/>
  <c r="D23" i="2"/>
  <c r="B15" i="3"/>
  <c r="B16" i="3"/>
  <c r="L9" i="3"/>
  <c r="C15" i="3"/>
  <c r="C16" i="3"/>
  <c r="M9" i="3"/>
  <c r="B20" i="3"/>
  <c r="B21" i="3"/>
  <c r="L10" i="3"/>
  <c r="C20" i="3"/>
  <c r="C21" i="3"/>
  <c r="M10" i="3"/>
  <c r="K3" i="6"/>
  <c r="K5" i="6"/>
  <c r="K6" i="6"/>
  <c r="K7" i="6"/>
  <c r="E4" i="6"/>
  <c r="K8" i="6"/>
  <c r="K14" i="6"/>
  <c r="K15" i="6"/>
  <c r="K16" i="6"/>
  <c r="K20" i="6"/>
  <c r="O3" i="6"/>
  <c r="N8" i="6"/>
  <c r="N7" i="6"/>
  <c r="N3" i="6"/>
  <c r="N5" i="1"/>
  <c r="E4" i="1"/>
  <c r="E5" i="1"/>
  <c r="E6" i="1"/>
  <c r="E7" i="1"/>
  <c r="E8" i="1"/>
  <c r="N7" i="1"/>
  <c r="N8" i="1"/>
  <c r="C14" i="1"/>
  <c r="M5" i="1"/>
  <c r="M8" i="1"/>
  <c r="B14" i="1"/>
  <c r="I17" i="1"/>
  <c r="I19" i="1"/>
  <c r="I20" i="1"/>
  <c r="C15" i="1"/>
  <c r="H17" i="1"/>
  <c r="H20" i="1"/>
  <c r="B15" i="1"/>
  <c r="H27" i="1"/>
  <c r="H30" i="1"/>
  <c r="B16" i="1"/>
  <c r="I27" i="1"/>
  <c r="I29" i="1"/>
  <c r="I30" i="1"/>
  <c r="C16" i="1"/>
  <c r="H37" i="1"/>
  <c r="H40" i="1"/>
  <c r="B17" i="1"/>
  <c r="I37" i="1"/>
  <c r="I39" i="1"/>
  <c r="I40" i="1"/>
  <c r="C17" i="1"/>
  <c r="B23" i="1"/>
  <c r="B24" i="1"/>
  <c r="B25" i="1"/>
  <c r="B26" i="1"/>
  <c r="I3" i="1"/>
  <c r="I4" i="1"/>
  <c r="I5" i="1"/>
  <c r="H6" i="1"/>
  <c r="H7" i="1"/>
  <c r="M10" i="1"/>
  <c r="H12" i="5"/>
  <c r="H10" i="5"/>
  <c r="H11" i="5"/>
  <c r="H13" i="5"/>
  <c r="G12" i="5"/>
  <c r="G10" i="5"/>
  <c r="G11" i="5"/>
  <c r="G13" i="5"/>
  <c r="I61" i="1"/>
  <c r="I60" i="1"/>
  <c r="I59" i="1"/>
  <c r="I58" i="1"/>
  <c r="F61" i="1"/>
  <c r="F60" i="1"/>
  <c r="F59" i="1"/>
  <c r="F58" i="1"/>
  <c r="H52" i="1"/>
  <c r="O54" i="1"/>
  <c r="O53" i="1"/>
  <c r="H25" i="1"/>
  <c r="H35" i="1"/>
  <c r="M17" i="1"/>
  <c r="M20" i="1"/>
  <c r="M37" i="1"/>
  <c r="M35" i="1"/>
  <c r="M40" i="1"/>
  <c r="M27" i="1"/>
  <c r="M25" i="1"/>
  <c r="M30" i="1"/>
  <c r="M29" i="1"/>
  <c r="N29" i="1"/>
  <c r="I5" i="7"/>
  <c r="I6" i="7"/>
  <c r="H4" i="1"/>
  <c r="H5" i="1"/>
  <c r="H6" i="7"/>
  <c r="J7" i="7"/>
  <c r="I4" i="7"/>
  <c r="H4" i="7"/>
  <c r="K52" i="1"/>
  <c r="O52" i="1"/>
  <c r="P4" i="3"/>
  <c r="M3" i="1"/>
  <c r="M6" i="1"/>
  <c r="D8" i="1"/>
  <c r="M7" i="1"/>
  <c r="G5" i="5"/>
  <c r="P3" i="3"/>
  <c r="P5" i="3"/>
  <c r="P6" i="3"/>
  <c r="P7" i="3"/>
  <c r="P8" i="3"/>
  <c r="P9" i="3"/>
  <c r="P10" i="3"/>
  <c r="B12" i="6"/>
  <c r="C8" i="7"/>
  <c r="B15" i="5"/>
  <c r="N30" i="2"/>
  <c r="N31" i="2"/>
  <c r="N32" i="2"/>
  <c r="O30" i="2"/>
  <c r="O32" i="2"/>
  <c r="O31" i="2"/>
  <c r="D17" i="2"/>
  <c r="J30" i="2"/>
  <c r="J31" i="2"/>
  <c r="J32" i="2"/>
  <c r="J33" i="2"/>
  <c r="B24" i="2"/>
  <c r="D24" i="2"/>
  <c r="K32" i="2"/>
  <c r="K31" i="2"/>
  <c r="K30" i="2"/>
  <c r="K33" i="2"/>
  <c r="C22" i="2"/>
  <c r="D22" i="2"/>
  <c r="H3" i="2"/>
  <c r="I3" i="2"/>
  <c r="N33" i="2"/>
  <c r="O33" i="2"/>
  <c r="I12" i="11"/>
  <c r="G4" i="5"/>
  <c r="N34" i="2"/>
  <c r="N35" i="2"/>
  <c r="N36" i="2"/>
  <c r="O35" i="2"/>
  <c r="O36" i="2"/>
  <c r="H38" i="1"/>
  <c r="H39" i="1"/>
  <c r="H28" i="1"/>
  <c r="H29" i="1"/>
  <c r="O34" i="2"/>
  <c r="H15" i="1"/>
  <c r="H18" i="1"/>
  <c r="H19" i="1"/>
  <c r="B13" i="1"/>
  <c r="M38" i="1"/>
  <c r="D4" i="1"/>
  <c r="B5" i="1"/>
  <c r="C5" i="1"/>
  <c r="D5" i="1"/>
  <c r="D6" i="1"/>
  <c r="D7" i="1"/>
  <c r="M39" i="1"/>
  <c r="N37" i="1"/>
  <c r="N39" i="1"/>
  <c r="N40" i="1"/>
  <c r="N17" i="1"/>
  <c r="N19" i="1"/>
  <c r="N20" i="1"/>
  <c r="M15" i="1"/>
  <c r="M18" i="1"/>
  <c r="M19" i="1"/>
  <c r="H3" i="1"/>
  <c r="C13" i="1"/>
  <c r="M28" i="1"/>
  <c r="N27" i="1"/>
  <c r="N30" i="1"/>
  <c r="G24" i="5"/>
  <c r="G22" i="5"/>
  <c r="B7" i="5"/>
  <c r="C7" i="5"/>
  <c r="G23" i="5"/>
  <c r="G21" i="5"/>
  <c r="G25" i="5"/>
  <c r="H21" i="5"/>
  <c r="H22" i="5"/>
  <c r="H23" i="5"/>
  <c r="J15" i="6"/>
  <c r="J14" i="6"/>
  <c r="J13" i="6"/>
  <c r="D4" i="6"/>
  <c r="J7" i="6"/>
  <c r="J6" i="6"/>
  <c r="J5" i="6"/>
  <c r="J3" i="6"/>
  <c r="M16" i="3"/>
  <c r="O16" i="3"/>
  <c r="M17" i="3"/>
  <c r="O17" i="3"/>
  <c r="M18" i="3"/>
  <c r="O18" i="3"/>
  <c r="M19" i="3"/>
  <c r="O19" i="3"/>
  <c r="M20" i="3"/>
  <c r="O20" i="3"/>
  <c r="M21" i="3"/>
  <c r="O21" i="3"/>
  <c r="M22" i="3"/>
  <c r="O22" i="3"/>
  <c r="M23" i="3"/>
  <c r="O23" i="3"/>
  <c r="L17" i="3"/>
  <c r="N17" i="3"/>
  <c r="L18" i="3"/>
  <c r="N18" i="3"/>
  <c r="L19" i="3"/>
  <c r="N19" i="3"/>
  <c r="L20" i="3"/>
  <c r="N20" i="3"/>
  <c r="L21" i="3"/>
  <c r="N21" i="3"/>
  <c r="L22" i="3"/>
  <c r="N22" i="3"/>
  <c r="L23" i="3"/>
  <c r="N23" i="3"/>
  <c r="L16" i="3"/>
  <c r="N16" i="3"/>
  <c r="J5" i="11"/>
  <c r="C8" i="11"/>
  <c r="B8" i="11"/>
  <c r="D8" i="11"/>
  <c r="D4" i="11"/>
  <c r="B9" i="11"/>
  <c r="C9" i="11"/>
  <c r="D9" i="11"/>
  <c r="I4" i="11"/>
  <c r="J7" i="11"/>
  <c r="E7" i="11"/>
  <c r="J10" i="11"/>
  <c r="I5" i="11"/>
  <c r="D3" i="11"/>
  <c r="I3" i="11"/>
  <c r="I7" i="11"/>
  <c r="D7" i="11"/>
  <c r="I10" i="11"/>
  <c r="I14" i="11"/>
  <c r="I17" i="11"/>
  <c r="C7" i="7"/>
  <c r="H3" i="5"/>
  <c r="C5" i="7"/>
  <c r="D7" i="7"/>
  <c r="C6" i="7"/>
  <c r="D6" i="7"/>
  <c r="E8" i="11"/>
  <c r="E4" i="11"/>
  <c r="E9" i="11"/>
  <c r="J4" i="11"/>
  <c r="L4" i="11"/>
  <c r="J8" i="11"/>
  <c r="J11" i="11"/>
  <c r="E3" i="11"/>
  <c r="J3" i="11"/>
  <c r="L3" i="11"/>
  <c r="I8" i="11"/>
  <c r="I11" i="11"/>
  <c r="I15" i="11"/>
  <c r="K4" i="11"/>
  <c r="J6" i="11"/>
  <c r="J9" i="11"/>
  <c r="K3" i="11"/>
  <c r="I6" i="11"/>
  <c r="I9" i="11"/>
  <c r="I13" i="11"/>
  <c r="I18" i="11"/>
  <c r="I16" i="11"/>
  <c r="J8" i="6"/>
  <c r="J16" i="6"/>
  <c r="J20" i="6"/>
  <c r="C23" i="7"/>
  <c r="B23" i="7"/>
  <c r="C22" i="7"/>
  <c r="B14" i="5"/>
  <c r="B22" i="7"/>
  <c r="I5" i="6"/>
  <c r="H5" i="6"/>
  <c r="C4" i="6"/>
  <c r="B4" i="6"/>
  <c r="I15" i="6"/>
  <c r="H15" i="6"/>
  <c r="C15" i="7"/>
  <c r="B15" i="7"/>
  <c r="J8" i="10"/>
  <c r="C5" i="10"/>
  <c r="B5" i="10"/>
  <c r="E5" i="10"/>
  <c r="E3" i="10"/>
  <c r="E4" i="10"/>
  <c r="E6" i="10"/>
  <c r="E8" i="10"/>
  <c r="E9" i="10"/>
  <c r="E11" i="10"/>
  <c r="J3" i="10"/>
  <c r="J18" i="10"/>
  <c r="I8" i="10"/>
  <c r="I13" i="10"/>
  <c r="D5" i="10"/>
  <c r="D9" i="10"/>
  <c r="I3" i="10"/>
  <c r="I18" i="10"/>
  <c r="K18" i="10"/>
  <c r="J9" i="10"/>
  <c r="E12" i="10"/>
  <c r="J4" i="10"/>
  <c r="J19" i="10"/>
  <c r="I9" i="10"/>
  <c r="I14" i="10"/>
  <c r="I4" i="10"/>
  <c r="I19" i="10"/>
  <c r="K19" i="10"/>
  <c r="J10" i="10"/>
  <c r="E13" i="10"/>
  <c r="J5" i="10"/>
  <c r="J20" i="10"/>
  <c r="I10" i="10"/>
  <c r="I15" i="10"/>
  <c r="I5" i="10"/>
  <c r="I20" i="10"/>
  <c r="K20" i="10"/>
  <c r="J11" i="10"/>
  <c r="E14" i="10"/>
  <c r="J6" i="10"/>
  <c r="J21" i="10"/>
  <c r="I11" i="10"/>
  <c r="I16" i="10"/>
  <c r="I6" i="10"/>
  <c r="I21" i="10"/>
  <c r="K21" i="10"/>
  <c r="C25" i="10"/>
  <c r="C9" i="7"/>
  <c r="D9" i="7"/>
  <c r="D5" i="7"/>
  <c r="L18" i="10"/>
  <c r="L19" i="10"/>
  <c r="L20" i="10"/>
  <c r="L21" i="10"/>
  <c r="B25" i="10"/>
  <c r="B9" i="7"/>
  <c r="B5" i="7"/>
  <c r="D13" i="10"/>
  <c r="D14" i="10"/>
  <c r="D12" i="10"/>
  <c r="D11" i="10"/>
  <c r="C8" i="10"/>
  <c r="B8" i="10"/>
  <c r="D8" i="10"/>
  <c r="D6" i="10"/>
  <c r="D4" i="10"/>
  <c r="D3" i="10"/>
  <c r="D19" i="2"/>
  <c r="K13" i="6"/>
  <c r="B19" i="5"/>
  <c r="B14" i="7"/>
  <c r="B20" i="5"/>
  <c r="C14" i="7"/>
  <c r="D14" i="7"/>
  <c r="D15" i="7"/>
  <c r="C16" i="7"/>
  <c r="D16" i="7"/>
  <c r="B16" i="7"/>
  <c r="B11" i="6"/>
  <c r="B8" i="7"/>
  <c r="D8" i="7"/>
  <c r="H24" i="5"/>
  <c r="H25" i="5"/>
</calcChain>
</file>

<file path=xl/sharedStrings.xml><?xml version="1.0" encoding="utf-8"?>
<sst xmlns="http://schemas.openxmlformats.org/spreadsheetml/2006/main" count="475" uniqueCount="250">
  <si>
    <t>Low CI</t>
  </si>
  <si>
    <t>High CI</t>
  </si>
  <si>
    <t>Mean</t>
  </si>
  <si>
    <t>Variance (orders of magnitude)</t>
  </si>
  <si>
    <t>alpha</t>
  </si>
  <si>
    <t>median</t>
  </si>
  <si>
    <t>Prior (Pareto)</t>
  </si>
  <si>
    <t>stay on earth</t>
  </si>
  <si>
    <t>biological</t>
  </si>
  <si>
    <t>society doesn't care about animals</t>
  </si>
  <si>
    <t>we make suffering simulations</t>
  </si>
  <si>
    <t>we spread WAS</t>
  </si>
  <si>
    <t>hedonium</t>
  </si>
  <si>
    <t>computronium</t>
  </si>
  <si>
    <t>paperclip</t>
  </si>
  <si>
    <t>dolorium</t>
  </si>
  <si>
    <t>we reduce WAS on balance</t>
  </si>
  <si>
    <t>Far future outcome probabilities</t>
  </si>
  <si>
    <t>accessible stars</t>
  </si>
  <si>
    <t>usable wattage</t>
  </si>
  <si>
    <t>years of future</t>
  </si>
  <si>
    <t>humans per star</t>
  </si>
  <si>
    <t>factory farmed animals per star</t>
  </si>
  <si>
    <t>wild vertebrates per star</t>
  </si>
  <si>
    <t>Sources</t>
  </si>
  <si>
    <t>http://reducing-suffering.org/how-many-wild-animals-are-there/</t>
  </si>
  <si>
    <t>https://en.wikipedia.org/wiki/Timeline_of_the_far_future</t>
  </si>
  <si>
    <t>Bradbury, "Matrioshka Brains"</t>
  </si>
  <si>
    <t>https://www.gwern.net/docs/1999-bradbury-matrioshkabrains.pdf</t>
  </si>
  <si>
    <t>Tomasik, "How Many Wild Animals Are There?"</t>
  </si>
  <si>
    <t>factory farmed animals</t>
  </si>
  <si>
    <t>Notes</t>
  </si>
  <si>
    <t>Biological condition</t>
  </si>
  <si>
    <t>Size of far future (80% CI)</t>
  </si>
  <si>
    <t>Variance</t>
  </si>
  <si>
    <t>Size of far future (mean/variance)</t>
  </si>
  <si>
    <t>[2]</t>
  </si>
  <si>
    <t>[3]</t>
  </si>
  <si>
    <t>[1]; assumes 1-10 planets per star</t>
  </si>
  <si>
    <t>[1]</t>
  </si>
  <si>
    <t>Computronium condition</t>
  </si>
  <si>
    <t>Utility for different types of beings</t>
  </si>
  <si>
    <t>utility per human</t>
  </si>
  <si>
    <t>utility per factory farmed animal</t>
  </si>
  <si>
    <t>utility per wild vertebrate</t>
  </si>
  <si>
    <t>utility per insect</t>
  </si>
  <si>
    <t>brains per watt</t>
  </si>
  <si>
    <t>utility per hedonium</t>
  </si>
  <si>
    <t>utility per paperclip</t>
  </si>
  <si>
    <t>utility per dolorium</t>
  </si>
  <si>
    <t>Well-being</t>
  </si>
  <si>
    <t>Sentience adjustment</t>
  </si>
  <si>
    <t>for same energy requirements as human brain</t>
  </si>
  <si>
    <t>Utility (absolute value so we can combine log-normals)</t>
  </si>
  <si>
    <t>Biological Condition</t>
  </si>
  <si>
    <t>Hedonium utility</t>
  </si>
  <si>
    <t>Paperclip neg utility</t>
  </si>
  <si>
    <t>Dolorium neg utility</t>
  </si>
  <si>
    <t>Human utility</t>
  </si>
  <si>
    <t>Computronium Condition</t>
  </si>
  <si>
    <t>utility estimate</t>
  </si>
  <si>
    <t>Factory farming neg utility</t>
  </si>
  <si>
    <t>insects per star</t>
  </si>
  <si>
    <t>Wild vertebrate neg utility</t>
  </si>
  <si>
    <t>Insect neg utility</t>
  </si>
  <si>
    <t>Simulation neg utility</t>
  </si>
  <si>
    <t>simulations per insect</t>
  </si>
  <si>
    <t>Results</t>
  </si>
  <si>
    <t>Utility estimate</t>
  </si>
  <si>
    <t>Sign</t>
  </si>
  <si>
    <t>Probability</t>
  </si>
  <si>
    <t>we have factory farming</t>
  </si>
  <si>
    <t>factory farming total utility</t>
  </si>
  <si>
    <t>human total utility</t>
  </si>
  <si>
    <t>wild vertebrate total utility</t>
  </si>
  <si>
    <t>insect total utility</t>
  </si>
  <si>
    <t>simulation total utility</t>
  </si>
  <si>
    <t>hedonium total utility</t>
  </si>
  <si>
    <t>paperclip total utility</t>
  </si>
  <si>
    <t>dolorium total utility</t>
  </si>
  <si>
    <t>P(factory farming exists)</t>
  </si>
  <si>
    <t>Direct effect</t>
  </si>
  <si>
    <t>Far-future effect on factory farming</t>
  </si>
  <si>
    <t>Basic facts</t>
  </si>
  <si>
    <t>1/factory farmed animals</t>
  </si>
  <si>
    <t>animals spared per $1000</t>
  </si>
  <si>
    <t>years factory farming prevented per $1000</t>
  </si>
  <si>
    <t>log-normal posterior</t>
  </si>
  <si>
    <t>P(stopping this if we stop factory farming)</t>
  </si>
  <si>
    <t>This is the probability increase of stopping WAS conditional on stopping factory farming.</t>
  </si>
  <si>
    <t>Far-future effect on wild vertebrates</t>
  </si>
  <si>
    <t>P(humans exist)</t>
  </si>
  <si>
    <t>P(wild vertebrates exist)</t>
  </si>
  <si>
    <t>P(insects exist)</t>
  </si>
  <si>
    <t>P(simulations exist)</t>
  </si>
  <si>
    <t>P(hedonium exists)</t>
  </si>
  <si>
    <t>P(paperclips exist)</t>
  </si>
  <si>
    <t>P(dolorium exists)</t>
  </si>
  <si>
    <t>Far-future effect on suffering simulations</t>
  </si>
  <si>
    <t>Pareto posterior</t>
  </si>
  <si>
    <t>Prior (log-normal)</t>
  </si>
  <si>
    <t>mu</t>
  </si>
  <si>
    <t>sigma</t>
  </si>
  <si>
    <t>Far-future effect on insects</t>
  </si>
  <si>
    <t>Negative effect on wild vertebrates</t>
  </si>
  <si>
    <t>P(making this worse if we stop factory farming)</t>
  </si>
  <si>
    <t>Negative effect on insects</t>
  </si>
  <si>
    <t>Total (Pareto)</t>
  </si>
  <si>
    <t>Total (log-normal)</t>
  </si>
  <si>
    <t>Stdev</t>
  </si>
  <si>
    <t>Log-normal posterior</t>
  </si>
  <si>
    <t>Extinction risk reduction</t>
  </si>
  <si>
    <t>poverty ended per $1000</t>
  </si>
  <si>
    <t>Color guide</t>
  </si>
  <si>
    <t>intermediate result</t>
  </si>
  <si>
    <t>final result</t>
  </si>
  <si>
    <t>P(extinction)</t>
  </si>
  <si>
    <t>extinction scenarios averted by ending poverty</t>
  </si>
  <si>
    <t>extinction scenarios caused by ending poverty</t>
  </si>
  <si>
    <t>Extinction risk increase</t>
  </si>
  <si>
    <t>interest rate</t>
  </si>
  <si>
    <t>animals permanently spared per $1000</t>
  </si>
  <si>
    <t>cost per year to end poverty ($)</t>
  </si>
  <si>
    <t>P(AI-related extinction)</t>
  </si>
  <si>
    <t>AI researcher multiplicative effect</t>
  </si>
  <si>
    <t>bad scenarios averted by doubling research</t>
  </si>
  <si>
    <t>hours to solve AI safety</t>
  </si>
  <si>
    <t>size of FAI community when AGI created</t>
  </si>
  <si>
    <t>hours per AI researcher</t>
  </si>
  <si>
    <t>cost per AI researcher</t>
  </si>
  <si>
    <t>1/cost per AI researcher</t>
  </si>
  <si>
    <t>center of distribution</t>
  </si>
  <si>
    <t>annual rate at which vegetarians convert new vegetarians</t>
  </si>
  <si>
    <t>I made the variance 0 because this should only improve the results, but making the variance nontrivial causes the results to get worse. I kept the number low to compensate.</t>
  </si>
  <si>
    <t>Model 1 (GPP)</t>
  </si>
  <si>
    <t>Model 2</t>
  </si>
  <si>
    <t>EV far future</t>
  </si>
  <si>
    <t>General</t>
  </si>
  <si>
    <t>x-risk averted per $1000</t>
  </si>
  <si>
    <t>1/hours to solve</t>
  </si>
  <si>
    <t>TODO: don't know how to calculate this variance</t>
  </si>
  <si>
    <t>Unified condition</t>
  </si>
  <si>
    <t>Model average</t>
  </si>
  <si>
    <t>calculations you should ignore (no color)</t>
  </si>
  <si>
    <t>Pareto</t>
  </si>
  <si>
    <t>Log-normal</t>
  </si>
  <si>
    <t>GiveDirectly</t>
  </si>
  <si>
    <t>Veg Ads</t>
  </si>
  <si>
    <t>AI Safety</t>
  </si>
  <si>
    <t>Unified model</t>
  </si>
  <si>
    <t>Unified</t>
  </si>
  <si>
    <t>Biological/Computronium</t>
  </si>
  <si>
    <t>Split biological/computronium model</t>
  </si>
  <si>
    <t>utility per cage removed</t>
  </si>
  <si>
    <t>years factory farming prevented per $1</t>
  </si>
  <si>
    <t>AMF</t>
  </si>
  <si>
    <t>Corporate Campaigns</t>
  </si>
  <si>
    <t xml:space="preserve">Mean </t>
  </si>
  <si>
    <t>Estimated by doubling the 80% CI given by http://www.animalcharityevaluators.org/research/interventions/impact-calculator/</t>
  </si>
  <si>
    <t>Estimated from FHI x-risk survey</t>
  </si>
  <si>
    <t>Inputs (80% CI)</t>
  </si>
  <si>
    <t>(80% CI)</t>
  </si>
  <si>
    <t>Wikipedia, "Timeline of the Far Future"</t>
  </si>
  <si>
    <t>P(friendly AI gets built)</t>
  </si>
  <si>
    <t>suffering simulations prevented</t>
  </si>
  <si>
    <t>dolorium scenarios prevented by making the FAI animal-friendly</t>
  </si>
  <si>
    <t>values propagation multiplier</t>
  </si>
  <si>
    <t>cost to convince one AI researcher to care about animals</t>
  </si>
  <si>
    <t>P(FAI is bad for animals by default)</t>
  </si>
  <si>
    <t>1/size of FAI community when AGI created</t>
  </si>
  <si>
    <t>user input (or any other color)</t>
  </si>
  <si>
    <t>$1000/cost</t>
  </si>
  <si>
    <t>Increased probability AGI is good for animals per $1000 spent</t>
  </si>
  <si>
    <t>wild vertebrate suffering prevented</t>
  </si>
  <si>
    <t>insect suffering prevented</t>
  </si>
  <si>
    <t>dolorium utility estimate</t>
  </si>
  <si>
    <t>wild vertebrate utility estimate</t>
  </si>
  <si>
    <t>insect utility estimate</t>
  </si>
  <si>
    <t>simulation utility estimate</t>
  </si>
  <si>
    <t>Model</t>
  </si>
  <si>
    <t>dolorium scenarios prevented per $1000</t>
  </si>
  <si>
    <t>wild vertebrate scenarios prevented per $1000</t>
  </si>
  <si>
    <t>insect scenarios prevented per $1000</t>
  </si>
  <si>
    <t>simulation scenarios prevented per $1000</t>
  </si>
  <si>
    <t>TODO: find better way to compute variance for combined estimate</t>
  </si>
  <si>
    <t>*just gives lower bound right now since I can't compute this without knowing how to find the sum of lognormals</t>
  </si>
  <si>
    <t>Unified*</t>
  </si>
  <si>
    <t>AI Targeted Values Spreading</t>
  </si>
  <si>
    <t>Posterior</t>
  </si>
  <si>
    <t>Total utility</t>
  </si>
  <si>
    <t>Ratio vs. GD</t>
  </si>
  <si>
    <t>Utility from direct effects only</t>
  </si>
  <si>
    <t>Negative effect on suffering simulations</t>
  </si>
  <si>
    <t>from looking at random articles I found on Google, adjusting for overconfidence</t>
  </si>
  <si>
    <t>Fully split model</t>
  </si>
  <si>
    <t>TODO</t>
  </si>
  <si>
    <t>Inputs</t>
  </si>
  <si>
    <t>Mean increase by big effort</t>
  </si>
  <si>
    <t>Variance decrease by big effort</t>
  </si>
  <si>
    <t>Researcher-years per big effort</t>
  </si>
  <si>
    <t>Cost per researcher-year</t>
  </si>
  <si>
    <t>Mean increase per $1000</t>
  </si>
  <si>
    <t>Variance decrease per $1000</t>
  </si>
  <si>
    <t>1/researcher-years</t>
  </si>
  <si>
    <t>Baseline posterior</t>
  </si>
  <si>
    <t>Baseline utility estimate</t>
  </si>
  <si>
    <t>Low updated utility estimate</t>
  </si>
  <si>
    <t>Mean updated utility estimate</t>
  </si>
  <si>
    <t>High updated utility estimate</t>
  </si>
  <si>
    <t>Low posterior</t>
  </si>
  <si>
    <t>Mean posterior</t>
  </si>
  <si>
    <t>High posterior</t>
  </si>
  <si>
    <t>Low delta</t>
  </si>
  <si>
    <t>Mean delta</t>
  </si>
  <si>
    <t>High delta</t>
  </si>
  <si>
    <t>Low utility post-ACE</t>
  </si>
  <si>
    <t>High utility post-ACE</t>
  </si>
  <si>
    <t>Mean utility post-ACE</t>
  </si>
  <si>
    <t>TODO: just takes max of individual split values</t>
  </si>
  <si>
    <t>ACE</t>
  </si>
  <si>
    <t>high variance b/c unclear how bad/good wild vertebrate lives actually are</t>
  </si>
  <si>
    <t>for just chickens; higher variance than factory farming b/c there's disagreement about welfare difference for caged vs. cage-free</t>
  </si>
  <si>
    <t xml:space="preserve"> </t>
  </si>
  <si>
    <t>$1000s influenced by ACE per big effort</t>
  </si>
  <si>
    <t>scale (logarithmic base 10); this is the equivalent of standard deviation, not variance</t>
  </si>
  <si>
    <t>global poverty</t>
  </si>
  <si>
    <t>factory farming</t>
  </si>
  <si>
    <t>wild animals</t>
  </si>
  <si>
    <t>sentient simulations</t>
  </si>
  <si>
    <t>far future</t>
  </si>
  <si>
    <t>should be 43.27</t>
  </si>
  <si>
    <t>should be 829.78</t>
  </si>
  <si>
    <t>Enable calculations?</t>
  </si>
  <si>
    <t>0 for false, 1 for true</t>
  </si>
  <si>
    <t>(positive)</t>
  </si>
  <si>
    <t>(negative)</t>
  </si>
  <si>
    <t>log 80% CI</t>
  </si>
  <si>
    <t>80% CI</t>
  </si>
  <si>
    <t>extinction averted per $1000</t>
  </si>
  <si>
    <t>animal-years caused per human year</t>
  </si>
  <si>
    <t>This figure is pretty robust but only includes land animals, you could increase the bounds to account for fish/shellfish</t>
  </si>
  <si>
    <t>Correlated with P(AI-related extinction) on the AI Safety sheet</t>
  </si>
  <si>
    <t>buckets</t>
  </si>
  <si>
    <t>Warning: takes a long time to evaluate (30 seconds on my machine) b/c Excel sucks at writing long strings</t>
  </si>
  <si>
    <t>I suspect this doesn't work because it's 3e-7, center is too low for current system</t>
  </si>
  <si>
    <t>TODO: this is ~1 internally but here it's off by more</t>
  </si>
  <si>
    <t>for a poor developing-world human. probably less happy than someone in the developed world</t>
  </si>
  <si>
    <t>(1) does not include fish/shellfish; (2) I am willing to trade maybe 5 years normal life vs. 1 year on factory farm, and extremely poor people's lives are about half as good as those in the developed world according to world happiness surveys</t>
  </si>
  <si>
    <t>utility estimate 2</t>
  </si>
  <si>
    <t>right now hedonium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</si>
</sst>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scheme val="minor"/>
    </font>
    <font>
      <sz val="12"/>
      <color rgb="FF000000"/>
      <name val="Calibri"/>
      <family val="2"/>
      <scheme val="minor"/>
    </font>
    <font>
      <sz val="12"/>
      <name val="Calibri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BD97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48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0" fillId="0" borderId="0" xfId="0" applyFont="1"/>
    <xf numFmtId="11" fontId="0" fillId="0" borderId="0" xfId="0" applyNumberFormat="1"/>
    <xf numFmtId="0" fontId="0" fillId="0" borderId="0" xfId="0" applyFill="1"/>
    <xf numFmtId="0" fontId="0" fillId="2" borderId="0" xfId="0" applyFill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11" fontId="0" fillId="3" borderId="0" xfId="0" applyNumberFormat="1" applyFill="1"/>
    <xf numFmtId="0" fontId="0" fillId="4" borderId="0" xfId="0" applyFill="1" applyAlignment="1">
      <alignment wrapText="1"/>
    </xf>
    <xf numFmtId="0" fontId="0" fillId="5" borderId="0" xfId="0" applyFill="1"/>
    <xf numFmtId="0" fontId="0" fillId="6" borderId="0" xfId="0" applyFill="1"/>
    <xf numFmtId="11" fontId="0" fillId="6" borderId="0" xfId="0" applyNumberFormat="1" applyFill="1"/>
    <xf numFmtId="0" fontId="0" fillId="7" borderId="0" xfId="0" applyFill="1"/>
    <xf numFmtId="0" fontId="0" fillId="8" borderId="0" xfId="0" applyFill="1"/>
    <xf numFmtId="0" fontId="0" fillId="0" borderId="0" xfId="0" applyFill="1" applyAlignment="1">
      <alignment wrapText="1"/>
    </xf>
    <xf numFmtId="0" fontId="5" fillId="9" borderId="0" xfId="0" applyFont="1" applyFill="1" applyAlignment="1">
      <alignment wrapText="1"/>
    </xf>
    <xf numFmtId="11" fontId="5" fillId="10" borderId="0" xfId="0" applyNumberFormat="1" applyFont="1" applyFill="1"/>
    <xf numFmtId="11" fontId="0" fillId="0" borderId="0" xfId="0" applyNumberFormat="1" applyFill="1"/>
    <xf numFmtId="0" fontId="0" fillId="11" borderId="0" xfId="0" applyFill="1" applyAlignment="1">
      <alignment wrapText="1"/>
    </xf>
    <xf numFmtId="0" fontId="3" fillId="0" borderId="0" xfId="0" applyFont="1" applyAlignment="1">
      <alignment wrapText="1"/>
    </xf>
    <xf numFmtId="0" fontId="4" fillId="0" borderId="0" xfId="0" applyFont="1" applyAlignment="1"/>
    <xf numFmtId="0" fontId="0" fillId="0" borderId="0" xfId="0" applyAlignment="1"/>
    <xf numFmtId="11" fontId="0" fillId="5" borderId="0" xfId="0" applyNumberFormat="1" applyFill="1"/>
    <xf numFmtId="0" fontId="3" fillId="0" borderId="0" xfId="0" applyFont="1" applyFill="1"/>
    <xf numFmtId="0" fontId="0" fillId="12" borderId="0" xfId="0" applyFill="1"/>
    <xf numFmtId="11" fontId="0" fillId="8" borderId="0" xfId="0" applyNumberFormat="1" applyFill="1"/>
    <xf numFmtId="0" fontId="0" fillId="13" borderId="0" xfId="0" applyFill="1"/>
    <xf numFmtId="0" fontId="0" fillId="11" borderId="0" xfId="0" applyFill="1"/>
    <xf numFmtId="0" fontId="0" fillId="14" borderId="0" xfId="0" applyFill="1"/>
    <xf numFmtId="0" fontId="0" fillId="13" borderId="0" xfId="0" applyFill="1" applyAlignment="1">
      <alignment wrapText="1"/>
    </xf>
    <xf numFmtId="0" fontId="0" fillId="13" borderId="0" xfId="0" applyFont="1" applyFill="1" applyAlignment="1">
      <alignment wrapText="1"/>
    </xf>
    <xf numFmtId="0" fontId="0" fillId="15" borderId="0" xfId="0" applyFill="1"/>
    <xf numFmtId="0" fontId="0" fillId="16" borderId="0" xfId="0" applyFill="1"/>
    <xf numFmtId="0" fontId="0" fillId="16" borderId="0" xfId="0" applyFill="1" applyAlignment="1">
      <alignment horizontal="right"/>
    </xf>
    <xf numFmtId="0" fontId="0" fillId="11" borderId="0" xfId="0" applyFont="1" applyFill="1"/>
    <xf numFmtId="0" fontId="6" fillId="0" borderId="0" xfId="0" applyFont="1" applyFill="1"/>
    <xf numFmtId="0" fontId="0" fillId="0" borderId="0" xfId="0" applyFill="1" applyAlignment="1">
      <alignment horizontal="right"/>
    </xf>
    <xf numFmtId="2" fontId="0" fillId="0" borderId="0" xfId="0" applyNumberFormat="1" applyFont="1"/>
    <xf numFmtId="0" fontId="0" fillId="5" borderId="0" xfId="0" applyNumberFormat="1" applyFill="1"/>
    <xf numFmtId="0" fontId="3" fillId="0" borderId="0" xfId="0" applyFont="1" applyFill="1" applyAlignment="1">
      <alignment wrapText="1"/>
    </xf>
    <xf numFmtId="0" fontId="0" fillId="0" borderId="0" xfId="0" applyFont="1" applyFill="1" applyAlignment="1">
      <alignment wrapText="1"/>
    </xf>
    <xf numFmtId="0" fontId="0" fillId="0" borderId="0" xfId="0" applyNumberFormat="1"/>
    <xf numFmtId="0" fontId="0" fillId="17" borderId="0" xfId="0" applyFill="1"/>
    <xf numFmtId="0" fontId="0" fillId="0" borderId="0" xfId="0" applyFont="1" applyFill="1"/>
  </cellXfs>
  <cellStyles count="148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15</xdr:row>
      <xdr:rowOff>152400</xdr:rowOff>
    </xdr:from>
    <xdr:to>
      <xdr:col>3</xdr:col>
      <xdr:colOff>241300</xdr:colOff>
      <xdr:row>30</xdr:row>
      <xdr:rowOff>0</xdr:rowOff>
    </xdr:to>
    <xdr:sp macro="" textlink="">
      <xdr:nvSpPr>
        <xdr:cNvPr id="2" name="TextBox 1"/>
        <xdr:cNvSpPr txBox="1"/>
      </xdr:nvSpPr>
      <xdr:spPr>
        <a:xfrm>
          <a:off x="215900" y="3073400"/>
          <a:ext cx="3327400" cy="2705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normal prior doesn’t apply here so instead of adjusting with a prior, just</a:t>
          </a:r>
          <a:r>
            <a:rPr lang="en-US" sz="1100" baseline="0"/>
            <a:t> use get answers for Low CI/Mean/High CI.</a:t>
          </a:r>
        </a:p>
        <a:p>
          <a:endParaRPr lang="en-US" sz="1100"/>
        </a:p>
        <a:p>
          <a:r>
            <a:rPr lang="en-US" sz="1100"/>
            <a:t>TODO: Right</a:t>
          </a:r>
          <a:r>
            <a:rPr lang="en-US" sz="1100" baseline="0"/>
            <a:t> now this only looks at the far-future effect on factory farming. Fix this after you figure out how to handle the Veg Ads model.</a:t>
          </a:r>
        </a:p>
        <a:p>
          <a:endParaRPr lang="en-US" sz="1100" baseline="0"/>
        </a:p>
        <a:p>
          <a:r>
            <a:rPr lang="en-US" sz="1100" baseline="0"/>
            <a:t>TODO: somehow account for future growth increasing money moved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23"/>
  <sheetViews>
    <sheetView tabSelected="1" workbookViewId="0">
      <selection activeCell="I5" sqref="I5"/>
    </sheetView>
  </sheetViews>
  <sheetFormatPr baseColWidth="10" defaultRowHeight="15" x14ac:dyDescent="0"/>
  <cols>
    <col min="1" max="1" width="21.6640625" customWidth="1"/>
    <col min="2" max="5" width="12.1640625" bestFit="1" customWidth="1"/>
  </cols>
  <sheetData>
    <row r="1" spans="1:12" ht="20">
      <c r="A1" s="7" t="s">
        <v>189</v>
      </c>
      <c r="G1" s="7" t="s">
        <v>191</v>
      </c>
    </row>
    <row r="2" spans="1:12">
      <c r="J2" t="s">
        <v>188</v>
      </c>
    </row>
    <row r="3" spans="1:12">
      <c r="A3" s="1" t="s">
        <v>149</v>
      </c>
      <c r="H3" t="s">
        <v>157</v>
      </c>
      <c r="I3" t="s">
        <v>34</v>
      </c>
      <c r="J3" s="30" t="s">
        <v>144</v>
      </c>
      <c r="K3" s="30" t="s">
        <v>145</v>
      </c>
    </row>
    <row r="4" spans="1:12">
      <c r="B4" s="30" t="s">
        <v>144</v>
      </c>
      <c r="C4" s="30" t="s">
        <v>145</v>
      </c>
      <c r="D4" s="30" t="s">
        <v>190</v>
      </c>
      <c r="G4" s="45" t="s">
        <v>146</v>
      </c>
      <c r="H4" s="4">
        <f>GiveDirectly!G3</f>
        <v>1</v>
      </c>
      <c r="I4">
        <f>GiveDirectly!H3</f>
        <v>6.25E-2</v>
      </c>
      <c r="J4" s="5">
        <f>ParetoPosterior(median,alpha,H4:I4)</f>
        <v>0.81201606810068083</v>
      </c>
      <c r="K4" s="5" t="str">
        <f>LognormPosterior(mu_global_poverty,sigma_global_poverty,H4:I4)</f>
        <v>disabled</v>
      </c>
    </row>
    <row r="5" spans="1:12">
      <c r="A5" s="30" t="s">
        <v>146</v>
      </c>
      <c r="B5" s="5">
        <f>GiveDirectly!B14</f>
        <v>0.81201606810068083</v>
      </c>
      <c r="C5" s="5" t="e">
        <f>GiveDirectly!B15</f>
        <v>#VALUE!</v>
      </c>
      <c r="D5" s="5" t="e">
        <f>C5/$C$5</f>
        <v>#VALUE!</v>
      </c>
      <c r="G5" s="4" t="s">
        <v>155</v>
      </c>
      <c r="H5" s="4">
        <v>11</v>
      </c>
      <c r="I5">
        <f>0.5^2</f>
        <v>0.25</v>
      </c>
      <c r="J5" s="5">
        <f>ParetoPosterior(median,alpha,H5:I5)</f>
        <v>2.3166446373926592</v>
      </c>
      <c r="K5" s="5" t="str">
        <f>LognormPosterior(mu_global_poverty,sigma_global_poverty,H5:I5)</f>
        <v>disabled</v>
      </c>
    </row>
    <row r="6" spans="1:12">
      <c r="A6" s="30" t="s">
        <v>147</v>
      </c>
      <c r="B6" s="5"/>
      <c r="C6" s="5">
        <f>MAX('Veg Ads'!H7,'Veg Ads'!M10,'Veg Ads'!H22,'Veg Ads'!H32,'Veg Ads'!H46)</f>
        <v>0</v>
      </c>
      <c r="D6" s="5" t="e">
        <f>C6/C5</f>
        <v>#VALUE!</v>
      </c>
      <c r="E6" t="s">
        <v>218</v>
      </c>
      <c r="G6" s="4" t="s">
        <v>147</v>
      </c>
      <c r="H6" s="19">
        <f>'Veg Ads'!H5</f>
        <v>15083.103128998355</v>
      </c>
      <c r="I6">
        <f>'Veg Ads'!I5</f>
        <v>0.59504262895320126</v>
      </c>
      <c r="J6" s="5">
        <f>ParetoPosterior(median,alpha,H6:I6)</f>
        <v>43.705912218232925</v>
      </c>
      <c r="K6" s="5" t="str">
        <f>LognormPosterior(mu_factory_farming,sigma_factory_farming,H6:I6)</f>
        <v>disabled</v>
      </c>
    </row>
    <row r="7" spans="1:12">
      <c r="A7" s="30" t="s">
        <v>219</v>
      </c>
      <c r="B7" s="5"/>
      <c r="C7" s="5" t="e">
        <f>ACE!I17</f>
        <v>#VALUE!</v>
      </c>
      <c r="D7" s="5" t="e">
        <f>C7/$C$5</f>
        <v>#VALUE!</v>
      </c>
      <c r="G7" s="4" t="s">
        <v>156</v>
      </c>
      <c r="H7" s="19">
        <v>22000</v>
      </c>
      <c r="I7">
        <v>0.5</v>
      </c>
      <c r="J7" s="5">
        <f>ParetoPosterior(median,alpha,H7:I7)</f>
        <v>128.54185298744446</v>
      </c>
      <c r="K7" s="5" t="str">
        <f>LognormPosterior(mu_factory_farming,sigma_factory_farming,H7:I7)</f>
        <v>disabled</v>
      </c>
    </row>
    <row r="8" spans="1:12">
      <c r="A8" s="30" t="s">
        <v>148</v>
      </c>
      <c r="B8" s="5">
        <f>'AI Safety'!B11</f>
        <v>58250580945857.188</v>
      </c>
      <c r="C8" s="5" t="str">
        <f>'AI Safety'!B12</f>
        <v>disabled</v>
      </c>
      <c r="D8" s="5" t="e">
        <f>C8/$C$5</f>
        <v>#VALUE!</v>
      </c>
      <c r="G8" s="4"/>
      <c r="H8" s="19"/>
      <c r="I8" s="4"/>
      <c r="K8" s="4"/>
      <c r="L8" s="4"/>
    </row>
    <row r="9" spans="1:12">
      <c r="A9" s="30" t="s">
        <v>187</v>
      </c>
      <c r="B9" s="5" t="e">
        <f>'AI Targeted Values Spreading'!B25</f>
        <v>#VALUE!</v>
      </c>
      <c r="C9" s="5" t="e">
        <f>'AI Targeted Values Spreading'!C25</f>
        <v>#VALUE!</v>
      </c>
      <c r="D9" s="5" t="e">
        <f>C9/$C$5</f>
        <v>#VALUE!</v>
      </c>
    </row>
    <row r="12" spans="1:12">
      <c r="A12" s="1" t="s">
        <v>152</v>
      </c>
    </row>
    <row r="13" spans="1:12">
      <c r="B13" s="30" t="s">
        <v>144</v>
      </c>
      <c r="C13" s="30" t="s">
        <v>145</v>
      </c>
      <c r="D13" s="30" t="s">
        <v>190</v>
      </c>
    </row>
    <row r="14" spans="1:12">
      <c r="A14" s="30" t="s">
        <v>146</v>
      </c>
      <c r="B14" s="5">
        <f>GiveDirectly!B19</f>
        <v>0.81201606810068083</v>
      </c>
      <c r="C14" s="5" t="e">
        <f>GiveDirectly!B20</f>
        <v>#VALUE!</v>
      </c>
      <c r="D14" s="5" t="e">
        <f>C14/$C$14</f>
        <v>#VALUE!</v>
      </c>
    </row>
    <row r="15" spans="1:12">
      <c r="A15" s="30" t="s">
        <v>147</v>
      </c>
      <c r="B15" s="5">
        <f>'Veg Ads'!B31</f>
        <v>0</v>
      </c>
      <c r="C15" s="5">
        <f>'Veg Ads'!B32</f>
        <v>0</v>
      </c>
      <c r="D15" s="5" t="e">
        <f>C15/$C$14</f>
        <v>#VALUE!</v>
      </c>
    </row>
    <row r="16" spans="1:12">
      <c r="A16" s="30" t="s">
        <v>148</v>
      </c>
      <c r="B16" s="5">
        <f>'AI Safety'!B16</f>
        <v>0</v>
      </c>
      <c r="C16" s="5">
        <f>'AI Safety'!B17</f>
        <v>0</v>
      </c>
      <c r="D16" s="5" t="e">
        <f>C16/$C$14</f>
        <v>#VALUE!</v>
      </c>
    </row>
    <row r="19" spans="1:4">
      <c r="A19" s="1" t="s">
        <v>194</v>
      </c>
    </row>
    <row r="20" spans="1:4">
      <c r="B20" s="30" t="s">
        <v>144</v>
      </c>
      <c r="C20" s="30" t="s">
        <v>145</v>
      </c>
      <c r="D20" s="30" t="s">
        <v>190</v>
      </c>
    </row>
    <row r="21" spans="1:4">
      <c r="A21" s="30" t="s">
        <v>146</v>
      </c>
      <c r="B21" s="5"/>
      <c r="C21" s="5"/>
      <c r="D21" s="5"/>
    </row>
    <row r="22" spans="1:4">
      <c r="A22" s="30" t="s">
        <v>147</v>
      </c>
      <c r="B22" s="5">
        <f>'Veg Ads'!B31</f>
        <v>0</v>
      </c>
      <c r="C22" s="5">
        <f>'Veg Ads'!B32</f>
        <v>0</v>
      </c>
      <c r="D22" s="5"/>
    </row>
    <row r="23" spans="1:4">
      <c r="A23" s="30" t="s">
        <v>148</v>
      </c>
      <c r="B23" s="5">
        <f>'AI Safety'!B21</f>
        <v>0</v>
      </c>
      <c r="C23" s="5">
        <f>'AI Safety'!B22</f>
        <v>0</v>
      </c>
      <c r="D23" s="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P42"/>
  <sheetViews>
    <sheetView workbookViewId="0">
      <selection activeCell="B4" sqref="B4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5" width="10.83203125" customWidth="1"/>
    <col min="7" max="8" width="10.83203125" customWidth="1"/>
    <col min="10" max="10" width="10.83203125" customWidth="1"/>
    <col min="13" max="13" width="10.83203125" customWidth="1"/>
    <col min="14" max="14" width="21.6640625" customWidth="1"/>
  </cols>
  <sheetData>
    <row r="1" spans="1:15" ht="20">
      <c r="A1" s="7" t="s">
        <v>6</v>
      </c>
      <c r="E1" s="7" t="s">
        <v>100</v>
      </c>
      <c r="F1" t="s">
        <v>225</v>
      </c>
      <c r="G1" t="s">
        <v>226</v>
      </c>
      <c r="H1" t="s">
        <v>227</v>
      </c>
      <c r="I1" t="s">
        <v>228</v>
      </c>
      <c r="J1" t="s">
        <v>229</v>
      </c>
      <c r="M1" s="1"/>
      <c r="N1" s="7" t="s">
        <v>232</v>
      </c>
    </row>
    <row r="2" spans="1:15">
      <c r="A2" s="5" t="s">
        <v>5</v>
      </c>
      <c r="B2" s="24">
        <v>1</v>
      </c>
      <c r="D2" t="s">
        <v>131</v>
      </c>
      <c r="E2" s="5" t="s">
        <v>101</v>
      </c>
      <c r="F2" s="11">
        <v>1</v>
      </c>
      <c r="G2" s="11">
        <v>1</v>
      </c>
      <c r="H2" s="40">
        <v>1</v>
      </c>
      <c r="I2" s="11">
        <v>1</v>
      </c>
      <c r="J2" s="11">
        <v>1</v>
      </c>
      <c r="N2" s="44">
        <v>0</v>
      </c>
      <c r="O2" t="s">
        <v>233</v>
      </c>
    </row>
    <row r="3" spans="1:15">
      <c r="A3" s="5" t="s">
        <v>4</v>
      </c>
      <c r="B3" s="11">
        <v>1.5</v>
      </c>
      <c r="D3" t="s">
        <v>224</v>
      </c>
      <c r="E3" s="5" t="s">
        <v>102</v>
      </c>
      <c r="F3" s="11">
        <v>0.6</v>
      </c>
      <c r="G3" s="11">
        <f>sigma_global_poverty</f>
        <v>0.6</v>
      </c>
      <c r="H3" s="11">
        <f>sigma_global_poverty</f>
        <v>0.6</v>
      </c>
      <c r="I3" s="11">
        <f>sigma_global_poverty</f>
        <v>0.6</v>
      </c>
      <c r="J3" s="11">
        <f>sigma_global_poverty</f>
        <v>0.6</v>
      </c>
    </row>
    <row r="5" spans="1:15" ht="20">
      <c r="A5" s="7" t="s">
        <v>17</v>
      </c>
      <c r="N5" s="7" t="s">
        <v>113</v>
      </c>
    </row>
    <row r="6" spans="1:15">
      <c r="A6" s="14" t="s">
        <v>7</v>
      </c>
      <c r="B6" s="12">
        <v>0.2</v>
      </c>
      <c r="C6" s="14" t="s">
        <v>16</v>
      </c>
      <c r="D6" s="12">
        <v>0.7</v>
      </c>
      <c r="N6" s="30" t="s">
        <v>115</v>
      </c>
    </row>
    <row r="7" spans="1:15">
      <c r="N7" s="33" t="s">
        <v>114</v>
      </c>
    </row>
    <row r="8" spans="1:15">
      <c r="A8" s="14" t="s">
        <v>8</v>
      </c>
      <c r="B8" s="12">
        <v>0.7</v>
      </c>
      <c r="C8" s="14" t="s">
        <v>9</v>
      </c>
      <c r="D8" s="12">
        <v>0.8</v>
      </c>
      <c r="E8" s="14" t="s">
        <v>71</v>
      </c>
      <c r="F8" s="12">
        <v>0.3</v>
      </c>
      <c r="N8" s="28" t="s">
        <v>60</v>
      </c>
    </row>
    <row r="9" spans="1:15">
      <c r="A9" s="14"/>
      <c r="B9" s="12"/>
      <c r="C9" s="14"/>
      <c r="D9" s="12"/>
      <c r="E9" s="14" t="s">
        <v>11</v>
      </c>
      <c r="F9" s="13">
        <v>0.4</v>
      </c>
      <c r="N9" t="s">
        <v>143</v>
      </c>
    </row>
    <row r="10" spans="1:15">
      <c r="E10" s="14" t="s">
        <v>10</v>
      </c>
      <c r="F10" s="13">
        <v>0.3</v>
      </c>
      <c r="N10" s="29" t="s">
        <v>170</v>
      </c>
    </row>
    <row r="11" spans="1:15">
      <c r="A11" s="14" t="s">
        <v>13</v>
      </c>
      <c r="B11" s="12">
        <v>0.1</v>
      </c>
      <c r="C11" s="14" t="s">
        <v>12</v>
      </c>
      <c r="D11" s="12">
        <v>0.2</v>
      </c>
      <c r="E11" s="4"/>
    </row>
    <row r="12" spans="1:15">
      <c r="C12" s="14" t="s">
        <v>14</v>
      </c>
      <c r="D12" s="12">
        <v>0.75</v>
      </c>
    </row>
    <row r="13" spans="1:15">
      <c r="C13" s="14" t="s">
        <v>15</v>
      </c>
      <c r="D13" s="12">
        <v>0.05</v>
      </c>
    </row>
    <row r="15" spans="1:15" ht="20">
      <c r="A15" s="7" t="s">
        <v>41</v>
      </c>
    </row>
    <row r="16" spans="1:15" ht="20">
      <c r="B16" t="s">
        <v>50</v>
      </c>
      <c r="C16" s="4" t="s">
        <v>51</v>
      </c>
      <c r="D16" t="s">
        <v>53</v>
      </c>
      <c r="E16" t="s">
        <v>34</v>
      </c>
      <c r="F16" t="s">
        <v>31</v>
      </c>
      <c r="N16" s="7" t="s">
        <v>83</v>
      </c>
    </row>
    <row r="17" spans="1:16">
      <c r="A17" s="20" t="s">
        <v>42</v>
      </c>
      <c r="B17" s="15">
        <v>1</v>
      </c>
      <c r="C17" s="15">
        <v>1</v>
      </c>
      <c r="D17">
        <f>B17*C17</f>
        <v>1</v>
      </c>
      <c r="E17" s="15">
        <v>0</v>
      </c>
      <c r="F17" t="s">
        <v>246</v>
      </c>
      <c r="O17" t="s">
        <v>2</v>
      </c>
    </row>
    <row r="18" spans="1:16" ht="30">
      <c r="A18" s="20" t="s">
        <v>43</v>
      </c>
      <c r="B18" s="15">
        <v>-10</v>
      </c>
      <c r="C18" s="15">
        <v>0.5</v>
      </c>
      <c r="D18">
        <f t="shared" ref="D18:D24" si="0">ABS(B18)*C18</f>
        <v>5</v>
      </c>
      <c r="E18" s="15">
        <v>0.1</v>
      </c>
      <c r="F18" t="s">
        <v>247</v>
      </c>
      <c r="L18" s="3"/>
      <c r="N18" s="29" t="s">
        <v>30</v>
      </c>
      <c r="O18" s="27">
        <v>20000000000</v>
      </c>
      <c r="P18" s="3"/>
    </row>
    <row r="19" spans="1:16">
      <c r="A19" s="29" t="s">
        <v>153</v>
      </c>
      <c r="B19" s="15">
        <v>2</v>
      </c>
      <c r="C19" s="15">
        <v>0.5</v>
      </c>
      <c r="D19">
        <f t="shared" si="0"/>
        <v>1</v>
      </c>
      <c r="E19" s="15">
        <v>0.2</v>
      </c>
      <c r="F19" t="s">
        <v>221</v>
      </c>
      <c r="L19" s="3"/>
      <c r="N19" s="29" t="s">
        <v>120</v>
      </c>
      <c r="O19" s="15">
        <v>0.05</v>
      </c>
      <c r="P19" s="3"/>
    </row>
    <row r="20" spans="1:16" ht="30">
      <c r="A20" s="20" t="s">
        <v>44</v>
      </c>
      <c r="B20" s="15">
        <v>-2</v>
      </c>
      <c r="C20" s="15">
        <v>0.2</v>
      </c>
      <c r="D20">
        <f t="shared" si="0"/>
        <v>0.4</v>
      </c>
      <c r="E20" s="15">
        <v>0.4</v>
      </c>
      <c r="F20" t="s">
        <v>220</v>
      </c>
      <c r="L20" s="3"/>
      <c r="N20" s="3"/>
      <c r="P20" s="3"/>
    </row>
    <row r="21" spans="1:16">
      <c r="A21" s="20" t="s">
        <v>45</v>
      </c>
      <c r="B21" s="15">
        <v>-4</v>
      </c>
      <c r="C21" s="15">
        <v>0.01</v>
      </c>
      <c r="D21">
        <f t="shared" si="0"/>
        <v>0.04</v>
      </c>
      <c r="E21" s="15">
        <v>0.5</v>
      </c>
      <c r="F21" t="s">
        <v>222</v>
      </c>
      <c r="L21" s="3"/>
      <c r="N21" s="3"/>
      <c r="P21" s="3"/>
    </row>
    <row r="22" spans="1:16">
      <c r="A22" s="20" t="s">
        <v>47</v>
      </c>
      <c r="B22" s="15">
        <v>1000</v>
      </c>
      <c r="C22" s="15">
        <f>C17</f>
        <v>1</v>
      </c>
      <c r="D22">
        <f t="shared" si="0"/>
        <v>1000</v>
      </c>
      <c r="E22" s="15">
        <v>0.8</v>
      </c>
      <c r="F22" t="s">
        <v>52</v>
      </c>
    </row>
    <row r="23" spans="1:16">
      <c r="A23" s="20" t="s">
        <v>48</v>
      </c>
      <c r="B23" s="15">
        <v>-2</v>
      </c>
      <c r="C23" s="15">
        <v>0.1</v>
      </c>
      <c r="D23">
        <f t="shared" si="0"/>
        <v>0.2</v>
      </c>
      <c r="E23" s="15">
        <v>1</v>
      </c>
      <c r="F23" t="s">
        <v>52</v>
      </c>
    </row>
    <row r="24" spans="1:16">
      <c r="A24" s="20" t="s">
        <v>49</v>
      </c>
      <c r="B24" s="15">
        <f>-B22</f>
        <v>-1000</v>
      </c>
      <c r="C24" s="15">
        <v>1</v>
      </c>
      <c r="D24">
        <f t="shared" si="0"/>
        <v>1000</v>
      </c>
      <c r="E24" s="15">
        <v>0.8</v>
      </c>
      <c r="F24" t="s">
        <v>52</v>
      </c>
    </row>
    <row r="27" spans="1:16" ht="20">
      <c r="A27" s="7" t="s">
        <v>33</v>
      </c>
      <c r="J27" s="7" t="s">
        <v>35</v>
      </c>
    </row>
    <row r="28" spans="1:16">
      <c r="A28" s="1" t="s">
        <v>40</v>
      </c>
      <c r="E28" s="1" t="s">
        <v>32</v>
      </c>
    </row>
    <row r="29" spans="1:16">
      <c r="B29" t="s">
        <v>0</v>
      </c>
      <c r="C29" t="s">
        <v>1</v>
      </c>
      <c r="D29" t="s">
        <v>31</v>
      </c>
      <c r="F29" t="s">
        <v>0</v>
      </c>
      <c r="G29" t="s">
        <v>1</v>
      </c>
      <c r="H29" t="s">
        <v>31</v>
      </c>
      <c r="K29" t="s">
        <v>2</v>
      </c>
      <c r="L29" t="s">
        <v>34</v>
      </c>
      <c r="O29" t="s">
        <v>2</v>
      </c>
      <c r="P29" t="s">
        <v>34</v>
      </c>
    </row>
    <row r="30" spans="1:16" ht="30">
      <c r="A30" s="10" t="s">
        <v>18</v>
      </c>
      <c r="B30" s="9">
        <v>100000000000</v>
      </c>
      <c r="C30" s="9">
        <v>100000000000000</v>
      </c>
      <c r="D30" t="s">
        <v>37</v>
      </c>
      <c r="E30" s="10" t="s">
        <v>18</v>
      </c>
      <c r="F30" s="9">
        <v>10000000000</v>
      </c>
      <c r="G30" s="9">
        <v>100000000000000</v>
      </c>
      <c r="H30" t="s">
        <v>37</v>
      </c>
      <c r="J30" s="16" t="str">
        <f>A30</f>
        <v>accessible stars</v>
      </c>
      <c r="K30">
        <f>SQRT(B30*C30)</f>
        <v>3162277660168.3794</v>
      </c>
      <c r="L30" s="3">
        <f>LogVariance(B30,C30)</f>
        <v>1.1704562191085683</v>
      </c>
      <c r="N30" s="16" t="str">
        <f>E30</f>
        <v>accessible stars</v>
      </c>
      <c r="O30">
        <f>SQRT(F30*G30)</f>
        <v>1000000000000</v>
      </c>
      <c r="P30" s="3">
        <f>LogVariance(F30,G30)</f>
        <v>1.5606082921447579</v>
      </c>
    </row>
    <row r="31" spans="1:16" ht="30">
      <c r="A31" s="10" t="s">
        <v>20</v>
      </c>
      <c r="B31" s="9">
        <v>100000000000</v>
      </c>
      <c r="C31" s="9">
        <v>1000000000000</v>
      </c>
      <c r="D31" t="s">
        <v>36</v>
      </c>
      <c r="E31" s="17" t="s">
        <v>20</v>
      </c>
      <c r="F31" s="18">
        <v>100000000000</v>
      </c>
      <c r="G31" s="18">
        <v>1000000000000</v>
      </c>
      <c r="H31" s="8" t="s">
        <v>36</v>
      </c>
      <c r="J31" s="16" t="str">
        <f t="shared" ref="J31:J32" si="1">A31</f>
        <v>years of future</v>
      </c>
      <c r="K31">
        <f t="shared" ref="K31:K33" si="2">SQRT(B31*C31)</f>
        <v>316227766016.83789</v>
      </c>
      <c r="L31" s="3">
        <f t="shared" ref="L31:L33" si="3">LogVariance(B31,C31)</f>
        <v>0.39015207303618948</v>
      </c>
      <c r="M31" s="3"/>
      <c r="N31" s="16" t="str">
        <f t="shared" ref="N31:N35" si="4">E31</f>
        <v>years of future</v>
      </c>
      <c r="O31">
        <f t="shared" ref="O31:O35" si="5">SQRT(F31*G31)</f>
        <v>316227766016.83789</v>
      </c>
      <c r="P31" s="3">
        <f t="shared" ref="P31:P36" si="6">LogVariance(F31,G31)</f>
        <v>0.39015207303618948</v>
      </c>
    </row>
    <row r="32" spans="1:16" ht="30">
      <c r="A32" s="10" t="s">
        <v>19</v>
      </c>
      <c r="B32" s="9">
        <v>1E+20</v>
      </c>
      <c r="C32" s="9">
        <v>1.0000000000000001E+25</v>
      </c>
      <c r="D32" t="s">
        <v>37</v>
      </c>
      <c r="E32" s="10" t="s">
        <v>21</v>
      </c>
      <c r="F32" s="9">
        <v>10000000000</v>
      </c>
      <c r="G32" s="9">
        <v>1000000000000</v>
      </c>
      <c r="J32" s="16" t="str">
        <f t="shared" si="1"/>
        <v>usable wattage</v>
      </c>
      <c r="K32">
        <f t="shared" si="2"/>
        <v>3.1622776601683796E+22</v>
      </c>
      <c r="L32" s="3">
        <f t="shared" si="3"/>
        <v>1.9507603651809475</v>
      </c>
      <c r="N32" s="16" t="str">
        <f t="shared" si="4"/>
        <v>humans per star</v>
      </c>
      <c r="O32">
        <f t="shared" si="5"/>
        <v>100000000000</v>
      </c>
      <c r="P32" s="3">
        <f t="shared" si="6"/>
        <v>0.78030414607237897</v>
      </c>
    </row>
    <row r="33" spans="1:16" ht="60">
      <c r="A33" s="10" t="s">
        <v>46</v>
      </c>
      <c r="B33" s="9">
        <v>0.1</v>
      </c>
      <c r="C33" s="9">
        <v>0.1</v>
      </c>
      <c r="D33" t="s">
        <v>37</v>
      </c>
      <c r="E33" s="10" t="s">
        <v>22</v>
      </c>
      <c r="F33" s="9">
        <v>10000000000</v>
      </c>
      <c r="G33" s="9">
        <v>1000000000000</v>
      </c>
      <c r="J33" s="16" t="str">
        <f>A33</f>
        <v>brains per watt</v>
      </c>
      <c r="K33">
        <f t="shared" si="2"/>
        <v>0.1</v>
      </c>
      <c r="L33" s="3">
        <f t="shared" si="3"/>
        <v>0</v>
      </c>
      <c r="N33" s="16" t="str">
        <f t="shared" si="4"/>
        <v>factory farmed animals per star</v>
      </c>
      <c r="O33">
        <f t="shared" si="5"/>
        <v>100000000000</v>
      </c>
      <c r="P33" s="3">
        <f t="shared" si="6"/>
        <v>0.78030414607237897</v>
      </c>
    </row>
    <row r="34" spans="1:16" ht="45">
      <c r="A34" s="16"/>
      <c r="B34" s="19"/>
      <c r="C34" s="19"/>
      <c r="E34" s="10" t="s">
        <v>23</v>
      </c>
      <c r="F34" s="9">
        <v>10000000000000</v>
      </c>
      <c r="G34" s="9">
        <v>1E+16</v>
      </c>
      <c r="H34" t="s">
        <v>38</v>
      </c>
      <c r="J34" s="16"/>
      <c r="L34" s="3"/>
      <c r="N34" s="16" t="str">
        <f t="shared" si="4"/>
        <v>wild vertebrates per star</v>
      </c>
      <c r="O34">
        <f t="shared" si="5"/>
        <v>316227766016837.94</v>
      </c>
      <c r="P34" s="3">
        <f t="shared" si="6"/>
        <v>1.1704562191085683</v>
      </c>
    </row>
    <row r="35" spans="1:16" ht="30">
      <c r="A35" s="16"/>
      <c r="B35" s="19"/>
      <c r="C35" s="19"/>
      <c r="E35" s="10" t="s">
        <v>62</v>
      </c>
      <c r="F35" s="9">
        <v>1E+17</v>
      </c>
      <c r="G35" s="9">
        <v>1E+21</v>
      </c>
      <c r="H35" t="s">
        <v>39</v>
      </c>
      <c r="J35" s="16"/>
      <c r="L35" s="3"/>
      <c r="N35" s="16" t="str">
        <f t="shared" si="4"/>
        <v>insects per star</v>
      </c>
      <c r="O35">
        <f t="shared" si="5"/>
        <v>1E+19</v>
      </c>
      <c r="P35" s="3">
        <f t="shared" si="6"/>
        <v>1.5606082921447579</v>
      </c>
    </row>
    <row r="36" spans="1:16" ht="30">
      <c r="E36" s="10" t="s">
        <v>66</v>
      </c>
      <c r="F36" s="9">
        <v>1E-3</v>
      </c>
      <c r="G36" s="9">
        <v>1</v>
      </c>
      <c r="N36" s="16" t="str">
        <f>E36</f>
        <v>simulations per insect</v>
      </c>
      <c r="O36">
        <f>SQRT(F36*G36)</f>
        <v>3.1622776601683791E-2</v>
      </c>
      <c r="P36" s="3">
        <f t="shared" si="6"/>
        <v>1.1704562191085683</v>
      </c>
    </row>
    <row r="39" spans="1:16" ht="20">
      <c r="A39" s="7" t="s">
        <v>24</v>
      </c>
    </row>
    <row r="40" spans="1:16">
      <c r="A40">
        <v>1</v>
      </c>
      <c r="B40" t="s">
        <v>29</v>
      </c>
      <c r="C40" t="s">
        <v>25</v>
      </c>
    </row>
    <row r="41" spans="1:16">
      <c r="A41">
        <v>2</v>
      </c>
      <c r="B41" t="s">
        <v>162</v>
      </c>
      <c r="C41" t="s">
        <v>26</v>
      </c>
    </row>
    <row r="42" spans="1:16">
      <c r="A42">
        <v>3</v>
      </c>
      <c r="B42" t="s">
        <v>27</v>
      </c>
      <c r="C42" t="s">
        <v>28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W63"/>
  <sheetViews>
    <sheetView workbookViewId="0">
      <selection activeCell="D78" sqref="D78"/>
    </sheetView>
  </sheetViews>
  <sheetFormatPr baseColWidth="10" defaultRowHeight="15" customHeight="1" x14ac:dyDescent="0"/>
  <cols>
    <col min="1" max="1" width="21.6640625" style="6" customWidth="1"/>
    <col min="2" max="2" width="12.1640625" bestFit="1" customWidth="1"/>
    <col min="5" max="5" width="10.83203125" customWidth="1"/>
    <col min="6" max="6" width="21.6640625" customWidth="1"/>
    <col min="7" max="7" width="12.1640625" bestFit="1" customWidth="1"/>
    <col min="11" max="11" width="21.6640625" customWidth="1"/>
    <col min="12" max="12" width="12.83203125" bestFit="1" customWidth="1"/>
    <col min="13" max="14" width="12.1640625" bestFit="1" customWidth="1"/>
    <col min="17" max="17" width="12.83203125" bestFit="1" customWidth="1"/>
    <col min="18" max="18" width="12.1640625" bestFit="1" customWidth="1"/>
  </cols>
  <sheetData>
    <row r="1" spans="1:18" s="23" customFormat="1" ht="30" customHeight="1">
      <c r="A1" s="22" t="s">
        <v>59</v>
      </c>
      <c r="F1" s="22" t="s">
        <v>54</v>
      </c>
      <c r="K1" s="22" t="s">
        <v>67</v>
      </c>
    </row>
    <row r="2" spans="1:18" ht="15" customHeight="1">
      <c r="B2" t="s">
        <v>2</v>
      </c>
      <c r="C2" t="s">
        <v>3</v>
      </c>
      <c r="F2" s="6"/>
      <c r="G2" t="s">
        <v>2</v>
      </c>
      <c r="H2" t="s">
        <v>3</v>
      </c>
      <c r="L2" s="28" t="s">
        <v>68</v>
      </c>
      <c r="M2" s="28" t="s">
        <v>34</v>
      </c>
      <c r="N2" t="s">
        <v>69</v>
      </c>
      <c r="P2" t="s">
        <v>70</v>
      </c>
      <c r="Q2" s="4"/>
      <c r="R2" s="4"/>
    </row>
    <row r="3" spans="1:18" ht="15" customHeight="1">
      <c r="A3" s="6" t="s">
        <v>18</v>
      </c>
      <c r="B3" s="4">
        <f>VLOOKUP($A3,Globals!$J$30:$L$34,2,FALSE)</f>
        <v>3162277660168.3794</v>
      </c>
      <c r="C3" s="4">
        <f>VLOOKUP($A3,Globals!$J$30:$L$34,3,FALSE)</f>
        <v>1.1704562191085683</v>
      </c>
      <c r="F3" s="6" t="s">
        <v>18</v>
      </c>
      <c r="G3">
        <f>VLOOKUP($F3,Globals!$N$30:$P$36,2,FALSE)</f>
        <v>1000000000000</v>
      </c>
      <c r="H3">
        <f>VLOOKUP($F3,Globals!$N$30:$P$36,3,FALSE)</f>
        <v>1.5606082921447579</v>
      </c>
      <c r="K3" t="s">
        <v>73</v>
      </c>
      <c r="L3" s="26">
        <f>G10</f>
        <v>3.1622776601683788E+34</v>
      </c>
      <c r="M3" s="26">
        <f>H10</f>
        <v>2.7310645112533267</v>
      </c>
      <c r="N3">
        <v>1</v>
      </c>
      <c r="O3" t="s">
        <v>91</v>
      </c>
      <c r="P3">
        <f>p_biological</f>
        <v>0.7</v>
      </c>
      <c r="Q3" s="4"/>
      <c r="R3" s="4"/>
    </row>
    <row r="4" spans="1:18" ht="15" customHeight="1">
      <c r="A4" s="6" t="s">
        <v>20</v>
      </c>
      <c r="B4" s="4">
        <f>VLOOKUP($A4,Globals!$J$30:$L$34,2,FALSE)</f>
        <v>316227766016.83789</v>
      </c>
      <c r="C4" s="4">
        <f>VLOOKUP($A4,Globals!$J$30:$L$34,3,FALSE)</f>
        <v>0.39015207303618948</v>
      </c>
      <c r="F4" s="6" t="s">
        <v>20</v>
      </c>
      <c r="G4">
        <f>VLOOKUP($F4,Globals!$N$30:$P$36,2,FALSE)</f>
        <v>316227766016.83789</v>
      </c>
      <c r="H4">
        <f>VLOOKUP($F4,Globals!$N$30:$P$36,3,FALSE)</f>
        <v>0.39015207303618948</v>
      </c>
      <c r="K4" t="s">
        <v>72</v>
      </c>
      <c r="L4" s="26">
        <f>G16</f>
        <v>1.5811388300841894E+35</v>
      </c>
      <c r="M4" s="26">
        <f>H16</f>
        <v>2.8310645112533264</v>
      </c>
      <c r="N4">
        <v>-1</v>
      </c>
      <c r="O4" t="s">
        <v>80</v>
      </c>
      <c r="P4">
        <f>p_biological*p_not_care_about_animals*p_factory_farming</f>
        <v>0.16799999999999998</v>
      </c>
      <c r="Q4" s="4"/>
      <c r="R4" s="4"/>
    </row>
    <row r="5" spans="1:18" ht="15" customHeight="1">
      <c r="A5" s="6" t="s">
        <v>19</v>
      </c>
      <c r="B5" s="4">
        <f>VLOOKUP($A5,Globals!$J$30:$L$34,2,FALSE)</f>
        <v>3.1622776601683796E+22</v>
      </c>
      <c r="C5" s="4">
        <f>VLOOKUP($A5,Globals!$J$30:$L$34,3,FALSE)</f>
        <v>1.9507603651809475</v>
      </c>
      <c r="K5" t="s">
        <v>74</v>
      </c>
      <c r="L5" s="26">
        <f>G22</f>
        <v>3.9999999999999993E+37</v>
      </c>
      <c r="M5" s="26">
        <f>H22</f>
        <v>3.5212165842895158</v>
      </c>
      <c r="N5">
        <v>-1</v>
      </c>
      <c r="O5" t="s">
        <v>92</v>
      </c>
      <c r="P5">
        <f>p_biological*p_not_care_about_animals*p_spread_was</f>
        <v>0.22399999999999998</v>
      </c>
      <c r="Q5" s="4"/>
      <c r="R5" s="4"/>
    </row>
    <row r="6" spans="1:18" ht="15" customHeight="1">
      <c r="A6" s="6" t="s">
        <v>46</v>
      </c>
      <c r="B6" s="4">
        <f>VLOOKUP($A6,Globals!$J$30:$L$34,2,FALSE)</f>
        <v>0.1</v>
      </c>
      <c r="C6" s="4">
        <f>VLOOKUP($A6,Globals!$J$30:$L$34,3,FALSE)</f>
        <v>0</v>
      </c>
      <c r="K6" t="s">
        <v>75</v>
      </c>
      <c r="L6" s="26">
        <f>G28</f>
        <v>1.2649110640673514E+41</v>
      </c>
      <c r="M6" s="26">
        <f>H28</f>
        <v>4.0113686573257059</v>
      </c>
      <c r="N6">
        <v>-1</v>
      </c>
      <c r="O6" t="s">
        <v>93</v>
      </c>
      <c r="P6">
        <f>p_biological*p_not_care_about_animals*p_spread_was</f>
        <v>0.22399999999999998</v>
      </c>
      <c r="Q6" s="4"/>
      <c r="R6" s="4"/>
    </row>
    <row r="7" spans="1:18" ht="15" customHeight="1">
      <c r="F7" s="21" t="s">
        <v>58</v>
      </c>
      <c r="K7" t="s">
        <v>76</v>
      </c>
      <c r="L7" s="26">
        <f>G35</f>
        <v>3.9999999999999985E+39</v>
      </c>
      <c r="M7" s="26">
        <f>H35</f>
        <v>5.1818248764342734</v>
      </c>
      <c r="N7">
        <v>-1</v>
      </c>
      <c r="O7" t="s">
        <v>94</v>
      </c>
      <c r="P7">
        <f>p_biological*p_not_care_about_animals*p_suffering_simulations</f>
        <v>0.16799999999999998</v>
      </c>
      <c r="Q7" s="4"/>
      <c r="R7" s="4"/>
    </row>
    <row r="8" spans="1:18" ht="15" customHeight="1">
      <c r="F8" s="6" t="s">
        <v>21</v>
      </c>
      <c r="G8">
        <f>VLOOKUP($F8,Globals!$N$30:$P$36,2,FALSE)</f>
        <v>100000000000</v>
      </c>
      <c r="H8">
        <f>VLOOKUP($F8,Globals!$N$30:$P$36,3,FALSE)</f>
        <v>0.78030414607237897</v>
      </c>
      <c r="K8" t="s">
        <v>77</v>
      </c>
      <c r="L8" s="26">
        <f>B11</f>
        <v>3.1622776601683793E+48</v>
      </c>
      <c r="M8" s="26">
        <f>C11</f>
        <v>4.3113686573257057</v>
      </c>
      <c r="N8">
        <v>1</v>
      </c>
      <c r="O8" t="s">
        <v>95</v>
      </c>
      <c r="P8">
        <f>p_computronium*p_hedonium</f>
        <v>2.0000000000000004E-2</v>
      </c>
      <c r="Q8" s="4"/>
      <c r="R8" s="4"/>
    </row>
    <row r="9" spans="1:18" ht="15" customHeight="1">
      <c r="A9" s="21" t="s">
        <v>55</v>
      </c>
      <c r="F9" s="6" t="s">
        <v>42</v>
      </c>
      <c r="G9">
        <f>VLOOKUP($F9,Globals!$A$17:$E$24,4,FALSE)</f>
        <v>1</v>
      </c>
      <c r="H9">
        <f>VLOOKUP($F9,Globals!$A$17:$E$24,5,FALSE)</f>
        <v>0</v>
      </c>
      <c r="K9" t="s">
        <v>78</v>
      </c>
      <c r="L9" s="26">
        <f>B16</f>
        <v>6.3245553203367596E+44</v>
      </c>
      <c r="M9" s="26">
        <f>C16</f>
        <v>4.5113686573257059</v>
      </c>
      <c r="N9">
        <v>-1</v>
      </c>
      <c r="O9" t="s">
        <v>96</v>
      </c>
      <c r="P9">
        <f>p_computronium*p_paperclip</f>
        <v>7.5000000000000011E-2</v>
      </c>
      <c r="Q9" s="4"/>
      <c r="R9" s="4"/>
    </row>
    <row r="10" spans="1:18" ht="15" customHeight="1">
      <c r="A10" s="6" t="s">
        <v>47</v>
      </c>
      <c r="B10" s="4">
        <f>VLOOKUP($A10,Globals!$A$17:$E$24,4,FALSE)</f>
        <v>1000</v>
      </c>
      <c r="C10" s="4">
        <f>VLOOKUP($A10,Globals!$A$17:$E$24,5,FALSE)</f>
        <v>0.8</v>
      </c>
      <c r="F10" s="32" t="s">
        <v>60</v>
      </c>
      <c r="G10" s="26">
        <f>PRODUCT(G$3:G$4)*PRODUCT(G8:G9)</f>
        <v>3.1622776601683788E+34</v>
      </c>
      <c r="H10" s="26">
        <f>SUM(H$3:H$4)+SUM(H8:H9)</f>
        <v>2.7310645112533267</v>
      </c>
      <c r="K10" t="s">
        <v>79</v>
      </c>
      <c r="L10" s="26">
        <f>B21</f>
        <v>3.1622776601683793E+48</v>
      </c>
      <c r="M10" s="26">
        <f>C21</f>
        <v>4.3113686573257057</v>
      </c>
      <c r="N10">
        <v>-1</v>
      </c>
      <c r="O10" t="s">
        <v>97</v>
      </c>
      <c r="P10">
        <f>p_computronium*p_dolorium</f>
        <v>5.000000000000001E-3</v>
      </c>
      <c r="Q10" s="4"/>
      <c r="R10" s="4"/>
    </row>
    <row r="11" spans="1:18" ht="15" customHeight="1">
      <c r="A11" s="31" t="s">
        <v>60</v>
      </c>
      <c r="B11" s="26">
        <f>PRODUCT($B$3:$B$6)*B10</f>
        <v>3.1622776601683793E+48</v>
      </c>
      <c r="C11" s="26">
        <f>SUM(C$3:C$6)+C10</f>
        <v>4.3113686573257057</v>
      </c>
      <c r="K11" s="33" t="s">
        <v>136</v>
      </c>
      <c r="L11" s="34" t="str">
        <f>WriteArray(SumLognormDists(L3:M10))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9.88131291682493E-324,1.75887369919484E-321,2.3384621083312E-319,3.05815468892136E-317,3.92053471260114E-315,4.9272055600874E-313,6.07052335756739E-311,7.33199394196516E-309,8.68138482599289E-307,1.007690834739E-304,1.14666735023605E-302,1.27914528694326E-300,1.39886257326595E-298,1.49969670233323E-296,1.5761788662746E-294,1.62398388200806E-292,1.64033502558032E-290,1.62427109340875E-288,1.57673996329808E-286,1.50050598813551E-284,1.39988380592982E-282,1.28033421648314E-280,1.14797474294125E-278,1.00906571806759E-276,8.69531327020895E-275,7.34564961597728E-273,6.08351967294259E-271,4.93923741054766E-269,3.93138624962578E-267,3.06770019002821E-265,2.34672426136902E-263,1.75992328183683E-261,1.29392323774095E-259,9.32624838470416E-258,6.59006543224144E-256,4.56517427318963E-254,3.10034833389073E-252,2.06419030403038E-250,1.34733538403818E-248,8.62162383183756E-247,5.40866945680699E-245,3.32644600771169E-243,2.00567168652071E-241,1.18557547061198E-239,6.87051420084065E-238,3.90337827507364E-236,2.17412294664789E-234,1.18719026377475E-232,6.35550459926938E-231,3.33559996428787E-229,1.71629854288344E-227,8.65779714242478E-226,4.28172170289893E-224,2.07599687712852E-222,9.86808693816278E-221,4.59873139153929E-219,2.10108068975063E-217,9.4112616696323E-216,4.13289361404018E-214,1.77935542695913E-212,7.51059162452167E-211,3.10806018702883E-209,1.2609835060155E-207,5.01573985605857E-206,1.95599222977198E-204,7.47836568747852E-203,2.80320374188903E-201,1.03017731257088E-199,3.71175773882669E-198,1.31116871506723E-196,4.54098277416852E-195,1.54189384475271E-193,5.13302619068769E-192,1.67535918079001E-190,5.36116163727949E-189,1.68200580653548E-187,5.17386168131407E-186,1.56034993425529E-184,4.61370928537167E-183,1.33752111659752E-181,3.80167048052718E-180,1.05943158452658E-178,2.89465778829201E-177,7.75440844451781E-176,2.03670693031851E-174,5.24491131343184E-173,1.32427700300137E-171,3.27832475230587E-170,7.95717572890534E-169,1.89365643532073E-167,4.41855371416628E-166,1.01087459096348E-164,2.267535638115E-163,4.98714736914424E-162,1.07545710391814E-160,2.27393684344266E-159,4.71421903160013E-158,9.58272092493392E-157,1.90992959251087E-155,3.73247625669909E-154,7.15203632547778E-153,1.34374590434614E-151,2.47549037589971E-150,4.47160962038145E-149,7.92003351644883E-148,1.3754748265568E-146,2.34230151865507E-145,3.91110579842043E-144,6.40361291305681E-143,1.02806720583506E-141,1.61841949633134E-140,2.49825144466258E-139,3.78145543746427E-138,5.61257324176941E-137,8.16860152616982E-136,1.16578530721586E-134,1.63146290930482E-133,2.23885642024367E-132,3.01278686425543E-131,3.97563487041907E-130,5.14450209679129E-129,6.52802661019621E-128,8.1231637104057E-127,9.912342747721E-126,1.18614670286955E-124,1.39192153476552E-123,1.60180153620623E-122,1.80768895893823E-121,2.00061394914785E-120,2.17135636730798E-119,2.31116467008848E-118,2.41249539162878E-117,2.46968676622855E-116,2.47948287148884E-115,2.44134075878066E-114,2.35748024747729E-113,2.23267003602372E-112,2.07377879206516E-111,1.88914998717795E-110,1.68787952046537E-109,1.47908270473432E-108,1.27123153799504E-107,1.0716263416127E-106,8.86041635068983E-106,7.18559257501823E-105,5.71576839766964E-104,4.45960390912183E-103,3.41298073483107E-102,2.56208616754159E-101,1.88661224168275E-100,1.36272268588565e-99,9.65551356625546e-99,6.71109987619257e-98,4.57583216835228e-97,3.0606412507145e-96,2.00830140494983e-95,1.29278986233338e-94,8.1642880732572e-94,5.05835268944458e-93,3.07474915681062e-92,1.83370641985709e-91,1.07295013024069e-90,6.15983871923119e-90,3.46984488499654e-89,1.91784249958161e-88,1.04013482621354e-87,5.53544142938645e-87,2.89076882166231e-86,1.48144652052336e-85,7.45046947567272e-85,3.67722662493871e-84,1.78119241560641e-83,8.46779075722407e-83,3.95106323458072e-82,1.80950080348936e-81,8.13432484830636e-81,3.5893832885843e-80,1.55479131949932e-79,6.611460396163e-79,2.76004107339375e-78,1.13122019628597e-77,4.5521193463914e-77,1.79861115435224e-76,6.97816484992569e-76,2.65857872474564e-75,9.94688703565553e-75,3.65493947603705e-74,1.31903261109464e-73,4.67564210511162e-73,1.62804536526079e-72,5.56879850597979e-72,1.87136139697812e-71,6.17856436031567e-71,2.00440295702109e-70,6.38976817254464e-70,2.00181580076815e-69,6.16367476513591e-69,1.86539534505684e-68,5.54955266360907e-68,1.62309037209591e-67,4.66732649012312e-67,1.31971134044612e-66,3.66961881150158e-66,1.00355590937678e-65,2.69953900450765e-65,7.1435695032742e-65,1.85981694211782e-64,4.76439095894621e-64,1.20110568056915e-63,2.98021353773565e-63,7.27885151763474e-63,1.75019270937429e-62,4.14358079843965e-62,9.660357483473e-62,2.21819429605516e-61,5.01715465857831e-61,1.11797039711008e-60,2.45460831953482e-60,5.31102117913659e-60,1.13261737853654e-59,2.38102331623761e-59,4.9349816621625e-59,1.0085916325906e-58,2.03291707288662e-58,4.04170860379798e-58,7.92716292281542e-58,1.53406649822688e-57,2.92961133607246e-57,5.52179885129384e-57,1.02735530687229e-56,1.88709758141038e-56,3.42266966908431e-56,6.13048815469624e-56,1.08454150693072e-55,1.89530451507888e-55,3.27230040873732e-55,5.58248162779395e-55,9.41150255891029e-55,1.5682115372254e-54,2.58297239126478e-54,4.2058974967435e-54,6.77134158300539e-54,1.07800352268984e-53,1.69725217456088e-53,2.64303963731423e-53,4.07137925638389e-53,6.20452649590522e-53,9.35519287484484e-53,1.39579273562897e-52,2.06091261273789e-52,3.01171865662928e-52,4.35642786725495e-52,6.23810299608149e-52,8.84350684896991e-52,1.24133805585275e-51,1.72541033378798e-51,2.37505842728061e-51,3.23801032597172e-51,4.37266604868468e-51,5.8495217089158e-51,7.75250223527031e-51,1.01801037178561e-50,1.32462294828772e-50,1.7080590636189e-50,2.18285339374472e-50,2.76501594617931e-50,3.47185993993329e-50,4.3217348979114e-50,5.33365717342439e-50,6.52683442037647e-50,7.9200858796676e-50,9.53116659791175e-50,1.13760105189494e-49,1.34679143983841e-49,1.58166912156758e-49,1.84278276813795e-49,2.13016850367911e-49,2.44327851350563e-49,2.78092243752021e-49,3.14122561573487e-49,3.52160780224552e-49,3.91878526004691e-49,4.32879821755195e-49,4.74706455282146e-49,5.1684593334527e-49,5.5874185508715e-49,5.99806412625196e-49,6.39434611117174e-49,6.77019703393025e-49,7.11969261583438e-49,7.437212648537e-49,7.71759571222661e-49,7.95628163235154e-49,8.14943610534578e-49,8.29405273718102e-49,8.38802878109602e-49,8.43021206822744e-49,8.42041792478607e-49,8.35941618689538e-49,8.248889686702e-49,8.09136672547037e-49,7.89013101660335e-49,7.64911333309045e-49,7.37276960424881e-49,7.06595046592195e-49,6.73376728164529e-49,6.38145943812114e-49,6.01426730611486e-49,5.63731468521065e-49,5.25550386051003e-49,4.87342563617444e-49,4.49528591883677e-49,4.12484964427905e-49,3.76540210918788e-49,3.41972711547187e-49,3.09010077935333e-49,2.77829941530413e-49,2.48561958243639e-49,2.21290817783166e-49,1.96060037117464e-49,1.72876318682186e-49,1.51714263841784e-49,1.32521249047207e-49,1.1522229430356e-49,9.97247791981472e-50,8.59228891664819e-50,7.3701702395469e-50,6.29408545113484e-50,5.35177429654068e-50,4.53102550706262e-50,3.81990224755979e-50,3.20692202458973e-50,2.68119406242594e-50,2.23251800976925e-50,1.85144838825776e-50,1.52932947107351e-50,1.25830532787094e-50,1.0313096350147e-50,8.42039571350714e-51,6.84917740490544e-51,5.55045617783774e-51,4.48151545605868e-51,3.60535820548927e-51,2.89014951185481e-51,2.30866730526906e-51,1.83777373486046e-51,1.45791622710327e-51,1.15266428686284e-51,9.08285618452523e-52,7.13363132418646e-52,5.58452824860735e-52,4.3578132323081e-52,3.38981034489436e-52,2.62860255953963e-52,2.03205265557455e-52,1.56611249515148e-52,1.20338909309167e-52,9.21936795975998e-53,7.04246528738071e-53,5.36405196483072e-53,4.07400738943161e-53,3.08550863683656e-53,2.3303601067765e-53,1.75519537869606e-53,1.31840405544854e-53,9.87657398913691e-54,7.37925538081345e-54,5.49895897608296e-54,4.08717289210116e-54,3.03006932108379e-54,2.24068667395056e-54,1.65279973978919e-54,1.21613260222613e-54,8.92634748568301e-55,6.53595255111689e-55,4.77414737309538e-55,3.47891377452131e-55,2.52907089593316e-55,1.83423897781876e-55,1.32719882290844e-55,9.58094394901156e-56,6.90048239349345e-56,4.95855994691702e-56,3.555022093679e-56,2.54299125008074e-56,1.81496403285404e-56,1.2924570713227e-56,9.18318068265405e-57,6.51032398256945e-57,4.60519215236662e-57,3.25036001526744e-57,2.28905534050769e-57,1.60851270803626e-57,1.12781552952216e-57,7.89039518042717e-58,5.50817920020899e-58,3.83678347170582e-58,2.66672084964521e-58,1.84943810363604e-58,1.27983745133686e-58,8.83737434531572e-59,6.08899542905888e-59,4.18622371647297e-59,2.87179839511386e-59,1.96580507812531e-59,1.34270974040374e-59,9.15122313412804e-60,6.22345504711071e-60,4.22317836068464e-60,2.85958335655962e-60,1.93206421702164e-60,1.30255413422049e-60,8.76244664614941e-61,5.8818008075349e-61,3.9395851519692e-61,2.6329696381327e-61,1.75588598939623e-61,1.16842758458197e-61,7.75822261654176e-62,5.1401707399603e-62,3.39818995401089e-62,2.24167416505836e-62,1.47554338552815e-62,9.69139020615685e-63,6.35147682020624e-63,4.15353468918819e-63,2.71028775827633e-63,1.76468565919612e-63,1.14649894331406e-63,7.43248895753438e-64,4.80783066847729e-64,3.10326097487276e-64,1.99867257889252e-64,1.28445590788763e-64,8.23665578199696e-65,5.27031753622509e-65,3.364935769686e-65,2.14373397139468e-65,1.36275913517122e-65,8.64413221908989e-66,5.47113934705852e-66,3.45531954477962e-66,2.17747267413339e-66,1.36921377143728e-66,8.5910024784947e-67,5.37861506885006e-67,3.36009156559733e-67,2.09452613475426e-67,1.30279017054765e-67,8.08569167365383e-68,5.00741850831163e-68,3.09431562581737e-68,1.90796030127898e-68,1.17389177162841e-68,7.20677197058057e-69,4.41476406365406e-69,2.69853596250771e-69,1.64589798311916e-69,1.00168600393691e-69,6.08295055351966e-70,3.68596284619687e-70,2.22864864373494e-70,1.34457874399188e-70,8.0944036860814e-71,4.86225195689426e-71,2.91436565464497e-71,1.74302894867723e-71,1.04020548273093e-71,6.19423467187816e-72,3.68052818733378e-72,2.18216013607194e-72,1.29097271395959e-72,7.62081613203529e-73,4.48889945990865e-73,2.6383490238995e-73,1.54731447967362e-73,9.05480089414277e-74,5.28729075003646e-74,3.08064356913999e-74,1.79103340213015e-74,1.03901038627619e-74,6.01436891389468e-75,3.47387517639487e-75,2.00213024124708e-75,1.15139519321699e-75,6.60709374269227e-76,3.7831232923608e-76,2.1614465051229e-76,1.23223192674071e-76,7.00961865993823e-77,3.97878338738496e-77,2.25351352492245e-77,1.27357349064179e-77,7.18194080194116e-78,4.04123029494959e-78,2.26902534683332e-78,1.27121515850857e-78,7.10645068701398e-79,3.96406163621799e-79,2.20638866880024e-79,1.22539923879772e-79,6.79089728737643e-80,3.75517935921734e-80,2.07199248588336e-80,1.14077405336057e-80,6.26707743535544e-81,3.43545650481678e-81,1.87913428125618e-81,1.02561684201911e-81,5.58555637756615e-82,3.03530056507677e-82,1.64585258172131e-82,8.9050042396102e-83,4.8076328637933e-83,2.58989660935177e-83,1.39215478990977e-83,7.46700757633841e-84,3.99631418930497e-84,2.13415827672647e-84,1.13722812603637e-84,6.04675714157433e-85,3.20812607551678e-85,1.6983777637344e-85,8.97162536187842e-86,4.72891961534589e-86,2.48717704231546e-86,1.30528526622907e-86,6.83530877810201e-87,3.57161639061711e-87,1.86219623104169e-87,9.68813197191044e-88,5.02931243158886e-88,2.60514050957858e-88,1.34650402312456e-88,6.94445431680584e-89,3.57373678169178e-89,1.83510519856202e-89,9.40271636532494e-90,4.8072828154997e-90,2.4524489528155e-90,1.24840139944224e-90,6.34106907329748e-91,3.21384322720989e-91,1.62532740605535e-91,8.20183438776192e-92,4.12985781431564e-92,2.07497644218219e-92,1.04026792468557e-92,5.20392719355544e-93,2.59759346257766e-93,1.29379396218546e-93,6.43003037033621e-94,3.18870905462682e-94,1.57786823227771e-94,7.79077275135264e-95,3.83834764982736e-95,1.88695717970019e-95,9.25622172191413e-96,4.53063859105916e-96,2.21278417761452e-96,1.0783820778883e-96,5.24397040844802e-97,2.54449598406375e-97,1.23196189136785e-97,5.95177828630999e-98,2.86912970619945e-98,1.38009056277661e-98,6.62397915117765e-99,3.17237335986271e-99,1.51601534854257e-99,7.22897743134829E-100,3.43956963439086E-100,1.63299671149043E-100,7.73607160218813E-101,3.65687081134845E-101,1.7248555160407E-101,8.11801393412699E-102,3.81242079359561E-102,1.78651157098588E-102,8.35342934995771E-103,3.89742476988184E-103,1.8144484945295E-103,8.42879546105047E-104,3.90697247951621E-104,1.80704578230973E-104,8.33972876178645E-105,3.8405079014706E-105,1.76473446115725E-105,8.09140681154797E-106,3.70188287263307E-106,1.68995553175917E-106,7.69806984538626E-107,3.49898744313418E-107,1.58692677351569E-107,7.1816685457514E-108,3.24300631227977E-108,1.46124890016767E-108,6.56983658442206E-109,2.94739880963688E-109,1.31940220938111E-109,5.89344828321443E-110,2.62673168793248E-110,1.16819654213072E-110,5.18406079664186E-111,2.29550489127508E-111,1.01423904501473E-111,4.47153253609672E-112,1.96709996844287E-112,8.63476324700328E-113,3.78205990851696E-113,1.65295237202441E-113,7.20852224255472E-114,3.13679482128302E-114,1.3620089090857E-114,5.90102902898879E-115,2.5511119694876E-115,1.10048786096247E-115,4.73690809852012E-116,2.03450437564976E-116,8.71919246190945E-117,3.72861778368512E-117,1.59101192851371E-117,6.77412133908707E-118,2.87797140089407E-118,1.22003964424931E-118,5.16078038985516E-119,2.17826533896039E-119,9.17402987098853E-120,3.85534711257932E-120,1.61666779743153E-120,6.76444323197582E-121,2.82421198664184E-121,1.1765665415679E-121,</v>
      </c>
      <c r="M11" s="34" t="s">
        <v>242</v>
      </c>
      <c r="N11" t="s">
        <v>243</v>
      </c>
      <c r="Q11" s="4"/>
      <c r="R11" s="4"/>
    </row>
    <row r="12" spans="1:18" ht="15" customHeight="1">
      <c r="B12" s="4"/>
      <c r="K12" s="4"/>
      <c r="L12" s="4"/>
      <c r="M12" s="4"/>
      <c r="Q12" s="4"/>
      <c r="R12" s="4"/>
    </row>
    <row r="13" spans="1:18" ht="15" customHeight="1">
      <c r="F13" s="1" t="s">
        <v>61</v>
      </c>
      <c r="K13" s="45"/>
      <c r="L13" s="4"/>
      <c r="M13" s="4"/>
      <c r="Q13" s="4"/>
      <c r="R13" s="4"/>
    </row>
    <row r="14" spans="1:18" ht="15" customHeight="1">
      <c r="A14" s="21" t="s">
        <v>56</v>
      </c>
      <c r="F14" t="s">
        <v>22</v>
      </c>
      <c r="G14">
        <f>VLOOKUP($F14,Globals!$N$30:$P$36,2,FALSE)</f>
        <v>100000000000</v>
      </c>
      <c r="H14">
        <f>VLOOKUP($F14,Globals!$N$30:$P$36,3,FALSE)</f>
        <v>0.78030414607237897</v>
      </c>
    </row>
    <row r="15" spans="1:18" ht="15" customHeight="1">
      <c r="A15" s="6" t="s">
        <v>48</v>
      </c>
      <c r="B15" s="4">
        <f>VLOOKUP($A15,Globals!$A$17:$E$24,4,FALSE)</f>
        <v>0.2</v>
      </c>
      <c r="C15" s="4">
        <f>VLOOKUP($A15,Globals!$A$17:$E$24,5,FALSE)</f>
        <v>1</v>
      </c>
      <c r="F15" s="6" t="s">
        <v>43</v>
      </c>
      <c r="G15">
        <f>VLOOKUP($F15,Globals!$A$17:$E$24,4,FALSE)</f>
        <v>5</v>
      </c>
      <c r="H15">
        <f>VLOOKUP($F15,Globals!$A$17:$E$24,5,FALSE)</f>
        <v>0.1</v>
      </c>
      <c r="L15" t="s">
        <v>236</v>
      </c>
      <c r="N15" t="s">
        <v>237</v>
      </c>
    </row>
    <row r="16" spans="1:18" ht="15" customHeight="1">
      <c r="A16" s="31" t="s">
        <v>60</v>
      </c>
      <c r="B16" s="26">
        <f>PRODUCT($B$3:$B$6)*B15</f>
        <v>6.3245553203367596E+44</v>
      </c>
      <c r="C16" s="26">
        <f>SUM(C$3:C$6)+C15</f>
        <v>4.5113686573257059</v>
      </c>
      <c r="F16" s="32" t="s">
        <v>60</v>
      </c>
      <c r="G16" s="26">
        <f>PRODUCT(G$3:G$4)*PRODUCT(G14:G15)</f>
        <v>1.5811388300841894E+35</v>
      </c>
      <c r="H16" s="26">
        <f>SUM(H$3:H$4)+SUM(H14:H15)</f>
        <v>2.8310645112533264</v>
      </c>
      <c r="K16" t="s">
        <v>73</v>
      </c>
      <c r="L16">
        <f>_xlfn.NORM.INV(0.05,LOG10(L3),M3)</f>
        <v>30.007798633226514</v>
      </c>
      <c r="M16">
        <f>_xlfn.NORM.INV(0.95,LOG10(L3),M3)</f>
        <v>38.992201366773486</v>
      </c>
      <c r="N16">
        <f>10^L16</f>
        <v>1.0181192132372111E+30</v>
      </c>
      <c r="O16">
        <f>10^M16</f>
        <v>9.822032498732871E+38</v>
      </c>
    </row>
    <row r="17" spans="1:23" ht="15" customHeight="1">
      <c r="K17" t="s">
        <v>72</v>
      </c>
      <c r="L17">
        <f t="shared" ref="L17:L23" si="0">_xlfn.NORM.INV(0.05,LOG10(L4),M4)</f>
        <v>30.542283274867387</v>
      </c>
      <c r="M17">
        <f t="shared" ref="M17:M23" si="1">_xlfn.NORM.INV(0.95,LOG10(L4),M4)</f>
        <v>39.855656733804651</v>
      </c>
      <c r="N17">
        <f t="shared" ref="N17:O23" si="2">10^L17</f>
        <v>3.4856459721205096E+30</v>
      </c>
      <c r="O17">
        <f t="shared" si="2"/>
        <v>7.1722717108850519E+39</v>
      </c>
    </row>
    <row r="18" spans="1:23" ht="15" customHeight="1">
      <c r="K18" t="s">
        <v>74</v>
      </c>
      <c r="L18">
        <f t="shared" si="0"/>
        <v>31.810174121377678</v>
      </c>
      <c r="M18">
        <f t="shared" si="1"/>
        <v>43.393945861278247</v>
      </c>
      <c r="N18">
        <f t="shared" si="2"/>
        <v>6.4591314262495296E+31</v>
      </c>
      <c r="O18">
        <f t="shared" si="2"/>
        <v>2.4771132438917944E+43</v>
      </c>
    </row>
    <row r="19" spans="1:23" ht="15" customHeight="1">
      <c r="A19" s="21" t="s">
        <v>57</v>
      </c>
      <c r="F19" s="1" t="s">
        <v>63</v>
      </c>
      <c r="K19" t="s">
        <v>75</v>
      </c>
      <c r="L19">
        <f t="shared" si="0"/>
        <v>34.503945706286316</v>
      </c>
      <c r="M19">
        <f t="shared" si="1"/>
        <v>47.700174276369602</v>
      </c>
      <c r="N19">
        <f t="shared" si="2"/>
        <v>3.1911388870761411E+34</v>
      </c>
      <c r="O19">
        <f t="shared" si="2"/>
        <v>5.0138839349170122E+47</v>
      </c>
      <c r="S19" s="4"/>
      <c r="T19" s="4"/>
      <c r="U19" s="4"/>
      <c r="V19" s="4"/>
      <c r="W19" s="4"/>
    </row>
    <row r="20" spans="1:23" ht="15" customHeight="1">
      <c r="A20" s="6" t="s">
        <v>49</v>
      </c>
      <c r="B20" s="4">
        <f>VLOOKUP($A20,Globals!$A$17:$E$24,4,FALSE)</f>
        <v>1000</v>
      </c>
      <c r="C20" s="4">
        <f>VLOOKUP($A20,Globals!$A$17:$E$24,5,FALSE)</f>
        <v>0.8</v>
      </c>
      <c r="F20" t="s">
        <v>23</v>
      </c>
      <c r="G20">
        <f>VLOOKUP($F20,Globals!$N$30:$P$36,2,FALSE)</f>
        <v>316227766016837.94</v>
      </c>
      <c r="H20">
        <f>VLOOKUP($F20,Globals!$N$30:$P$36,3,FALSE)</f>
        <v>1.1704562191085683</v>
      </c>
      <c r="K20" t="s">
        <v>76</v>
      </c>
      <c r="L20">
        <f t="shared" si="0"/>
        <v>31.078716549097681</v>
      </c>
      <c r="M20">
        <f t="shared" si="1"/>
        <v>48.12540343355824</v>
      </c>
      <c r="N20">
        <f t="shared" si="2"/>
        <v>1.1987166815769042E+31</v>
      </c>
      <c r="O20">
        <f t="shared" si="2"/>
        <v>1.3347607692380113E+48</v>
      </c>
      <c r="S20" s="41"/>
      <c r="T20" s="4"/>
      <c r="U20" s="4"/>
      <c r="V20" s="4"/>
      <c r="W20" s="4"/>
    </row>
    <row r="21" spans="1:23" ht="15" customHeight="1">
      <c r="A21" s="31" t="s">
        <v>60</v>
      </c>
      <c r="B21" s="26">
        <f>PRODUCT($B$3:$B$6)*B20</f>
        <v>3.1622776601683793E+48</v>
      </c>
      <c r="C21" s="26">
        <f>SUM(C$3:C$6)+C20</f>
        <v>4.3113686573257057</v>
      </c>
      <c r="F21" s="6" t="s">
        <v>44</v>
      </c>
      <c r="G21">
        <f>VLOOKUP($F21,Globals!$A$17:$E$24,4,FALSE)</f>
        <v>0.4</v>
      </c>
      <c r="H21">
        <f>VLOOKUP($F21,Globals!$A$17:$E$24,5,FALSE)</f>
        <v>0.4</v>
      </c>
      <c r="K21" t="s">
        <v>77</v>
      </c>
      <c r="L21">
        <f t="shared" si="0"/>
        <v>41.408429626872909</v>
      </c>
      <c r="M21">
        <f t="shared" si="1"/>
        <v>55.591570373127084</v>
      </c>
      <c r="N21">
        <f t="shared" si="2"/>
        <v>2.5611182265746943E+41</v>
      </c>
      <c r="O21">
        <f t="shared" si="2"/>
        <v>3.9045444666465981E+55</v>
      </c>
      <c r="S21" s="16"/>
      <c r="T21" s="4"/>
      <c r="U21" s="4"/>
      <c r="V21" s="4"/>
      <c r="W21" s="4"/>
    </row>
    <row r="22" spans="1:23" ht="15" customHeight="1">
      <c r="F22" s="32" t="s">
        <v>60</v>
      </c>
      <c r="G22" s="26">
        <f>PRODUCT(G$3:G$4)*PRODUCT(G20:G21)</f>
        <v>3.9999999999999993E+37</v>
      </c>
      <c r="H22" s="26">
        <f>SUM(H$3:H$4)+SUM(H20:H21)</f>
        <v>3.5212165842895158</v>
      </c>
      <c r="K22" t="s">
        <v>78</v>
      </c>
      <c r="L22">
        <f t="shared" si="0"/>
        <v>37.380488897146599</v>
      </c>
      <c r="M22">
        <f t="shared" si="1"/>
        <v>52.221571094181357</v>
      </c>
      <c r="N22">
        <f t="shared" si="2"/>
        <v>2.4015348712261613E+37</v>
      </c>
      <c r="O22">
        <f t="shared" si="2"/>
        <v>1.6656014650987469E+52</v>
      </c>
      <c r="S22" s="16"/>
      <c r="T22" s="4"/>
      <c r="U22" s="4"/>
      <c r="V22" s="4"/>
      <c r="W22" s="4"/>
    </row>
    <row r="23" spans="1:23" ht="15" customHeight="1">
      <c r="B23" s="4"/>
      <c r="C23" s="4"/>
      <c r="K23" t="s">
        <v>79</v>
      </c>
      <c r="L23">
        <f t="shared" si="0"/>
        <v>41.408429626872909</v>
      </c>
      <c r="M23">
        <f t="shared" si="1"/>
        <v>55.591570373127084</v>
      </c>
      <c r="N23">
        <f t="shared" si="2"/>
        <v>2.5611182265746943E+41</v>
      </c>
      <c r="O23">
        <f t="shared" si="2"/>
        <v>3.9045444666465981E+55</v>
      </c>
      <c r="S23" s="16"/>
      <c r="T23" s="4"/>
      <c r="U23" s="4"/>
      <c r="V23" s="4"/>
      <c r="W23" s="4"/>
    </row>
    <row r="24" spans="1:23" ht="15" customHeight="1">
      <c r="B24" s="4"/>
      <c r="C24" s="4"/>
      <c r="S24" s="16"/>
      <c r="T24" s="4"/>
      <c r="U24" s="4"/>
      <c r="V24" s="4"/>
      <c r="W24" s="4"/>
    </row>
    <row r="25" spans="1:23" ht="15" customHeight="1">
      <c r="B25" s="4"/>
      <c r="C25" s="4"/>
      <c r="F25" s="1" t="s">
        <v>64</v>
      </c>
      <c r="S25" s="16"/>
      <c r="T25" s="4"/>
      <c r="U25" s="4"/>
      <c r="V25" s="4"/>
      <c r="W25" s="4"/>
    </row>
    <row r="26" spans="1:23" ht="15" customHeight="1">
      <c r="B26" s="4"/>
      <c r="C26" s="4"/>
      <c r="F26" t="s">
        <v>62</v>
      </c>
      <c r="G26">
        <f>VLOOKUP($F26,Globals!$N$30:$P$36,2,FALSE)</f>
        <v>1E+19</v>
      </c>
      <c r="H26">
        <f>VLOOKUP($F26,Globals!$N$30:$P$36,3,FALSE)</f>
        <v>1.5606082921447579</v>
      </c>
      <c r="S26" s="42"/>
      <c r="T26" s="4"/>
      <c r="U26" s="4"/>
      <c r="V26" s="4"/>
      <c r="W26" s="4"/>
    </row>
    <row r="27" spans="1:23" ht="15" customHeight="1">
      <c r="A27" s="16"/>
      <c r="B27" s="4"/>
      <c r="C27" s="4"/>
      <c r="F27" t="s">
        <v>45</v>
      </c>
      <c r="G27">
        <f>VLOOKUP($F27,Globals!$A$17:$E$24,4,FALSE)</f>
        <v>0.04</v>
      </c>
      <c r="H27">
        <f>VLOOKUP($F27,Globals!$A$17:$E$24,5,FALSE)</f>
        <v>0.5</v>
      </c>
      <c r="S27" s="4"/>
      <c r="T27" s="4"/>
      <c r="U27" s="4"/>
      <c r="V27" s="4"/>
      <c r="W27" s="4"/>
    </row>
    <row r="28" spans="1:23" ht="15" customHeight="1">
      <c r="F28" s="32" t="s">
        <v>60</v>
      </c>
      <c r="G28" s="26">
        <f>PRODUCT(G$3:G$4)*PRODUCT(G26:G27)</f>
        <v>1.2649110640673514E+41</v>
      </c>
      <c r="H28" s="26">
        <f>SUM(H$3:H$4)+SUM(H26:H27)</f>
        <v>4.0113686573257059</v>
      </c>
      <c r="S28" s="4"/>
      <c r="T28" s="4"/>
      <c r="U28" s="4"/>
      <c r="V28" s="4"/>
      <c r="W28" s="4"/>
    </row>
    <row r="29" spans="1:23" ht="15" customHeight="1">
      <c r="S29" s="25"/>
      <c r="T29" s="4"/>
      <c r="U29" s="4"/>
      <c r="V29" s="4"/>
      <c r="W29" s="4"/>
    </row>
    <row r="30" spans="1:23" ht="15" customHeight="1">
      <c r="S30" s="4"/>
      <c r="T30" s="4"/>
      <c r="U30" s="4"/>
      <c r="V30" s="4"/>
      <c r="W30" s="4"/>
    </row>
    <row r="31" spans="1:23" ht="15" customHeight="1">
      <c r="A31" s="16"/>
      <c r="B31" s="4"/>
      <c r="C31" s="4"/>
      <c r="F31" s="1" t="s">
        <v>65</v>
      </c>
      <c r="S31" s="4"/>
      <c r="T31" s="4"/>
      <c r="U31" s="4"/>
      <c r="V31" s="4"/>
      <c r="W31" s="4"/>
    </row>
    <row r="32" spans="1:23" ht="15" customHeight="1">
      <c r="A32" s="16"/>
      <c r="B32" s="4"/>
      <c r="C32" s="4"/>
      <c r="F32" t="s">
        <v>62</v>
      </c>
      <c r="G32">
        <f>VLOOKUP($F32,Globals!$N$30:$P$36,2,FALSE)</f>
        <v>1E+19</v>
      </c>
      <c r="H32">
        <f>VLOOKUP($F32,Globals!$N$30:$P$36,3,FALSE)</f>
        <v>1.5606082921447579</v>
      </c>
      <c r="S32" s="4"/>
      <c r="T32" s="4"/>
      <c r="U32" s="4"/>
      <c r="V32" s="4"/>
      <c r="W32" s="4"/>
    </row>
    <row r="33" spans="1:23" ht="15" customHeight="1">
      <c r="A33" s="16"/>
      <c r="B33" s="4"/>
      <c r="C33" s="4"/>
      <c r="F33" t="s">
        <v>66</v>
      </c>
      <c r="G33">
        <f>VLOOKUP($F33,Globals!$N$30:$P$36,2,FALSE)</f>
        <v>3.1622776601683791E-2</v>
      </c>
      <c r="H33">
        <f>VLOOKUP($F33,Globals!$N$30:$P$36,3,FALSE)</f>
        <v>1.1704562191085683</v>
      </c>
      <c r="S33" s="4"/>
      <c r="T33" s="4"/>
      <c r="U33" s="4"/>
      <c r="V33" s="4"/>
      <c r="W33" s="4"/>
    </row>
    <row r="34" spans="1:23" ht="15" customHeight="1">
      <c r="A34" s="16"/>
      <c r="B34" s="4"/>
      <c r="C34" s="4"/>
      <c r="F34" t="s">
        <v>45</v>
      </c>
      <c r="G34">
        <f>VLOOKUP($F34,Globals!$A$17:$E$24,4,FALSE)</f>
        <v>0.04</v>
      </c>
      <c r="H34">
        <f>VLOOKUP($F34,Globals!$A$17:$E$24,5,FALSE)</f>
        <v>0.5</v>
      </c>
      <c r="S34" s="16"/>
      <c r="T34" s="4"/>
      <c r="U34" s="4"/>
      <c r="V34" s="4"/>
      <c r="W34" s="4"/>
    </row>
    <row r="35" spans="1:23" ht="15" customHeight="1">
      <c r="A35" s="16"/>
      <c r="B35" s="4"/>
      <c r="C35" s="4"/>
      <c r="F35" s="28" t="s">
        <v>60</v>
      </c>
      <c r="G35" s="26">
        <f>PRODUCT(G$3:G$4)*PRODUCT(G32:G34)</f>
        <v>3.9999999999999985E+39</v>
      </c>
      <c r="H35" s="26">
        <f>SUM(H$3:H$4)+SUM(H32:H34)</f>
        <v>5.1818248764342734</v>
      </c>
      <c r="S35" s="16"/>
      <c r="T35" s="4"/>
      <c r="U35" s="4"/>
      <c r="V35" s="4"/>
      <c r="W35" s="4"/>
    </row>
    <row r="36" spans="1:23" ht="15" customHeight="1">
      <c r="A36" s="16"/>
      <c r="B36" s="4"/>
      <c r="C36" s="4"/>
      <c r="S36" s="4"/>
      <c r="T36" s="4"/>
      <c r="U36" s="4"/>
      <c r="V36" s="4"/>
      <c r="W36" s="4"/>
    </row>
    <row r="37" spans="1:23" ht="15" customHeight="1">
      <c r="A37" s="16"/>
      <c r="B37" s="4"/>
      <c r="C37" s="4"/>
      <c r="S37" s="4"/>
      <c r="T37" s="4"/>
      <c r="U37" s="4"/>
      <c r="V37" s="4"/>
      <c r="W37" s="4"/>
    </row>
    <row r="38" spans="1:23" ht="15" customHeight="1">
      <c r="S38" s="25"/>
      <c r="T38" s="4"/>
      <c r="U38" s="4"/>
      <c r="V38" s="4"/>
      <c r="W38" s="4"/>
    </row>
    <row r="39" spans="1:23" ht="15" customHeight="1">
      <c r="S39" s="4"/>
      <c r="T39" s="4"/>
      <c r="U39" s="4"/>
      <c r="V39" s="4"/>
      <c r="W39" s="4"/>
    </row>
    <row r="40" spans="1:23" ht="15" customHeight="1">
      <c r="S40" s="4"/>
      <c r="T40" s="4"/>
      <c r="U40" s="4"/>
      <c r="V40" s="4"/>
      <c r="W40" s="4"/>
    </row>
    <row r="41" spans="1:23" ht="15" customHeight="1">
      <c r="S41" s="4"/>
      <c r="T41" s="4"/>
      <c r="U41" s="4"/>
      <c r="V41" s="4"/>
      <c r="W41" s="4"/>
    </row>
    <row r="42" spans="1:23" ht="15" customHeight="1">
      <c r="S42" s="4"/>
      <c r="T42" s="4"/>
      <c r="U42" s="4"/>
      <c r="V42" s="4"/>
      <c r="W42" s="4"/>
    </row>
    <row r="43" spans="1:23" ht="15" customHeight="1">
      <c r="S43" s="16"/>
      <c r="T43" s="4"/>
      <c r="U43" s="4"/>
      <c r="V43" s="4"/>
      <c r="W43" s="4"/>
    </row>
    <row r="44" spans="1:23" ht="15" customHeight="1">
      <c r="S44" s="16"/>
      <c r="T44" s="4"/>
      <c r="U44" s="4"/>
      <c r="V44" s="4"/>
      <c r="W44" s="4"/>
    </row>
    <row r="45" spans="1:23" ht="15" customHeight="1">
      <c r="S45" s="4"/>
      <c r="T45" s="4"/>
      <c r="U45" s="4"/>
      <c r="V45" s="4"/>
      <c r="W45" s="4"/>
    </row>
    <row r="46" spans="1:23" ht="15" customHeight="1">
      <c r="S46" s="4"/>
      <c r="T46" s="4"/>
      <c r="U46" s="4"/>
      <c r="V46" s="4"/>
      <c r="W46" s="4"/>
    </row>
    <row r="47" spans="1:23" ht="15" customHeight="1">
      <c r="S47" s="25"/>
      <c r="T47" s="4"/>
      <c r="U47" s="4"/>
      <c r="V47" s="4"/>
      <c r="W47" s="4"/>
    </row>
    <row r="48" spans="1:23" ht="15" customHeight="1">
      <c r="S48" s="4"/>
      <c r="T48" s="4"/>
      <c r="U48" s="4"/>
      <c r="V48" s="4"/>
      <c r="W48" s="4"/>
    </row>
    <row r="49" spans="19:23" ht="15" customHeight="1">
      <c r="S49" s="4"/>
      <c r="T49" s="4"/>
      <c r="U49" s="4"/>
      <c r="V49" s="4"/>
      <c r="W49" s="4"/>
    </row>
    <row r="50" spans="19:23" ht="15" customHeight="1">
      <c r="S50" s="4"/>
      <c r="T50" s="4"/>
      <c r="U50" s="4"/>
      <c r="V50" s="4"/>
      <c r="W50" s="4"/>
    </row>
    <row r="51" spans="19:23" ht="15" customHeight="1">
      <c r="S51" s="4"/>
      <c r="T51" s="4"/>
      <c r="U51" s="4"/>
      <c r="V51" s="4"/>
      <c r="W51" s="4"/>
    </row>
    <row r="52" spans="19:23" ht="15" customHeight="1">
      <c r="S52" s="16"/>
      <c r="T52" s="4"/>
      <c r="U52" s="4"/>
      <c r="V52" s="4"/>
      <c r="W52" s="4"/>
    </row>
    <row r="53" spans="19:23" ht="15" customHeight="1">
      <c r="S53" s="16"/>
      <c r="T53" s="4"/>
      <c r="U53" s="4"/>
      <c r="V53" s="4"/>
      <c r="W53" s="4"/>
    </row>
    <row r="54" spans="19:23" ht="15" customHeight="1">
      <c r="S54" s="4"/>
      <c r="T54" s="4"/>
      <c r="U54" s="4"/>
      <c r="V54" s="4"/>
      <c r="W54" s="4"/>
    </row>
    <row r="55" spans="19:23" ht="15" customHeight="1">
      <c r="S55" s="4"/>
      <c r="T55" s="4"/>
      <c r="U55" s="4"/>
      <c r="V55" s="4"/>
      <c r="W55" s="4"/>
    </row>
    <row r="56" spans="19:23" ht="15" customHeight="1">
      <c r="S56" s="25"/>
      <c r="T56" s="4"/>
      <c r="U56" s="4"/>
      <c r="V56" s="4"/>
      <c r="W56" s="4"/>
    </row>
    <row r="57" spans="19:23" ht="15" customHeight="1">
      <c r="S57" s="4"/>
      <c r="T57" s="4"/>
      <c r="U57" s="4"/>
      <c r="V57" s="4"/>
      <c r="W57" s="4"/>
    </row>
    <row r="58" spans="19:23" ht="15" customHeight="1">
      <c r="S58" s="4"/>
      <c r="T58" s="4"/>
      <c r="U58" s="4"/>
      <c r="V58" s="4"/>
      <c r="W58" s="4"/>
    </row>
    <row r="59" spans="19:23" ht="15" customHeight="1">
      <c r="S59" s="4"/>
      <c r="T59" s="4"/>
      <c r="U59" s="4"/>
      <c r="V59" s="4"/>
      <c r="W59" s="4"/>
    </row>
    <row r="60" spans="19:23" ht="15" customHeight="1">
      <c r="S60" s="4"/>
      <c r="T60" s="4"/>
      <c r="U60" s="4"/>
      <c r="V60" s="4"/>
      <c r="W60" s="4"/>
    </row>
    <row r="61" spans="19:23" ht="15" customHeight="1">
      <c r="S61" s="4"/>
      <c r="T61" s="4"/>
      <c r="U61" s="4"/>
      <c r="V61" s="4"/>
      <c r="W61" s="4"/>
    </row>
    <row r="62" spans="19:23" ht="15" customHeight="1">
      <c r="S62" s="4"/>
      <c r="T62" s="4"/>
      <c r="U62" s="4"/>
      <c r="V62" s="4"/>
      <c r="W62" s="4"/>
    </row>
    <row r="63" spans="19:23" ht="15" customHeight="1">
      <c r="S63" s="16"/>
      <c r="T63" s="4"/>
      <c r="U63" s="4"/>
      <c r="V63" s="4"/>
      <c r="W63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27"/>
  <sheetViews>
    <sheetView workbookViewId="0">
      <selection activeCell="D5" sqref="D5"/>
    </sheetView>
  </sheetViews>
  <sheetFormatPr baseColWidth="10" defaultRowHeight="15" x14ac:dyDescent="0"/>
  <cols>
    <col min="1" max="1" width="21.6640625" customWidth="1"/>
    <col min="2" max="2" width="12.1640625" bestFit="1" customWidth="1"/>
    <col min="5" max="5" width="10.83203125" customWidth="1"/>
    <col min="6" max="6" width="21.6640625" customWidth="1"/>
    <col min="7" max="7" width="12.83203125" bestFit="1" customWidth="1"/>
    <col min="11" max="11" width="12.83203125" bestFit="1" customWidth="1"/>
  </cols>
  <sheetData>
    <row r="1" spans="1:16" ht="20">
      <c r="A1" s="7" t="s">
        <v>160</v>
      </c>
      <c r="F1" s="1" t="s">
        <v>81</v>
      </c>
    </row>
    <row r="2" spans="1:16">
      <c r="B2" t="s">
        <v>0</v>
      </c>
      <c r="C2" t="s">
        <v>1</v>
      </c>
      <c r="G2" t="s">
        <v>2</v>
      </c>
      <c r="H2" t="s">
        <v>34</v>
      </c>
      <c r="I2" t="s">
        <v>109</v>
      </c>
    </row>
    <row r="3" spans="1:16">
      <c r="A3" s="29" t="s">
        <v>122</v>
      </c>
      <c r="B3" s="27">
        <v>50000000000</v>
      </c>
      <c r="C3" s="27">
        <v>1000000000000</v>
      </c>
      <c r="D3" t="s">
        <v>193</v>
      </c>
      <c r="G3">
        <v>1</v>
      </c>
      <c r="H3">
        <f>I3^2</f>
        <v>6.25E-2</v>
      </c>
      <c r="I3">
        <v>0.25</v>
      </c>
    </row>
    <row r="4" spans="1:16">
      <c r="A4" s="29" t="s">
        <v>116</v>
      </c>
      <c r="B4" s="15">
        <v>0.1</v>
      </c>
      <c r="C4" s="15">
        <v>0.5</v>
      </c>
      <c r="D4" t="s">
        <v>241</v>
      </c>
      <c r="F4" s="33" t="s">
        <v>99</v>
      </c>
      <c r="G4" s="34">
        <f>ParetoPosterior(median,alpha,G3:H3)</f>
        <v>0.81201606810068083</v>
      </c>
      <c r="H4" s="4"/>
    </row>
    <row r="5" spans="1:16">
      <c r="A5" s="29" t="s">
        <v>117</v>
      </c>
      <c r="B5" s="15">
        <v>1.7999999999999999E-2</v>
      </c>
      <c r="C5" s="15">
        <v>0.18</v>
      </c>
      <c r="F5" s="33" t="s">
        <v>110</v>
      </c>
      <c r="G5" s="34" t="str">
        <f>LognormPosterior(mu_global_poverty,sigma_global_poverty,G3:H3)</f>
        <v>disabled</v>
      </c>
      <c r="H5" s="4"/>
    </row>
    <row r="6" spans="1:16">
      <c r="A6" s="29" t="s">
        <v>118</v>
      </c>
      <c r="B6" s="15">
        <v>0.02</v>
      </c>
      <c r="C6" s="15">
        <v>0.2</v>
      </c>
    </row>
    <row r="7" spans="1:16">
      <c r="A7" s="4" t="s">
        <v>112</v>
      </c>
      <c r="B7" s="19">
        <f>1000/C3*interest_rate</f>
        <v>5.0000000000000008E-11</v>
      </c>
      <c r="C7" s="19">
        <f>1000/B3*interest_rate</f>
        <v>1.0000000000000001E-9</v>
      </c>
    </row>
    <row r="8" spans="1:16">
      <c r="F8" s="1" t="s">
        <v>111</v>
      </c>
    </row>
    <row r="9" spans="1:16">
      <c r="G9" t="s">
        <v>2</v>
      </c>
      <c r="H9" t="s">
        <v>34</v>
      </c>
      <c r="J9" s="25"/>
      <c r="K9" s="4"/>
      <c r="L9" s="4"/>
      <c r="M9" s="4"/>
      <c r="N9" s="25"/>
      <c r="O9" s="4"/>
      <c r="P9" s="4"/>
    </row>
    <row r="10" spans="1:16">
      <c r="F10" t="s">
        <v>116</v>
      </c>
      <c r="G10">
        <f>GEOMEAN($B$4,$C$4)</f>
        <v>0.22360679774997896</v>
      </c>
      <c r="H10">
        <f>LogVariance($B$4,$C$4)</f>
        <v>0.27270459618181209</v>
      </c>
      <c r="J10" s="4"/>
      <c r="K10" s="4"/>
      <c r="L10" s="4"/>
      <c r="M10" s="4"/>
      <c r="N10" s="4"/>
      <c r="O10" s="4"/>
      <c r="P10" s="4"/>
    </row>
    <row r="11" spans="1:16">
      <c r="F11" s="4" t="s">
        <v>117</v>
      </c>
      <c r="G11">
        <f>GEOMEAN($B$5,$C$5)</f>
        <v>5.6920997883030823E-2</v>
      </c>
      <c r="H11">
        <f>LogVariance($B$5,$C$5)</f>
        <v>0.39015207303618948</v>
      </c>
      <c r="J11" s="4"/>
      <c r="K11" s="4"/>
      <c r="L11" s="4"/>
      <c r="M11" s="4"/>
      <c r="N11" s="4"/>
      <c r="O11" s="4"/>
      <c r="P11" s="4"/>
    </row>
    <row r="12" spans="1:16" ht="20">
      <c r="A12" s="7" t="s">
        <v>67</v>
      </c>
      <c r="F12" t="s">
        <v>112</v>
      </c>
      <c r="G12">
        <f>GEOMEAN($B$7,$C$7)</f>
        <v>2.2360679774997899E-10</v>
      </c>
      <c r="H12">
        <f>LogVariance($B$7,$C$7)</f>
        <v>0.50759954989056688</v>
      </c>
      <c r="J12" s="4"/>
      <c r="K12" s="4"/>
      <c r="L12" s="4"/>
      <c r="M12" s="4"/>
      <c r="N12" s="4"/>
      <c r="O12" s="4"/>
      <c r="P12" s="4"/>
    </row>
    <row r="13" spans="1:16">
      <c r="A13" s="1" t="s">
        <v>150</v>
      </c>
      <c r="F13" s="4" t="s">
        <v>238</v>
      </c>
      <c r="G13" s="4">
        <f>PRODUCT(G10:G12)</f>
        <v>2.8460498941515414E-12</v>
      </c>
      <c r="H13" s="4">
        <f>SUM(H10:H12)</f>
        <v>1.1704562191085683</v>
      </c>
      <c r="J13" s="4"/>
      <c r="K13" s="4"/>
      <c r="L13" s="4"/>
      <c r="M13" s="4"/>
      <c r="N13" s="4"/>
      <c r="O13" s="4"/>
      <c r="P13" s="4"/>
    </row>
    <row r="14" spans="1:16">
      <c r="A14" s="30" t="s">
        <v>107</v>
      </c>
      <c r="B14" s="5">
        <f>G15-G26+G4</f>
        <v>0.81201606810068083</v>
      </c>
      <c r="F14" s="4"/>
      <c r="G14" s="4"/>
      <c r="H14" s="4"/>
      <c r="J14" s="4"/>
      <c r="K14" s="4"/>
      <c r="L14" s="4"/>
      <c r="M14" s="4"/>
      <c r="N14" s="4"/>
      <c r="O14" s="4"/>
      <c r="P14" s="4"/>
    </row>
    <row r="15" spans="1:16">
      <c r="A15" s="30" t="s">
        <v>108</v>
      </c>
      <c r="B15" s="5" t="e">
        <f>G16-G27+G5</f>
        <v>#VALUE!</v>
      </c>
      <c r="F15" s="4"/>
      <c r="G15" s="4"/>
      <c r="H15" s="4"/>
      <c r="J15" s="4"/>
      <c r="K15" s="4"/>
      <c r="L15" s="4"/>
      <c r="M15" s="4"/>
      <c r="N15" s="4"/>
      <c r="O15" s="4"/>
      <c r="P15" s="4"/>
    </row>
    <row r="16" spans="1:16">
      <c r="F16" s="4"/>
      <c r="G16" s="4"/>
      <c r="H16" s="4"/>
      <c r="J16" s="4"/>
      <c r="K16" s="4"/>
      <c r="L16" s="4"/>
      <c r="M16" s="4"/>
      <c r="N16" s="4"/>
      <c r="O16" s="4"/>
      <c r="P16" s="4"/>
    </row>
    <row r="17" spans="1:16">
      <c r="J17" s="4"/>
      <c r="K17" s="4"/>
      <c r="L17" s="4"/>
      <c r="M17" s="4"/>
      <c r="N17" s="4"/>
      <c r="O17" s="4"/>
      <c r="P17" s="4"/>
    </row>
    <row r="18" spans="1:16">
      <c r="A18" s="1" t="s">
        <v>151</v>
      </c>
      <c r="J18" s="4"/>
      <c r="K18" s="4"/>
      <c r="L18" s="4"/>
      <c r="M18" s="4"/>
      <c r="N18" s="4"/>
      <c r="O18" s="4"/>
      <c r="P18" s="4"/>
    </row>
    <row r="19" spans="1:16">
      <c r="A19" s="30" t="s">
        <v>107</v>
      </c>
      <c r="B19" s="5">
        <f>(O12-K12)-(O23-K23)+G4</f>
        <v>0.81201606810068083</v>
      </c>
      <c r="F19" s="1" t="s">
        <v>119</v>
      </c>
      <c r="J19" s="4"/>
      <c r="K19" s="4"/>
      <c r="L19" s="4"/>
      <c r="M19" s="4"/>
      <c r="N19" s="4"/>
      <c r="O19" s="4"/>
      <c r="P19" s="4"/>
    </row>
    <row r="20" spans="1:16">
      <c r="A20" s="30" t="s">
        <v>108</v>
      </c>
      <c r="B20" s="5" t="e">
        <f>(O13-K13)-(O24-K24)+G5</f>
        <v>#VALUE!</v>
      </c>
      <c r="G20" t="s">
        <v>2</v>
      </c>
      <c r="H20" t="s">
        <v>34</v>
      </c>
      <c r="J20" s="25"/>
      <c r="K20" s="4"/>
      <c r="L20" s="4"/>
      <c r="M20" s="4"/>
      <c r="N20" s="25"/>
      <c r="O20" s="4"/>
      <c r="P20" s="4"/>
    </row>
    <row r="21" spans="1:16">
      <c r="F21" t="s">
        <v>116</v>
      </c>
      <c r="G21">
        <f>GEOMEAN($B$4,$C$4)</f>
        <v>0.22360679774997896</v>
      </c>
      <c r="H21">
        <f>LogVariance($B$4,$C$4)</f>
        <v>0.27270459618181209</v>
      </c>
      <c r="J21" s="4"/>
      <c r="K21" s="4"/>
      <c r="L21" s="4"/>
      <c r="M21" s="4"/>
      <c r="N21" s="4"/>
      <c r="O21" s="4"/>
      <c r="P21" s="4"/>
    </row>
    <row r="22" spans="1:16">
      <c r="F22" s="4" t="s">
        <v>118</v>
      </c>
      <c r="G22">
        <f>GEOMEAN($B$6,$C$6)</f>
        <v>6.3245553203367583E-2</v>
      </c>
      <c r="H22">
        <f>LogVariance($B$6,$C$6)</f>
        <v>0.39015207303618948</v>
      </c>
      <c r="J22" s="4"/>
      <c r="K22" s="4"/>
      <c r="L22" s="4"/>
      <c r="M22" s="4"/>
      <c r="N22" s="4"/>
      <c r="O22" s="4"/>
      <c r="P22" s="4"/>
    </row>
    <row r="23" spans="1:16">
      <c r="A23" s="1" t="s">
        <v>194</v>
      </c>
      <c r="F23" t="s">
        <v>112</v>
      </c>
      <c r="G23">
        <f>GEOMEAN($B$7,$C$7)</f>
        <v>2.2360679774997899E-10</v>
      </c>
      <c r="H23">
        <f>LogVariance($B$7,$C$7)</f>
        <v>0.50759954989056688</v>
      </c>
      <c r="J23" s="4"/>
      <c r="K23" s="4"/>
      <c r="L23" s="4"/>
      <c r="M23" s="4"/>
      <c r="N23" s="4"/>
      <c r="O23" s="4"/>
      <c r="P23" s="4"/>
    </row>
    <row r="24" spans="1:16">
      <c r="A24" t="s">
        <v>195</v>
      </c>
      <c r="F24" t="s">
        <v>136</v>
      </c>
      <c r="G24" t="str">
        <f>VLOOKUP(F24,'EV of Far Future'!$K$11:$M$13,2,FALSE)</f>
        <v>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9.88131291682493E-324,1.75887369919484E-321,2.3384621083312E-319,3.05815468892136E-317,3.92053471260114E-315,4.9272055600874E-313,6.07052335756739E-311,7.33199394196516E-309,8.68138482599289E-307,1.007690834739E-304,1.14666735023605E-302,1.27914528694326E-300,1.39886257326595E-298,1.49969670233323E-296,1.5761788662746E-294,1.62398388200806E-292,1.64033502558032E-290,1.62427109340875E-288,1.57673996329808E-286,1.50050598813551E-284,1.39988380592982E-282,1.28033421648314E-280,1.14797474294125E-278,1.00906571806759E-276,8.69531327020895E-275,7.34564961597728E-273,6.08351967294259E-271,4.93923741054766E-269,3.93138624962578E-267,3.06770019002821E-265,2.34672426136902E-263,1.75992328183683E-261,1.29392323774095E-259,9.32624838470416E-258,6.59006543224144E-256,4.56517427318963E-254,3.10034833389073E-252,2.06419030403038E-250,1.34733538403818E-248,8.62162383183756E-247,5.40866945680699E-245,3.32644600771169E-243,2.00567168652071E-241,1.18557547061198E-239,6.87051420084065E-238,3.90337827507364E-236,2.17412294664789E-234,1.18719026377475E-232,6.35550459926938E-231,3.33559996428787E-229,1.71629854288344E-227,8.65779714242478E-226,4.28172170289893E-224,2.07599687712852E-222,9.86808693816278E-221,4.59873139153929E-219,2.10108068975063E-217,9.4112616696323E-216,4.13289361404018E-214,1.77935542695913E-212,7.51059162452167E-211,3.10806018702883E-209,1.2609835060155E-207,5.01573985605857E-206,1.95599222977198E-204,7.47836568747852E-203,2.80320374188903E-201,1.03017731257088E-199,3.71175773882669E-198,1.31116871506723E-196,4.54098277416852E-195,1.54189384475271E-193,5.13302619068769E-192,1.67535918079001E-190,5.36116163727949E-189,1.68200580653548E-187,5.17386168131407E-186,1.56034993425529E-184,4.61370928537167E-183,1.33752111659752E-181,3.80167048052718E-180,1.05943158452658E-178,2.89465778829201E-177,7.75440844451781E-176,2.03670693031851E-174,5.24491131343184E-173,1.32427700300137E-171,3.27832475230587E-170,7.95717572890534E-169,1.89365643532073E-167,4.41855371416628E-166,1.01087459096348E-164,2.267535638115E-163,4.98714736914424E-162,1.07545710391814E-160,2.27393684344266E-159,4.71421903160013E-158,9.58272092493392E-157,1.90992959251087E-155,3.73247625669909E-154,7.15203632547778E-153,1.34374590434614E-151,2.47549037589971E-150,4.47160962038145E-149,7.92003351644883E-148,1.3754748265568E-146,2.34230151865507E-145,3.91110579842043E-144,6.40361291305681E-143,1.02806720583506E-141,1.61841949633134E-140,2.49825144466258E-139,3.78145543746427E-138,5.61257324176941E-137,8.16860152616982E-136,1.16578530721586E-134,1.63146290930482E-133,2.23885642024367E-132,3.01278686425543E-131,3.97563487041907E-130,5.14450209679129E-129,6.52802661019621E-128,8.1231637104057E-127,9.912342747721E-126,1.18614670286955E-124,1.39192153476552E-123,1.60180153620623E-122,1.80768895893823E-121,2.00061394914785E-120,2.17135636730798E-119,2.31116467008848E-118,2.41249539162878E-117,2.46968676622855E-116,2.47948287148884E-115,2.44134075878066E-114,2.35748024747729E-113,2.23267003602372E-112,2.07377879206516E-111,1.88914998717795E-110,1.68787952046537E-109,1.47908270473432E-108,1.27123153799504E-107,1.0716263416127E-106,8.86041635068983E-106,7.18559257501823E-105,5.71576839766964E-104,4.45960390912183E-103,3.41298073483107E-102,2.56208616754159E-101,1.88661224168275E-100,1.36272268588565e-99,9.65551356625546e-99,6.71109987619257e-98,4.57583216835228e-97,3.0606412507145e-96,2.00830140494983e-95,1.29278986233338e-94,8.1642880732572e-94,5.05835268944458e-93,3.07474915681062e-92,1.83370641985709e-91,1.07295013024069e-90,6.15983871923119e-90,3.46984488499654e-89,1.91784249958161e-88,1.04013482621354e-87,5.53544142938645e-87,2.89076882166231e-86,1.48144652052336e-85,7.45046947567272e-85,3.67722662493871e-84,1.78119241560641e-83,8.46779075722407e-83,3.95106323458072e-82,1.80950080348936e-81,8.13432484830636e-81,3.5893832885843e-80,1.55479131949932e-79,6.611460396163e-79,2.76004107339375e-78,1.13122019628597e-77,4.5521193463914e-77,1.79861115435224e-76,6.97816484992569e-76,2.65857872474564e-75,9.94688703565553e-75,3.65493947603705e-74,1.31903261109464e-73,4.67564210511162e-73,1.62804536526079e-72,5.56879850597979e-72,1.87136139697812e-71,6.17856436031567e-71,2.00440295702109e-70,6.38976817254464e-70,2.00181580076815e-69,6.16367476513591e-69,1.86539534505684e-68,5.54955266360907e-68,1.62309037209591e-67,4.66732649012312e-67,1.31971134044612e-66,3.66961881150158e-66,1.00355590937678e-65,2.69953900450765e-65,7.1435695032742e-65,1.85981694211782e-64,4.76439095894621e-64,1.20110568056915e-63,2.98021353773565e-63,7.27885151763474e-63,1.75019270937429e-62,4.14358079843965e-62,9.660357483473e-62,2.21819429605516e-61,5.01715465857831e-61,1.11797039711008e-60,2.45460831953482e-60,5.31102117913659e-60,1.13261737853654e-59,2.38102331623761e-59,4.9349816621625e-59,1.0085916325906e-58,2.03291707288662e-58,4.04170860379798e-58,7.92716292281542e-58,1.53406649822688e-57,2.92961133607246e-57,5.52179885129384e-57,1.02735530687229e-56,1.88709758141038e-56,3.42266966908431e-56,6.13048815469624e-56,1.08454150693072e-55,1.89530451507888e-55,3.27230040873732e-55,5.58248162779395e-55,9.41150255891029e-55,1.5682115372254e-54,2.58297239126478e-54,4.2058974967435e-54,6.77134158300539e-54,1.07800352268984e-53,1.69725217456088e-53,2.64303963731423e-53,4.07137925638389e-53,6.20452649590522e-53,9.35519287484484e-53,1.39579273562897e-52,2.06091261273789e-52,3.01171865662928e-52,4.35642786725495e-52,6.23810299608149e-52,8.84350684896991e-52,1.24133805585275e-51,1.72541033378798e-51,2.37505842728061e-51,3.23801032597172e-51,4.37266604868468e-51,5.8495217089158e-51,7.75250223527031e-51,1.01801037178561e-50,1.32462294828772e-50,1.7080590636189e-50,2.18285339374472e-50,2.76501594617931e-50,3.47185993993329e-50,4.3217348979114e-50,5.33365717342439e-50,6.52683442037647e-50,7.9200858796676e-50,9.53116659791175e-50,1.13760105189494e-49,1.34679143983841e-49,1.58166912156758e-49,1.84278276813795e-49,2.13016850367911e-49,2.44327851350563e-49,2.78092243752021e-49,3.14122561573487e-49,3.52160780224552e-49,3.91878526004691e-49,4.32879821755195e-49,4.74706455282146e-49,5.1684593334527e-49,5.5874185508715e-49,5.99806412625196e-49,6.39434611117174e-49,6.77019703393025e-49,7.11969261583438e-49,7.437212648537e-49,7.71759571222661e-49,7.95628163235154e-49,8.14943610534578e-49,8.29405273718102e-49,8.38802878109602e-49,8.43021206822744e-49,8.42041792478607e-49,8.35941618689538e-49,8.248889686702e-49,8.09136672547037e-49,7.89013101660335e-49,7.64911333309045e-49,7.37276960424881e-49,7.06595046592195e-49,6.73376728164529e-49,6.38145943812114e-49,6.01426730611486e-49,5.63731468521065e-49,5.25550386051003e-49,4.87342563617444e-49,4.49528591883677e-49,4.12484964427905e-49,3.76540210918788e-49,3.41972711547187e-49,3.09010077935333e-49,2.77829941530413e-49,2.48561958243639e-49,2.21290817783166e-49,1.96060037117464e-49,1.72876318682186e-49,1.51714263841784e-49,1.32521249047207e-49,1.1522229430356e-49,9.97247791981472e-50,8.59228891664819e-50,7.3701702395469e-50,6.29408545113484e-50,5.35177429654068e-50,4.53102550706262e-50,3.81990224755979e-50,3.20692202458973e-50,2.68119406242594e-50,2.23251800976925e-50,1.85144838825776e-50,1.52932947107351e-50,1.25830532787094e-50,1.0313096350147e-50,8.42039571350714e-51,6.84917740490544e-51,5.55045617783774e-51,4.48151545605868e-51,3.60535820548927e-51,2.89014951185481e-51,2.30866730526906e-51,1.83777373486046e-51,1.45791622710327e-51,1.15266428686284e-51,9.08285618452523e-52,7.13363132418646e-52,5.58452824860735e-52,4.3578132323081e-52,3.38981034489436e-52,2.62860255953963e-52,2.03205265557455e-52,1.56611249515148e-52,1.20338909309167e-52,9.21936795975998e-53,7.04246528738071e-53,5.36405196483072e-53,4.07400738943161e-53,3.08550863683656e-53,2.3303601067765e-53,1.75519537869606e-53,1.31840405544854e-53,9.87657398913691e-54,7.37925538081345e-54,5.49895897608296e-54,4.08717289210116e-54,3.03006932108379e-54,2.24068667395056e-54,1.65279973978919e-54,1.21613260222613e-54,8.92634748568301e-55,6.53595255111689e-55,4.77414737309538e-55,3.47891377452131e-55,2.52907089593316e-55,1.83423897781876e-55,1.32719882290844e-55,9.58094394901156e-56,6.90048239349345e-56,4.95855994691702e-56,3.555022093679e-56,2.54299125008074e-56,1.81496403285404e-56,1.2924570713227e-56,9.18318068265405e-57,6.51032398256945e-57,4.60519215236662e-57,3.25036001526744e-57,2.28905534050769e-57,1.60851270803626e-57,1.12781552952216e-57,7.89039518042717e-58,5.50817920020899e-58,3.83678347170582e-58,2.66672084964521e-58,1.84943810363604e-58,1.27983745133686e-58,8.83737434531572e-59,6.08899542905888e-59,4.18622371647297e-59,2.87179839511386e-59,1.96580507812531e-59,1.34270974040374e-59,9.15122313412804e-60,6.22345504711071e-60,4.22317836068464e-60,2.85958335655962e-60,1.93206421702164e-60,1.30255413422049e-60,8.76244664614941e-61,5.8818008075349e-61,3.9395851519692e-61,2.6329696381327e-61,1.75588598939623e-61,1.16842758458197e-61,7.75822261654176e-62,5.1401707399603e-62,3.39818995401089e-62,2.24167416505836e-62,1.47554338552815e-62,9.69139020615685e-63,6.35147682020624e-63,4.15353468918819e-63,2.71028775827633e-63,1.76468565919612e-63,1.14649894331406e-63,7.43248895753438e-64,4.80783066847729e-64,3.10326097487276e-64,1.99867257889252e-64,1.28445590788763e-64,8.23665578199696e-65,5.27031753622509e-65,3.364935769686e-65,2.14373397139468e-65,1.36275913517122e-65,8.64413221908989e-66,5.47113934705852e-66,3.45531954477962e-66,2.17747267413339e-66,1.36921377143728e-66,8.5910024784947e-67,5.37861506885006e-67,3.36009156559733e-67,2.09452613475426e-67,1.30279017054765e-67,8.08569167365383e-68,5.00741850831163e-68,3.09431562581737e-68,1.90796030127898e-68,1.17389177162841e-68,7.20677197058057e-69,4.41476406365406e-69,2.69853596250771e-69,1.64589798311916e-69,1.00168600393691e-69,6.08295055351966e-70,3.68596284619687e-70,2.22864864373494e-70,1.34457874399188e-70,8.0944036860814e-71,4.86225195689426e-71,2.91436565464497e-71,1.74302894867723e-71,1.04020548273093e-71,6.19423467187816e-72,3.68052818733378e-72,2.18216013607194e-72,1.29097271395959e-72,7.62081613203529e-73,4.48889945990865e-73,2.6383490238995e-73,1.54731447967362e-73,9.05480089414277e-74,5.28729075003646e-74,3.08064356913999e-74,1.79103340213015e-74,1.03901038627619e-74,6.01436891389468e-75,3.47387517639487e-75,2.00213024124708e-75,1.15139519321699e-75,6.60709374269227e-76,3.7831232923608e-76,2.1614465051229e-76,1.23223192674071e-76,7.00961865993823e-77,3.97878338738496e-77,2.25351352492245e-77,1.27357349064179e-77,7.18194080194116e-78,4.04123029494959e-78,2.26902534683332e-78,1.27121515850857e-78,7.10645068701398e-79,3.96406163621799e-79,2.20638866880024e-79,1.22539923879772e-79,6.79089728737643e-80,3.75517935921734e-80,2.07199248588336e-80,1.14077405336057e-80,6.26707743535544e-81,3.43545650481678e-81,1.87913428125618e-81,1.02561684201911e-81,5.58555637756615e-82,3.03530056507677e-82,1.64585258172131e-82,8.9050042396102e-83,4.8076328637933e-83,2.58989660935177e-83,1.39215478990977e-83,7.46700757633841e-84,3.99631418930497e-84,2.13415827672647e-84,1.13722812603637e-84,6.04675714157433e-85,3.20812607551678e-85,1.6983777637344e-85,8.97162536187842e-86,4.72891961534589e-86,2.48717704231546e-86,1.30528526622907e-86,6.83530877810201e-87,3.57161639061711e-87,1.86219623104169e-87,9.68813197191044e-88,5.02931243158886e-88,2.60514050957858e-88,1.34650402312456e-88,6.94445431680584e-89,3.57373678169178e-89,1.83510519856202e-89,9.40271636532494e-90,4.8072828154997e-90,2.4524489528155e-90,1.24840139944224e-90,6.34106907329748e-91,3.21384322720989e-91,1.62532740605535e-91,8.20183438776192e-92,4.12985781431564e-92,2.07497644218219e-92,1.04026792468557e-92,5.20392719355544e-93,2.59759346257766e-93,1.29379396218546e-93,6.43003037033621e-94,3.18870905462682e-94,1.57786823227771e-94,7.79077275135264e-95,3.83834764982736e-95,1.88695717970019e-95,9.25622172191413e-96,4.53063859105916e-96,2.21278417761452e-96,1.0783820778883e-96,5.24397040844802e-97,2.54449598406375e-97,1.23196189136785e-97,5.95177828630999e-98,2.86912970619945e-98,1.38009056277661e-98,6.62397915117765e-99,3.17237335986271e-99,1.51601534854257e-99,7.22897743134829E-100,3.43956963439086E-100,1.63299671149043E-100,7.73607160218813E-101,3.65687081134845E-101,1.7248555160407E-101,8.11801393412699E-102,3.81242079359561E-102,1.78651157098588E-102,8.35342934995771E-103,3.89742476988184E-103,1.8144484945295E-103,8.42879546105047E-104,3.90697247951621E-104,1.80704578230973E-104,8.33972876178645E-105,3.8405079014706E-105,1.76473446115725E-105,8.09140681154797E-106,3.70188287263307E-106,1.68995553175917E-106,7.69806984538626E-107,3.49898744313418E-107,1.58692677351569E-107,7.1816685457514E-108,3.24300631227977E-108,1.46124890016767E-108,6.56983658442206E-109,2.94739880963688E-109,1.31940220938111E-109,5.89344828321443E-110,2.62673168793248E-110,1.16819654213072E-110,5.18406079664186E-111,2.29550489127508E-111,1.01423904501473E-111,4.47153253609672E-112,1.96709996844287E-112,8.63476324700328E-113,3.78205990851696E-113,1.65295237202441E-113,7.20852224255472E-114,3.13679482128302E-114,1.3620089090857E-114,5.90102902898879E-115,2.5511119694876E-115,1.10048786096247E-115,4.73690809852012E-116,2.03450437564976E-116,8.71919246190945E-117,3.72861778368512E-117,1.59101192851371E-117,6.77412133908707E-118,2.87797140089407E-118,1.22003964424931E-118,5.16078038985516E-119,2.17826533896039E-119,9.17402987098853E-120,3.85534711257932E-120,1.61666779743153E-120,6.76444323197582E-121,2.82421198664184E-121,1.1765665415679E-121,</v>
      </c>
      <c r="H24" t="str">
        <f>VLOOKUP(F24,'EV of Far Future'!$K$11:$M$13,3,FALSE)</f>
        <v>buckets</v>
      </c>
      <c r="J24" s="4"/>
      <c r="K24" s="4"/>
      <c r="L24" s="4"/>
      <c r="M24" s="4"/>
      <c r="N24" s="4"/>
      <c r="O24" s="4"/>
      <c r="P24" s="4"/>
    </row>
    <row r="25" spans="1:16">
      <c r="F25" s="28" t="s">
        <v>60</v>
      </c>
      <c r="G25" s="26">
        <f>PRODUCT(G21:G24)</f>
        <v>3.1622776601683794E-12</v>
      </c>
      <c r="H25" s="26">
        <f>SUM(H21:H24)</f>
        <v>1.1704562191085683</v>
      </c>
    </row>
    <row r="26" spans="1:16">
      <c r="F26" s="33" t="s">
        <v>99</v>
      </c>
      <c r="G26" s="34"/>
    </row>
    <row r="27" spans="1:16">
      <c r="F27" s="33" t="s">
        <v>110</v>
      </c>
      <c r="G27" s="3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61"/>
  <sheetViews>
    <sheetView workbookViewId="0">
      <selection activeCell="M9" sqref="M9"/>
    </sheetView>
  </sheetViews>
  <sheetFormatPr baseColWidth="10" defaultRowHeight="15" x14ac:dyDescent="0"/>
  <cols>
    <col min="1" max="1" width="21.6640625" customWidth="1"/>
    <col min="2" max="4" width="10.83203125" customWidth="1"/>
    <col min="6" max="6" width="10.83203125" customWidth="1"/>
    <col min="7" max="7" width="12.1640625" bestFit="1" customWidth="1"/>
    <col min="8" max="8" width="12.83203125" bestFit="1" customWidth="1"/>
    <col min="13" max="13" width="12.83203125" bestFit="1" customWidth="1"/>
  </cols>
  <sheetData>
    <row r="1" spans="1:14" ht="20">
      <c r="A1" s="7" t="s">
        <v>160</v>
      </c>
      <c r="G1" s="1" t="s">
        <v>81</v>
      </c>
      <c r="L1" s="25" t="s">
        <v>82</v>
      </c>
    </row>
    <row r="2" spans="1:14">
      <c r="B2" t="s">
        <v>0</v>
      </c>
      <c r="C2" t="s">
        <v>1</v>
      </c>
      <c r="D2" t="s">
        <v>2</v>
      </c>
      <c r="E2" t="s">
        <v>34</v>
      </c>
      <c r="H2" s="4" t="s">
        <v>2</v>
      </c>
      <c r="I2" s="4" t="s">
        <v>3</v>
      </c>
      <c r="M2" t="s">
        <v>2</v>
      </c>
      <c r="N2" t="s">
        <v>34</v>
      </c>
    </row>
    <row r="3" spans="1:14">
      <c r="A3" s="29" t="s">
        <v>154</v>
      </c>
      <c r="B3" s="15">
        <v>0.7</v>
      </c>
      <c r="C3" s="27">
        <v>13</v>
      </c>
      <c r="F3" s="8" t="s">
        <v>158</v>
      </c>
      <c r="G3" t="s">
        <v>86</v>
      </c>
      <c r="H3">
        <f>D5</f>
        <v>3016.620625799671</v>
      </c>
      <c r="I3">
        <f>E5</f>
        <v>0.49504262895320128</v>
      </c>
      <c r="L3" s="4" t="s">
        <v>80</v>
      </c>
      <c r="M3">
        <f>VLOOKUP($L3,'EV of Far Future'!$O$3:$P$10,2,FALSE)</f>
        <v>0.16799999999999998</v>
      </c>
      <c r="N3">
        <v>0</v>
      </c>
    </row>
    <row r="4" spans="1:14">
      <c r="A4" s="29" t="s">
        <v>239</v>
      </c>
      <c r="B4" s="15">
        <v>3</v>
      </c>
      <c r="C4" s="27">
        <v>4</v>
      </c>
      <c r="D4">
        <f>GEOMEAN(B4,C4)</f>
        <v>3.4641016151377548</v>
      </c>
      <c r="E4">
        <f>LogVariance(B4,C4)</f>
        <v>4.8745107090250664E-2</v>
      </c>
      <c r="F4" t="s">
        <v>240</v>
      </c>
      <c r="G4" t="s">
        <v>43</v>
      </c>
      <c r="H4">
        <f>VLOOKUP($G4,Globals!A17:E24,4,FALSE)</f>
        <v>5</v>
      </c>
      <c r="I4">
        <f>VLOOKUP($G4,Globals!A17:E24,5,FALSE)</f>
        <v>0.1</v>
      </c>
      <c r="L4" s="4" t="s">
        <v>88</v>
      </c>
      <c r="M4">
        <v>1</v>
      </c>
      <c r="N4">
        <v>0</v>
      </c>
    </row>
    <row r="5" spans="1:14">
      <c r="A5" t="s">
        <v>86</v>
      </c>
      <c r="B5">
        <f>B3*1000</f>
        <v>700</v>
      </c>
      <c r="C5">
        <f>C3*1000</f>
        <v>13000</v>
      </c>
      <c r="D5">
        <f>GEOMEAN(B5,C5)</f>
        <v>3016.620625799671</v>
      </c>
      <c r="E5">
        <f>LogVariance(B5,C5)</f>
        <v>0.49504262895320128</v>
      </c>
      <c r="G5" s="28" t="s">
        <v>60</v>
      </c>
      <c r="H5" s="26">
        <f>PRODUCT(H3:H4)</f>
        <v>15083.103128998355</v>
      </c>
      <c r="I5" s="26">
        <f>SUM(I3:I4)</f>
        <v>0.59504262895320126</v>
      </c>
      <c r="L5" s="4" t="s">
        <v>72</v>
      </c>
      <c r="M5">
        <f>VLOOKUP($L5,'EV of Far Future'!$K$3:$N$10,2,FALSE)</f>
        <v>1.5811388300841894E+35</v>
      </c>
      <c r="N5">
        <f>VLOOKUP($L5,'EV of Far Future'!$K$3:$N$10,3,FALSE)</f>
        <v>2.8310645112533264</v>
      </c>
    </row>
    <row r="6" spans="1:14">
      <c r="A6" t="s">
        <v>85</v>
      </c>
      <c r="D6">
        <f>PRODUCT(D4:D5)</f>
        <v>10449.880382090505</v>
      </c>
      <c r="E6">
        <f>SUM(E4:E5)</f>
        <v>0.54378773604345199</v>
      </c>
      <c r="G6" s="33" t="s">
        <v>99</v>
      </c>
      <c r="H6" s="34">
        <f>ParetoPosterior(median,alpha,H5:I5)</f>
        <v>43.705912218232925</v>
      </c>
      <c r="L6" s="4" t="s">
        <v>84</v>
      </c>
      <c r="M6">
        <f>1/factory_farmed_animals</f>
        <v>5.0000000000000002E-11</v>
      </c>
      <c r="N6">
        <v>0</v>
      </c>
    </row>
    <row r="7" spans="1:14">
      <c r="A7" s="29" t="s">
        <v>132</v>
      </c>
      <c r="B7" s="15">
        <v>0.01</v>
      </c>
      <c r="C7" s="15">
        <v>0.01</v>
      </c>
      <c r="D7">
        <f>GEOMEAN(B7,C7)</f>
        <v>0.01</v>
      </c>
      <c r="E7">
        <f>LogVariance(B7,C7)</f>
        <v>0</v>
      </c>
      <c r="F7" t="s">
        <v>133</v>
      </c>
      <c r="G7" s="33" t="s">
        <v>87</v>
      </c>
      <c r="H7" s="35" t="str">
        <f>LognormPosterior(mu_factory_farming,sigma_factory_farming,H5:I5)</f>
        <v>disabled</v>
      </c>
      <c r="I7" t="s">
        <v>230</v>
      </c>
      <c r="L7" s="4" t="s">
        <v>121</v>
      </c>
      <c r="M7">
        <f>$D$8</f>
        <v>626.99282292543035</v>
      </c>
      <c r="N7">
        <f>$E$8</f>
        <v>0.54378773604345199</v>
      </c>
    </row>
    <row r="8" spans="1:14">
      <c r="A8" t="s">
        <v>121</v>
      </c>
      <c r="D8">
        <f>D6*(interest_rate+D7)</f>
        <v>626.99282292543035</v>
      </c>
      <c r="E8">
        <f>E6+E7</f>
        <v>0.54378773604345199</v>
      </c>
      <c r="H8" s="38"/>
      <c r="L8" s="28" t="s">
        <v>60</v>
      </c>
      <c r="M8" s="26">
        <f>PRODUCT(M3:M7)</f>
        <v>8.3274466674965845E+26</v>
      </c>
      <c r="N8" s="26">
        <f>SUM(N3:N7)</f>
        <v>3.3748522472967784</v>
      </c>
    </row>
    <row r="9" spans="1:14">
      <c r="H9" s="3"/>
      <c r="L9" s="33" t="s">
        <v>99</v>
      </c>
      <c r="M9" s="34">
        <f>ParetoPosterior(median,alpha,M8:N8)</f>
        <v>239246919070.25717</v>
      </c>
    </row>
    <row r="10" spans="1:14">
      <c r="L10" s="33" t="s">
        <v>87</v>
      </c>
      <c r="M10" s="35" t="str">
        <f>LognormPosterior(mu_factory_farming,sigma_factory_farming,M8:N8)</f>
        <v>disabled</v>
      </c>
      <c r="N10" s="38" t="s">
        <v>231</v>
      </c>
    </row>
    <row r="11" spans="1:14" ht="20">
      <c r="A11" s="7" t="s">
        <v>67</v>
      </c>
      <c r="M11" s="39"/>
      <c r="N11" s="3"/>
    </row>
    <row r="12" spans="1:14">
      <c r="A12" s="1" t="s">
        <v>149</v>
      </c>
      <c r="B12" t="s">
        <v>2</v>
      </c>
      <c r="C12" t="s">
        <v>34</v>
      </c>
      <c r="M12" s="3"/>
    </row>
    <row r="13" spans="1:14">
      <c r="A13" t="s">
        <v>234</v>
      </c>
      <c r="B13">
        <f>H5</f>
        <v>15083.103128998355</v>
      </c>
      <c r="C13">
        <f>I5</f>
        <v>0.59504262895320126</v>
      </c>
      <c r="G13" s="1" t="s">
        <v>90</v>
      </c>
      <c r="L13" s="1" t="s">
        <v>104</v>
      </c>
      <c r="N13" s="4"/>
    </row>
    <row r="14" spans="1:14">
      <c r="B14">
        <f>M8</f>
        <v>8.3274466674965845E+26</v>
      </c>
      <c r="C14">
        <f>N8</f>
        <v>3.3748522472967784</v>
      </c>
      <c r="H14" t="s">
        <v>2</v>
      </c>
      <c r="I14" t="s">
        <v>34</v>
      </c>
      <c r="L14" s="4"/>
      <c r="M14" s="4" t="s">
        <v>2</v>
      </c>
      <c r="N14" s="4" t="s">
        <v>34</v>
      </c>
    </row>
    <row r="15" spans="1:14">
      <c r="B15">
        <f>H20</f>
        <v>2.8089278467059277E+28</v>
      </c>
      <c r="C15">
        <f>I20</f>
        <v>4.0650043203329673</v>
      </c>
      <c r="G15" t="s">
        <v>92</v>
      </c>
      <c r="H15">
        <f>VLOOKUP($G15,'EV of Far Future'!$O$3:$P$10,2,FALSE)</f>
        <v>0.22399999999999998</v>
      </c>
      <c r="I15">
        <v>0</v>
      </c>
      <c r="L15" t="s">
        <v>92</v>
      </c>
      <c r="M15">
        <f>VLOOKUP($G15,'EV of Far Future'!$O$3:$P$10,2,FALSE)</f>
        <v>0.22399999999999998</v>
      </c>
      <c r="N15">
        <v>0</v>
      </c>
    </row>
    <row r="16" spans="1:14">
      <c r="B16">
        <f>H30</f>
        <v>4.4413048893315116E+31</v>
      </c>
      <c r="C16">
        <f>I30</f>
        <v>4.5551563933691579</v>
      </c>
      <c r="G16" s="4" t="s">
        <v>88</v>
      </c>
      <c r="H16" s="2">
        <v>0.1</v>
      </c>
      <c r="I16">
        <v>0</v>
      </c>
      <c r="J16" t="s">
        <v>89</v>
      </c>
      <c r="L16" s="4" t="s">
        <v>105</v>
      </c>
      <c r="M16" s="2">
        <v>0.04</v>
      </c>
      <c r="N16">
        <v>0</v>
      </c>
    </row>
    <row r="17" spans="1:14">
      <c r="B17">
        <f>H40</f>
        <v>2.1066958850294454E+30</v>
      </c>
      <c r="C17">
        <f>I40</f>
        <v>5.7256126124777253</v>
      </c>
      <c r="G17" s="4" t="s">
        <v>74</v>
      </c>
      <c r="H17">
        <f>VLOOKUP($G17,'EV of Far Future'!$K$3:$N$10,2,FALSE)</f>
        <v>3.9999999999999993E+37</v>
      </c>
      <c r="I17">
        <f>VLOOKUP($G17,'EV of Far Future'!$K$3:$N$10,3,FALSE)</f>
        <v>3.5212165842895158</v>
      </c>
      <c r="L17" s="4" t="s">
        <v>74</v>
      </c>
      <c r="M17">
        <f>VLOOKUP($G17,'EV of Far Future'!$K$3:$N$10,2,FALSE)</f>
        <v>3.9999999999999993E+37</v>
      </c>
      <c r="N17">
        <f>VLOOKUP($G17,'EV of Far Future'!$K$3:$N$10,3,FALSE)</f>
        <v>3.5212165842895158</v>
      </c>
    </row>
    <row r="18" spans="1:14">
      <c r="A18" t="s">
        <v>235</v>
      </c>
      <c r="G18" s="4" t="s">
        <v>84</v>
      </c>
      <c r="H18">
        <f>1/factory_farmed_animals</f>
        <v>5.0000000000000002E-11</v>
      </c>
      <c r="I18">
        <v>0</v>
      </c>
      <c r="L18" s="4" t="s">
        <v>84</v>
      </c>
      <c r="M18">
        <f>1/factory_farmed_animals</f>
        <v>5.0000000000000002E-11</v>
      </c>
      <c r="N18">
        <v>0</v>
      </c>
    </row>
    <row r="19" spans="1:14">
      <c r="G19" s="4" t="s">
        <v>121</v>
      </c>
      <c r="H19">
        <f>$D$8</f>
        <v>626.99282292543035</v>
      </c>
      <c r="I19">
        <f>$E$8</f>
        <v>0.54378773604345199</v>
      </c>
      <c r="L19" s="4" t="s">
        <v>121</v>
      </c>
      <c r="M19">
        <f>$D$8</f>
        <v>626.99282292543035</v>
      </c>
      <c r="N19">
        <f>$E$8</f>
        <v>0.54378773604345199</v>
      </c>
    </row>
    <row r="20" spans="1:14">
      <c r="G20" s="28" t="s">
        <v>60</v>
      </c>
      <c r="H20" s="26">
        <f>PRODUCT(H15:H19)</f>
        <v>2.8089278467059277E+28</v>
      </c>
      <c r="I20" s="26">
        <f>SUM(I15:I19)</f>
        <v>4.0650043203329673</v>
      </c>
      <c r="L20" s="28" t="s">
        <v>60</v>
      </c>
      <c r="M20" s="26">
        <f>-PRODUCT(M15:M19)</f>
        <v>-1.123571138682371E+28</v>
      </c>
      <c r="N20" s="26">
        <f>SUM(N15:N19)</f>
        <v>4.0650043203329673</v>
      </c>
    </row>
    <row r="21" spans="1:14">
      <c r="G21" s="4"/>
      <c r="H21" s="4"/>
      <c r="L21" s="4"/>
      <c r="M21" s="4"/>
    </row>
    <row r="22" spans="1:14">
      <c r="A22" s="30" t="s">
        <v>107</v>
      </c>
      <c r="B22" s="5"/>
      <c r="G22" s="4"/>
      <c r="H22" s="38"/>
      <c r="L22" s="4"/>
      <c r="M22" s="38"/>
    </row>
    <row r="23" spans="1:14">
      <c r="A23" s="30" t="s">
        <v>108</v>
      </c>
      <c r="B23" s="5" t="str">
        <f>LognormPosterior(mu_factory_farming,sigma_factory_farming,B14:C17)</f>
        <v>disabled</v>
      </c>
      <c r="G23" s="1" t="s">
        <v>103</v>
      </c>
      <c r="L23" s="1" t="s">
        <v>106</v>
      </c>
    </row>
    <row r="24" spans="1:14">
      <c r="B24" s="5" t="str">
        <f>LognormPosterior(mu_factory_farming,sigma_factory_farming,B15:C15)</f>
        <v>disabled</v>
      </c>
      <c r="H24" t="s">
        <v>2</v>
      </c>
      <c r="I24" t="s">
        <v>34</v>
      </c>
      <c r="M24" t="s">
        <v>2</v>
      </c>
      <c r="N24" t="s">
        <v>34</v>
      </c>
    </row>
    <row r="25" spans="1:14">
      <c r="B25" s="5" t="str">
        <f>LognormPosterior(mu_factory_farming,sigma_factory_farming,B16:C16)</f>
        <v>disabled</v>
      </c>
      <c r="G25" t="s">
        <v>93</v>
      </c>
      <c r="H25">
        <f>VLOOKUP($G25,'EV of Far Future'!$O$3:$P$10,2,FALSE)</f>
        <v>0.22399999999999998</v>
      </c>
      <c r="I25">
        <v>0</v>
      </c>
      <c r="L25" t="s">
        <v>93</v>
      </c>
      <c r="M25">
        <f>VLOOKUP($G25,'EV of Far Future'!$O$3:$P$10,2,FALSE)</f>
        <v>0.22399999999999998</v>
      </c>
      <c r="N25">
        <v>0</v>
      </c>
    </row>
    <row r="26" spans="1:14">
      <c r="B26" s="5" t="str">
        <f>LognormPosterior(mu_factory_farming,sigma_factory_farming,B17:C17)</f>
        <v>disabled</v>
      </c>
      <c r="C26" s="4"/>
      <c r="D26" s="4"/>
      <c r="G26" s="4" t="s">
        <v>88</v>
      </c>
      <c r="H26" s="2">
        <v>0.05</v>
      </c>
      <c r="I26">
        <v>0</v>
      </c>
      <c r="L26" s="4" t="s">
        <v>105</v>
      </c>
      <c r="M26" s="2">
        <v>0.01</v>
      </c>
      <c r="N26">
        <v>0</v>
      </c>
    </row>
    <row r="27" spans="1:14">
      <c r="B27" s="5"/>
      <c r="D27" s="4"/>
      <c r="G27" s="4" t="s">
        <v>75</v>
      </c>
      <c r="H27">
        <f>VLOOKUP($G27,'EV of Far Future'!$K$3:$N$10,2,FALSE)</f>
        <v>1.2649110640673514E+41</v>
      </c>
      <c r="I27">
        <f>VLOOKUP($G27,'EV of Far Future'!$K$3:$N$10,3,FALSE)</f>
        <v>4.0113686573257059</v>
      </c>
      <c r="L27" s="4" t="s">
        <v>75</v>
      </c>
      <c r="M27">
        <f>VLOOKUP($G27,'EV of Far Future'!$K$3:$N$10,2,FALSE)</f>
        <v>1.2649110640673514E+41</v>
      </c>
      <c r="N27">
        <f>VLOOKUP($G27,'EV of Far Future'!$K$3:$N$10,3,FALSE)</f>
        <v>4.0113686573257059</v>
      </c>
    </row>
    <row r="28" spans="1:14">
      <c r="B28" s="4"/>
      <c r="D28" s="4"/>
      <c r="G28" s="4" t="s">
        <v>84</v>
      </c>
      <c r="H28">
        <f>1/factory_farmed_animals</f>
        <v>5.0000000000000002E-11</v>
      </c>
      <c r="I28">
        <v>0</v>
      </c>
      <c r="L28" s="4" t="s">
        <v>84</v>
      </c>
      <c r="M28">
        <f>1/factory_farmed_animals</f>
        <v>5.0000000000000002E-11</v>
      </c>
      <c r="N28">
        <v>0</v>
      </c>
    </row>
    <row r="29" spans="1:14">
      <c r="D29" s="4"/>
      <c r="G29" s="4" t="s">
        <v>121</v>
      </c>
      <c r="H29">
        <f>$D$8</f>
        <v>626.99282292543035</v>
      </c>
      <c r="I29">
        <f>$E$8</f>
        <v>0.54378773604345199</v>
      </c>
      <c r="L29" s="4" t="s">
        <v>121</v>
      </c>
      <c r="M29">
        <f>$D$8</f>
        <v>626.99282292543035</v>
      </c>
      <c r="N29">
        <f>$E$8</f>
        <v>0.54378773604345199</v>
      </c>
    </row>
    <row r="30" spans="1:14">
      <c r="A30" s="25"/>
      <c r="B30" s="4"/>
      <c r="G30" s="28" t="s">
        <v>60</v>
      </c>
      <c r="H30" s="26">
        <f>PRODUCT(H25:H29)</f>
        <v>4.4413048893315116E+31</v>
      </c>
      <c r="I30" s="26">
        <f>SUM(I25:I29)</f>
        <v>4.5551563933691579</v>
      </c>
      <c r="L30" s="28" t="s">
        <v>60</v>
      </c>
      <c r="M30" s="26">
        <f>-PRODUCT(M25:M29)</f>
        <v>-8.8826097786630231E+30</v>
      </c>
      <c r="N30" s="26">
        <f>SUM(N25:N29)</f>
        <v>4.5551563933691579</v>
      </c>
    </row>
    <row r="31" spans="1:14">
      <c r="A31" s="4"/>
      <c r="B31" s="4"/>
      <c r="G31" s="4"/>
      <c r="H31" s="4"/>
      <c r="L31" s="4"/>
      <c r="M31" s="4"/>
    </row>
    <row r="32" spans="1:14">
      <c r="A32" s="4"/>
      <c r="B32" s="4"/>
      <c r="G32" s="4"/>
      <c r="H32" s="38"/>
      <c r="L32" s="4"/>
      <c r="M32" s="38"/>
    </row>
    <row r="33" spans="7:14">
      <c r="G33" s="1" t="s">
        <v>98</v>
      </c>
      <c r="L33" s="1" t="s">
        <v>192</v>
      </c>
    </row>
    <row r="34" spans="7:14">
      <c r="H34" t="s">
        <v>2</v>
      </c>
      <c r="I34" t="s">
        <v>34</v>
      </c>
      <c r="M34" t="s">
        <v>2</v>
      </c>
      <c r="N34" t="s">
        <v>34</v>
      </c>
    </row>
    <row r="35" spans="7:14">
      <c r="G35" t="s">
        <v>94</v>
      </c>
      <c r="H35">
        <f>VLOOKUP($G35,'EV of Far Future'!$O$3:$P$10,2,FALSE)</f>
        <v>0.16799999999999998</v>
      </c>
      <c r="I35">
        <v>0</v>
      </c>
      <c r="L35" t="s">
        <v>94</v>
      </c>
      <c r="M35">
        <f>VLOOKUP($G35,'EV of Far Future'!$O$3:$P$10,2,FALSE)</f>
        <v>0.16799999999999998</v>
      </c>
      <c r="N35">
        <v>0</v>
      </c>
    </row>
    <row r="36" spans="7:14">
      <c r="G36" s="4" t="s">
        <v>88</v>
      </c>
      <c r="H36" s="2">
        <v>0.1</v>
      </c>
      <c r="I36">
        <v>0</v>
      </c>
      <c r="L36" s="4" t="s">
        <v>105</v>
      </c>
      <c r="M36" s="2">
        <v>0.01</v>
      </c>
      <c r="N36">
        <v>0</v>
      </c>
    </row>
    <row r="37" spans="7:14">
      <c r="G37" s="4" t="s">
        <v>76</v>
      </c>
      <c r="H37">
        <f>VLOOKUP($G37,'EV of Far Future'!$K$3:$N$10,2,FALSE)</f>
        <v>3.9999999999999985E+39</v>
      </c>
      <c r="I37">
        <f>VLOOKUP($G37,'EV of Far Future'!$K$3:$N$10,3,FALSE)</f>
        <v>5.1818248764342734</v>
      </c>
      <c r="L37" s="4" t="s">
        <v>76</v>
      </c>
      <c r="M37">
        <f>VLOOKUP($G37,'EV of Far Future'!$K$3:$N$10,2,FALSE)</f>
        <v>3.9999999999999985E+39</v>
      </c>
      <c r="N37">
        <f>VLOOKUP($G37,'EV of Far Future'!$K$3:$N$10,3,FALSE)</f>
        <v>5.1818248764342734</v>
      </c>
    </row>
    <row r="38" spans="7:14">
      <c r="G38" s="4" t="s">
        <v>84</v>
      </c>
      <c r="H38">
        <f>1/factory_farmed_animals</f>
        <v>5.0000000000000002E-11</v>
      </c>
      <c r="I38">
        <v>0</v>
      </c>
      <c r="L38" s="4" t="s">
        <v>84</v>
      </c>
      <c r="M38">
        <f>1/factory_farmed_animals</f>
        <v>5.0000000000000002E-11</v>
      </c>
      <c r="N38">
        <v>0</v>
      </c>
    </row>
    <row r="39" spans="7:14">
      <c r="G39" s="4" t="s">
        <v>121</v>
      </c>
      <c r="H39">
        <f>$D$8</f>
        <v>626.99282292543035</v>
      </c>
      <c r="I39">
        <f>$E$8</f>
        <v>0.54378773604345199</v>
      </c>
      <c r="L39" s="4" t="s">
        <v>121</v>
      </c>
      <c r="M39">
        <f>$D$8</f>
        <v>626.99282292543035</v>
      </c>
      <c r="N39">
        <f>$E$8</f>
        <v>0.54378773604345199</v>
      </c>
    </row>
    <row r="40" spans="7:14">
      <c r="G40" s="28" t="s">
        <v>60</v>
      </c>
      <c r="H40" s="26">
        <f>PRODUCT(H35:H39)</f>
        <v>2.1066958850294454E+30</v>
      </c>
      <c r="I40" s="26">
        <f>SUM(I35:I39)</f>
        <v>5.7256126124777253</v>
      </c>
      <c r="L40" s="28" t="s">
        <v>60</v>
      </c>
      <c r="M40" s="26">
        <f>-PRODUCT(M35:M39)</f>
        <v>-2.1066958850294449E+29</v>
      </c>
      <c r="N40" s="26">
        <f>SUM(N35:N39)</f>
        <v>5.7256126124777253</v>
      </c>
    </row>
    <row r="45" spans="7:14">
      <c r="G45" s="4"/>
      <c r="H45" s="4"/>
      <c r="L45" s="4"/>
      <c r="M45" s="4"/>
    </row>
    <row r="46" spans="7:14">
      <c r="G46" s="4"/>
      <c r="H46" s="38"/>
      <c r="L46" s="4"/>
      <c r="M46" s="38"/>
    </row>
    <row r="47" spans="7:14">
      <c r="H47" s="39"/>
      <c r="M47" s="39"/>
    </row>
    <row r="48" spans="7:14">
      <c r="M48" s="3"/>
    </row>
    <row r="50" spans="6:16">
      <c r="I50" s="3"/>
    </row>
    <row r="52" spans="6:16">
      <c r="F52">
        <v>4000</v>
      </c>
      <c r="G52">
        <v>1</v>
      </c>
      <c r="H52" t="str">
        <f>LognormPosterior(mu_factory_farming,sigma_factory_farming,F52:G52)</f>
        <v>disabled</v>
      </c>
      <c r="I52">
        <v>11</v>
      </c>
      <c r="J52">
        <v>0.5</v>
      </c>
      <c r="K52" t="str">
        <f>LognormPosterior(mu_factory_farming,sigma_factory_farming,I52:J52)</f>
        <v>disabled</v>
      </c>
      <c r="M52">
        <v>4000</v>
      </c>
      <c r="N52">
        <v>1</v>
      </c>
      <c r="O52" t="str">
        <f>LognormPosterior(mu_factory_farming,sigma_factory_farming,M52:N52)</f>
        <v>disabled</v>
      </c>
    </row>
    <row r="53" spans="6:16">
      <c r="F53">
        <v>4000</v>
      </c>
      <c r="G53">
        <v>1</v>
      </c>
      <c r="I53" s="43">
        <v>11</v>
      </c>
      <c r="J53">
        <v>0.5</v>
      </c>
      <c r="M53">
        <v>8000</v>
      </c>
      <c r="N53">
        <v>1</v>
      </c>
      <c r="O53" t="str">
        <f>LognormPosterior(mu_factory_farming,sigma_factory_farming,M53:N53)</f>
        <v>disabled</v>
      </c>
      <c r="P53">
        <v>22.06</v>
      </c>
    </row>
    <row r="54" spans="6:16">
      <c r="F54">
        <v>4000</v>
      </c>
      <c r="G54">
        <v>1</v>
      </c>
      <c r="I54" s="43">
        <v>11</v>
      </c>
      <c r="J54">
        <v>0.5</v>
      </c>
      <c r="M54">
        <v>8000</v>
      </c>
      <c r="N54">
        <v>0.56999999999999995</v>
      </c>
      <c r="O54" t="str">
        <f>LognormPosterior(mu_factory_farming,sigma_factory_farming,M54:N54)</f>
        <v>disabled</v>
      </c>
      <c r="P54">
        <v>59.33</v>
      </c>
    </row>
    <row r="55" spans="6:16">
      <c r="F55">
        <v>4000</v>
      </c>
      <c r="G55">
        <v>1</v>
      </c>
      <c r="I55" s="43">
        <v>11</v>
      </c>
      <c r="J55">
        <v>0.5</v>
      </c>
    </row>
    <row r="56" spans="6:16">
      <c r="F56">
        <v>4000</v>
      </c>
      <c r="G56">
        <v>1</v>
      </c>
      <c r="I56" s="43">
        <v>11</v>
      </c>
      <c r="J56">
        <v>0.5</v>
      </c>
    </row>
    <row r="58" spans="6:16">
      <c r="F58" t="str">
        <f>LognormPosterior(mu_factory_farming,sigma_factory_farming,F52:G53)</f>
        <v>disabled</v>
      </c>
      <c r="G58">
        <v>58.93</v>
      </c>
      <c r="I58" t="str">
        <f>LognormPosterior(mu_factory_farming,sigma_factory_farming,I52:J53)</f>
        <v>disabled</v>
      </c>
      <c r="J58">
        <v>6.0650000000000004</v>
      </c>
    </row>
    <row r="59" spans="6:16">
      <c r="F59" t="str">
        <f>LognormPosterior(mu_factory_farming,sigma_factory_farming,F52:G54)</f>
        <v>disabled</v>
      </c>
      <c r="G59">
        <v>131.93</v>
      </c>
      <c r="I59" t="str">
        <f>LognormPosterior(mu_factory_farming,sigma_factory_farming,I52:J54)</f>
        <v>disabled</v>
      </c>
      <c r="J59">
        <v>7.48</v>
      </c>
    </row>
    <row r="60" spans="6:16">
      <c r="F60" t="str">
        <f>LognormPosterior(mu_factory_farming,sigma_factory_farming,F52:G55)</f>
        <v>disabled</v>
      </c>
      <c r="G60">
        <v>218.87</v>
      </c>
      <c r="I60" t="str">
        <f>LognormPosterior(mu_factory_farming,sigma_factory_farming,I52:J55)</f>
        <v>disabled</v>
      </c>
      <c r="J60">
        <v>7.9210000000000003</v>
      </c>
    </row>
    <row r="61" spans="6:16">
      <c r="F61" t="str">
        <f>LognormPosterior(mu_factory_farming,sigma_factory_farming,F52:G56)</f>
        <v>disabled</v>
      </c>
      <c r="G61">
        <v>335.84</v>
      </c>
      <c r="I61" t="str">
        <f>LognormPosterior(mu_factory_farming,sigma_factory_farming,I52:J56)</f>
        <v>disabled</v>
      </c>
      <c r="J61">
        <v>8.7710000000000008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21"/>
  <sheetViews>
    <sheetView workbookViewId="0">
      <selection activeCell="H19" sqref="H19"/>
    </sheetView>
  </sheetViews>
  <sheetFormatPr baseColWidth="10" defaultRowHeight="15" x14ac:dyDescent="0"/>
  <cols>
    <col min="1" max="1" width="21.6640625" customWidth="1"/>
    <col min="2" max="3" width="12.1640625" bestFit="1" customWidth="1"/>
    <col min="8" max="8" width="21.6640625" customWidth="1"/>
    <col min="9" max="9" width="12.1640625" bestFit="1" customWidth="1"/>
    <col min="11" max="11" width="12.1640625" bestFit="1" customWidth="1"/>
  </cols>
  <sheetData>
    <row r="1" spans="1:12" ht="20">
      <c r="A1" s="7" t="s">
        <v>196</v>
      </c>
      <c r="H1" s="7" t="s">
        <v>179</v>
      </c>
    </row>
    <row r="2" spans="1:12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  <c r="K2" t="s">
        <v>0</v>
      </c>
      <c r="L2" t="s">
        <v>1</v>
      </c>
    </row>
    <row r="3" spans="1:12">
      <c r="A3" s="29" t="s">
        <v>197</v>
      </c>
      <c r="B3" s="15">
        <v>0.2</v>
      </c>
      <c r="C3" s="15">
        <v>2</v>
      </c>
      <c r="D3">
        <f>GEOMEAN(B3,C3)</f>
        <v>0.63245553203367588</v>
      </c>
      <c r="E3">
        <f>LogVariance(B3,C3)</f>
        <v>0.39015207303618948</v>
      </c>
      <c r="H3" t="s">
        <v>201</v>
      </c>
      <c r="I3">
        <f>D3*D8*D9</f>
        <v>1.4907119849998599E-3</v>
      </c>
      <c r="J3">
        <f>E3+E8+E9</f>
        <v>0.50759954989056688</v>
      </c>
      <c r="K3">
        <f>10^_xlfn.NORM.INV(0.1,LOG10(I3),J3)</f>
        <v>3.3333333333333305E-4</v>
      </c>
      <c r="L3">
        <f>10^_xlfn.NORM.INV(0.9,LOG10(I3),J3)</f>
        <v>6.6666666666666628E-3</v>
      </c>
    </row>
    <row r="4" spans="1:12">
      <c r="A4" s="29" t="s">
        <v>198</v>
      </c>
      <c r="B4" s="15">
        <v>0.1</v>
      </c>
      <c r="C4" s="15">
        <v>0.4</v>
      </c>
      <c r="D4">
        <f>GEOMEAN(B4,C4)</f>
        <v>0.2</v>
      </c>
      <c r="E4">
        <f>LogVariance(B4,C4)</f>
        <v>0.23489495370875477</v>
      </c>
      <c r="H4" t="s">
        <v>202</v>
      </c>
      <c r="I4">
        <f>D4*D8*D9</f>
        <v>4.7140452079103175E-4</v>
      </c>
      <c r="J4">
        <f>E4+E8+E9</f>
        <v>0.35234243056313214</v>
      </c>
      <c r="K4">
        <f>10^_xlfn.NORM.INV(0.1,LOG10(I4),J4)</f>
        <v>1.666666666666665E-4</v>
      </c>
      <c r="L4">
        <f>10^_xlfn.NORM.INV(0.9,LOG10(I4),J4)</f>
        <v>1.3333333333333324E-3</v>
      </c>
    </row>
    <row r="5" spans="1:12">
      <c r="A5" s="29" t="s">
        <v>199</v>
      </c>
      <c r="B5" s="15">
        <v>10</v>
      </c>
      <c r="C5" s="15">
        <v>10</v>
      </c>
      <c r="H5" t="s">
        <v>205</v>
      </c>
      <c r="I5">
        <f>'Veg Ads'!M8</f>
        <v>8.3274466674965845E+26</v>
      </c>
      <c r="J5">
        <f>'Veg Ads'!N8</f>
        <v>3.3748522472967784</v>
      </c>
    </row>
    <row r="6" spans="1:12">
      <c r="A6" s="29" t="s">
        <v>200</v>
      </c>
      <c r="B6" s="15">
        <v>30000</v>
      </c>
      <c r="C6" s="15">
        <v>60000</v>
      </c>
      <c r="H6" s="28" t="s">
        <v>206</v>
      </c>
      <c r="I6" s="26">
        <f>I5*(1+K3)</f>
        <v>8.3302224830524159E+26</v>
      </c>
      <c r="J6" s="26">
        <f>J5*(1-K4)</f>
        <v>3.3742897719222289</v>
      </c>
    </row>
    <row r="7" spans="1:12">
      <c r="A7" s="29" t="s">
        <v>223</v>
      </c>
      <c r="B7" s="15">
        <v>500</v>
      </c>
      <c r="C7" s="15">
        <v>5000</v>
      </c>
      <c r="D7">
        <f>GEOMEAN(B7,C7)</f>
        <v>1581.1388300841897</v>
      </c>
      <c r="E7">
        <f>LogVariance(B7,C7)</f>
        <v>0.39015207303618948</v>
      </c>
      <c r="H7" s="28" t="s">
        <v>207</v>
      </c>
      <c r="I7" s="26">
        <f>I5*(1+I3)</f>
        <v>8.3398604920482682E+26</v>
      </c>
      <c r="J7" s="26">
        <f>J5*(1-I4)</f>
        <v>3.3732613266904008</v>
      </c>
    </row>
    <row r="8" spans="1:12">
      <c r="A8" s="4" t="s">
        <v>203</v>
      </c>
      <c r="B8">
        <f>1/C5</f>
        <v>0.1</v>
      </c>
      <c r="C8">
        <f>1/B5</f>
        <v>0.1</v>
      </c>
      <c r="D8">
        <f>GEOMEAN(B8,C8)</f>
        <v>0.1</v>
      </c>
      <c r="E8">
        <f>LogVariance(B5,C5)</f>
        <v>0</v>
      </c>
      <c r="H8" s="28" t="s">
        <v>208</v>
      </c>
      <c r="I8" s="26">
        <f>I5*(1+L3)</f>
        <v>8.3829629786132283E+26</v>
      </c>
      <c r="J8" s="26">
        <f>J5*(1-L4)</f>
        <v>3.3703524443003827</v>
      </c>
    </row>
    <row r="9" spans="1:12">
      <c r="A9" s="4" t="s">
        <v>171</v>
      </c>
      <c r="B9">
        <f>1000/C6</f>
        <v>1.6666666666666666E-2</v>
      </c>
      <c r="C9">
        <f>1000/B6</f>
        <v>3.3333333333333333E-2</v>
      </c>
      <c r="D9">
        <f>GEOMEAN(B9,C9)</f>
        <v>2.3570226039551584E-2</v>
      </c>
      <c r="E9">
        <f>LogVariance(B9,C9)</f>
        <v>0.11744747685437738</v>
      </c>
      <c r="H9" s="4" t="s">
        <v>215</v>
      </c>
      <c r="I9">
        <f>I6*$D$7</f>
        <v>1.317123823119451E+30</v>
      </c>
      <c r="J9" s="4">
        <f>J6+$E$7</f>
        <v>3.7644418449584185</v>
      </c>
    </row>
    <row r="10" spans="1:12">
      <c r="H10" s="4" t="s">
        <v>217</v>
      </c>
      <c r="I10">
        <f t="shared" ref="I10:I11" si="0">I7*$D$7</f>
        <v>1.3186477261462553E+30</v>
      </c>
      <c r="J10" s="4">
        <f t="shared" ref="J10:J11" si="1">J7+$E$7</f>
        <v>3.7634133997265904</v>
      </c>
    </row>
    <row r="11" spans="1:12">
      <c r="H11" s="4" t="s">
        <v>216</v>
      </c>
      <c r="I11">
        <f t="shared" si="0"/>
        <v>1.3254628276643595E+30</v>
      </c>
      <c r="J11" s="4">
        <f t="shared" si="1"/>
        <v>3.7605045173365723</v>
      </c>
    </row>
    <row r="12" spans="1:12">
      <c r="H12" s="33" t="s">
        <v>204</v>
      </c>
      <c r="I12" s="34" t="e">
        <f>LognormPosterior(mu,sigma,I5,J5)</f>
        <v>#VALUE!</v>
      </c>
    </row>
    <row r="13" spans="1:12">
      <c r="H13" s="33" t="s">
        <v>209</v>
      </c>
      <c r="I13" s="34" t="e">
        <f>LognormPosterior(mu,sigma,I9,J9)</f>
        <v>#VALUE!</v>
      </c>
    </row>
    <row r="14" spans="1:12">
      <c r="H14" s="33" t="s">
        <v>210</v>
      </c>
      <c r="I14" s="34" t="e">
        <f>LognormPosterior(mu,sigma,I10,J10)</f>
        <v>#VALUE!</v>
      </c>
    </row>
    <row r="15" spans="1:12">
      <c r="H15" s="33" t="s">
        <v>211</v>
      </c>
      <c r="I15" s="34" t="e">
        <f>LognormPosterior(mu,sigma,I11,J11)</f>
        <v>#VALUE!</v>
      </c>
    </row>
    <row r="16" spans="1:12">
      <c r="H16" s="30" t="s">
        <v>212</v>
      </c>
      <c r="I16" s="5" t="e">
        <f>I13-$I$12</f>
        <v>#VALUE!</v>
      </c>
    </row>
    <row r="17" spans="8:9">
      <c r="H17" s="30" t="s">
        <v>213</v>
      </c>
      <c r="I17" s="5" t="e">
        <f>I14-$I$12</f>
        <v>#VALUE!</v>
      </c>
    </row>
    <row r="18" spans="8:9">
      <c r="H18" s="30" t="s">
        <v>214</v>
      </c>
      <c r="I18" s="5" t="e">
        <f>I15-$I$12</f>
        <v>#VALUE!</v>
      </c>
    </row>
    <row r="19" spans="8:9">
      <c r="H19" s="4"/>
      <c r="I19" s="37"/>
    </row>
    <row r="20" spans="8:9">
      <c r="H20" s="4"/>
      <c r="I20" s="37"/>
    </row>
    <row r="21" spans="8:9">
      <c r="H21" s="4"/>
      <c r="I21" s="37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P32"/>
  <sheetViews>
    <sheetView topLeftCell="B1" workbookViewId="0">
      <selection activeCell="N5" sqref="N5"/>
    </sheetView>
  </sheetViews>
  <sheetFormatPr baseColWidth="10" defaultRowHeight="15" x14ac:dyDescent="0"/>
  <cols>
    <col min="1" max="1" width="21.6640625" customWidth="1"/>
    <col min="2" max="2" width="12.83203125" bestFit="1" customWidth="1"/>
    <col min="3" max="3" width="12.1640625" bestFit="1" customWidth="1"/>
    <col min="4" max="4" width="12.83203125" bestFit="1" customWidth="1"/>
    <col min="7" max="7" width="21.6640625" customWidth="1"/>
    <col min="10" max="10" width="12.1640625" bestFit="1" customWidth="1"/>
    <col min="13" max="13" width="21.6640625" customWidth="1"/>
    <col min="14" max="15" width="12.1640625" bestFit="1" customWidth="1"/>
  </cols>
  <sheetData>
    <row r="1" spans="1:16">
      <c r="A1" s="1" t="s">
        <v>137</v>
      </c>
      <c r="B1" t="s">
        <v>161</v>
      </c>
      <c r="G1" s="1" t="s">
        <v>134</v>
      </c>
      <c r="H1" t="s">
        <v>161</v>
      </c>
      <c r="M1" s="1" t="s">
        <v>141</v>
      </c>
    </row>
    <row r="2" spans="1:16">
      <c r="B2" t="s">
        <v>0</v>
      </c>
      <c r="C2" t="s">
        <v>1</v>
      </c>
      <c r="D2" t="s">
        <v>2</v>
      </c>
      <c r="E2" t="s">
        <v>3</v>
      </c>
      <c r="H2" t="s">
        <v>0</v>
      </c>
      <c r="I2" t="s">
        <v>1</v>
      </c>
      <c r="J2" t="s">
        <v>2</v>
      </c>
      <c r="K2" t="s">
        <v>3</v>
      </c>
      <c r="N2" t="s">
        <v>2</v>
      </c>
      <c r="O2" t="s">
        <v>3</v>
      </c>
    </row>
    <row r="3" spans="1:16">
      <c r="A3" s="29" t="s">
        <v>129</v>
      </c>
      <c r="B3" s="15">
        <v>70000</v>
      </c>
      <c r="C3" s="15">
        <v>150000</v>
      </c>
      <c r="G3" s="29" t="s">
        <v>123</v>
      </c>
      <c r="H3" s="15">
        <v>0.03</v>
      </c>
      <c r="I3" s="15">
        <v>0.3</v>
      </c>
      <c r="J3">
        <f>GEOMEAN(H3,I3)</f>
        <v>9.4868329805051374E-2</v>
      </c>
      <c r="K3">
        <f>LogVariance(H3,I3)</f>
        <v>0.39015207303618948</v>
      </c>
      <c r="L3" t="s">
        <v>159</v>
      </c>
      <c r="M3" t="s">
        <v>138</v>
      </c>
      <c r="N3">
        <f>J20</f>
        <v>3.6184352162446591E-7</v>
      </c>
      <c r="O3">
        <f>K20</f>
        <v>1.8154605085273885</v>
      </c>
    </row>
    <row r="4" spans="1:16">
      <c r="A4" t="s">
        <v>130</v>
      </c>
      <c r="B4">
        <f>1/C3</f>
        <v>6.6666666666666666E-6</v>
      </c>
      <c r="C4">
        <f>1/B3</f>
        <v>1.4285714285714285E-5</v>
      </c>
      <c r="D4">
        <f>GEOMEAN(B4,C4)</f>
        <v>9.7590007294853309E-6</v>
      </c>
      <c r="E4">
        <f>LogVariance(B4,C4)</f>
        <v>0.12913769056993327</v>
      </c>
      <c r="G4" s="29" t="s">
        <v>127</v>
      </c>
      <c r="H4" s="15">
        <v>200</v>
      </c>
      <c r="I4" s="15">
        <v>10000</v>
      </c>
      <c r="M4" s="4" t="s">
        <v>136</v>
      </c>
      <c r="N4">
        <f>'EV of Far Future'!L8</f>
        <v>3.1622776601683793E+48</v>
      </c>
      <c r="O4">
        <f>'EV of Far Future'!M8</f>
        <v>4.3113686573257057</v>
      </c>
      <c r="P4" t="s">
        <v>249</v>
      </c>
    </row>
    <row r="5" spans="1:16">
      <c r="G5" s="4" t="s">
        <v>169</v>
      </c>
      <c r="H5">
        <f>1/I4</f>
        <v>1E-4</v>
      </c>
      <c r="I5">
        <f>1/H4</f>
        <v>5.0000000000000001E-3</v>
      </c>
      <c r="J5">
        <f>GEOMEAN(H5,I5)</f>
        <v>7.0710678118654762E-4</v>
      </c>
      <c r="K5">
        <f>LogVariance(H5,I5)</f>
        <v>0.66285666921800146</v>
      </c>
      <c r="M5" s="28" t="s">
        <v>60</v>
      </c>
      <c r="N5" s="26" t="str">
        <f>WriteArray(ProductLognormDists(N3:O4))</f>
        <v>0,2.73142462550872E-121,4.33411076430333E-121,1.03110308888739E-120,2.44775708285722E-120,5.79827464231413E-120,1.37054588679348E-119,3.23260622557378E-119,7.60810593846865E-119,1.78675463067838E-118,4.18714497678926E-118,9.7911994305066E-118,2.28464492103941E-117,5.31944773036155E-117,1.23588910037649E-116,2.86521809472913E-116,6.62828541721731E-116,1.53006597334129E-115,3.52439569489405E-115,8.10074247693213E-115,1.85793604764138E-114,4.25209128716285E-114,9.7104732669713E-114,2.21281103686742E-113,5.03169714421492E-113,1.14169739251869E-112,2.58496101508553E-112,5.84014434491212E-112,1.31661829055116E-111,2.96184980621988E-111,6.64864511800523E-111,1.48925948531445E-110,3.32870133622396E-110,7.42414852658886E-110,1.65228885605909E-109,3.66938205696399E-109,8.13144385778669E-109,1.79808541689316E-108,3.96753738902926E-108,8.73574483785296E-108,1.91931917222906E-107,4.20787626248285E-107,9.20549968340157E-107,2.00955813824866E-106,4.37746556786121E-106,9.51511441648495E-106,2.0638330511854E-105,4.46688266885187E-105,9.64726313880787E-105,2.07909085342978E-104,4.47108311988007E-104,9.59449505489542E-104,2.05447934979475E-103,4.38987234154408E-103,9.35993071791323E-103,1.99142608271846E-102,4.22791985185052E-102,8.95695692137929E-102,1.89350126457926E-101,3.99431471602533E-101,8.40796167482916E-101,1.76608306827033E-100,3.7017210794337E-100,7.74227553578616E-100,1.61586891942176e-99,3.36524289351606e-99,6.99358248771749e-99,1.45029450694702e-98,3.00113918530174e-98,6.19711750954009e-98,1.27693035479628e-97,2.62554101576217e-97,5.38697244395538e-97,1.1029232437805e-96,2.25330850071179e-96,4.59378955917895e-96,9.34537778711808e-96,1.89713486966889e-95,3.84304425589742e-95,7.76834780123087e-95,1.56696140157173e-94,3.15402090490027e-94,6.33501637074893e-94,1.26972040525827e-93,2.53948658438362e-93,5.06829050984837e-93,1.00938099457296e-92,2.0059822616429e-92,3.97811832960452e-92,7.8724018713969e-92,1.55459073858967e-91,3.06340540374697e-91,6.02383089563514e-91,1.18201039397202e-90,2.31446372367779e-90,4.52231028948649e-90,8.81762401212718e-90,1.71563297290768e-89,3.33103454251969e-89,6.45381025653933e-89,1.24777396854811e-88,2.40734699270273e-88,4.63473481120557e-88,8.90419977874972e-88,1.70706124388727e-87,3.26578740403986e-87,6.2346448937656e-87,1.18773882553784e-86,2.25795884150547e-86,4.28348601319297e-86,8.10896419128795e-86,1.53186520204477e-85,2.88777469544778e-85,5.4324295897858e-85,1.01979625751772e-84,1.91038853020581e-84,3.57124340121125e-84,6.66203867089775e-84,1.24018163026351e-83,2.30385101845377e-83,4.27085626334025e-83,7.90073525836613e-83,1.45852066312795e-82,2.68689519918823e-82,4.93949424812141e-82,9.06167364541335e-82,1.65893395756878e-81,3.03071504166279e-81,5.52531484163327e-81,1.00523007700161e-80,1.82503437762233e-80,3.30654454216413e-80,5.97827778731786e-80,1.07864077833331e-79,1.94212538175436e-79,3.48961926424717e-79,6.2571974319634e-79,1.11965285688098e-78,1.99935241168935e-78,3.56285746344849e-78,6.33594519431786e-78,1.12442108874113e-77,1.99136978016324e-77,3.5194999880497e-77,6.20750287449401e-77,1.09259847307703e-76,1.91916694454771e-76,3.36414144229317e-76,5.8849923309946e-76,1.02737399159324e-75,1.78987667848534e-75,3.1119342120382e-75,5.3994727692101e-75,9.34946722575693e-75,1.61561492910502e-74,2.78615503457201e-74,4.79501626805967e-74,8.23556215999317e-74,1.41161336926221e-73,2.41467470215033e-73,4.12214136453564e-73,7.02278789272217e-73,1.19404227126924e-72,2.02606982289121e-72,3.43095296465169e-72,5.79831603598016e-72,9.77950546887079e-72,1.64611793388118e-71,2.76525513765183e-71,4.63597264382091e-71,7.75673798942038e-71,1.29524285237083e-70,2.15853132675893e-70,3.59006110134062e-70,5.95913110321186e-70,9.87195027389808e-70,1.6321618407307e-69,2.693178049405e-69,4.43516581200813e-69,7.28952094574823e-69,1.19573200118179e-68,1.95756358795366e-68,3.1985011513349e-68,5.2158755182993e-68,8.4890576921886e-68,1.37893825579838e-67,2.23555187746316e-67,3.61726920053837e-67,5.8416377880985e-67,9.41559406494139e-67,1.51468298445528e-66,2.43197058515006e-66,3.89725741978869e-66,6.23341072743947e-66,9.95084509768314e-66,1.58548986835582e-65,2.52137820071629e-65,4.00207558479073e-65,6.34026080188234e-65,1.00254827390338e-64,1.58227370351745e-64,2.49251570029638e-64,3.91900680840924e-64,6.15032155271039e-64,9.63396798539628e-64,1.50626036317424e-63,2.35063006576112e-63,3.66150682835718e-63,5.69283611903919e-63,8.83471921041633e-63,1.36852909388461e-62,2.11599445294771e-62,3.26569955889249e-62,5.03084759639598e-62,7.73590905833495e-62,1.18737760270398e-61,1.81918013072323e-61,2.7821079100303e-61,4.24703386613539e-61,6.47162048990743e-61,9.84369180756751e-61,1.49459221455772e-60,2.26521412317147e-60,3.42704450280964e-60,5.17554715720988e-60,7.80226945624532e-60,1.17412916589745e-59,1.76377495720154e-59,2.64487370591082e-59,3.959162090331e-59,5.9161653533318e-59,8.82506882209525e-59,1.31413132016906e-58,1.95345938118071e-58,2.89879188282637e-58,4.2941656091243e-58,6.35026287304563e-58,9.37470968223285e-58,1.3815900502708e-57,2.03262767953997e-57,2.9853534100787e-57,4.37718534198839e-57,6.40703899660528e-57,9.36235279502795e-57,1.36577695417267e-56,1.98904047303302e-56,2.89186769854836e-56,4.19745507331292e-56,6.08230762185579e-56,8.79887654402192e-56,1.27076249465871e-55,1.83223701485017e-55,2.63742894030376e-55,3.79021160356074e-55,5.43790249858451e-55,7.78908265594707e-55,1.11385788017943e-54,1.59024277196575e-54,2.26667280219774e-54,3.22557790290371e-54,4.582695984313e-54,6.50026180107054e-54,9.20530929951266e-54,1.30150269383913e-53,1.83718244010015e-53,2.58917481815872e-53,3.64312144993798e-53,5.11788341461413e-53,7.17815505076265e-53,1.00517620353861e-52,1.40533432622972e-52,1.96167177431403e-52,2.73390470459494e-52,3.80409903502839e-52,5.28485054308986e-52,7.33038970689737e-52,1.01516316070339e-51,1.40365380235433e-51,1.93776203577945e-51,2.67090250013963e-51,3.67564555347335e-51,5.05042618302838e-51,6.92854472562773e-51,9.49022192615262e-51,1.29787175583105e-50,1.77218459834849e-50,2.41606471769501e-50,3.28875283637427e-50,4.46969188000439e-50,6.06524290746679e-50,8.21757417420319e-50,1.11164065752252e-49,1.50145070124123e-49,2.02480909536225e-49,2.72636440680079e-49,3.66531225754926e-49,4.92000711028952e-49,6.59399412381354e-49,8.82388489804118e-49,1.17896232192234e-48,1.57278432183849e-48,2.09492217536863e-48,2.78609807221344e-48,3.69960176803958e-48,4.90505524616644e-48,6.49326956855727e-48,8.58249998916192e-48,1.13264879915352e-47,1.49247828747019e-47,1.96359661245595e-47,2.57945655863745e-47,3.3832651418015e-47,4.43073618086236e-47,5.79359255754529e-47,7.56401457814716e-47,9.86028014851962e-47,1.28339035605508e-46,1.66786552341324e-46,2.16419379971282e-46,2.80391103282098e-46,3.62714881518037e-46,4.68489299392607e-46,6.04181218533525e-46,7.77979386397428e-46,1.00023571674674e-45,1.28401499648871e-45,1.64577843623967e-45,2.10623213026171e-45,2.69137831921305e-45,3.43381558502504e-45,4.37434402003852e-45,5.56394331771021e-45,7.06620599872358e-45,8.96032504464617e-45,1.13447555620491e-44,1.4341694323919e-44,1.81025498036718e-44,2.28146094040965e-44,2.87091508784844e-44,3.60712924627112e-44,4.52519321480483e-44,5.6682192147982e-44,7.08908614481897e-44,8.85254190711657e-44,1.10377325242146e-43,1.37412389147595e-43,1.70807162816635e-43,2.11992473480173e-43,2.62705394505181e-43,3.25051170892254e-43,4.01576862901914e-43,4.95358754495591e-43,6.10105896119011e-43,7.50282518418562e-43,9.21252469577188e-43,1.1294492991948e-42,1.38257614139881e-42,1.68984014476553e-42,2.06222686245778e-42,2.51282075864629e-42,3.05717881272371e-42,3.71376511690666e-42,4.50445537122181e-42,5.4551212879086e-42,6.59630612974022e-42,7.96400392773992e-42,9.60055635636571e-42,1.15556827903474e-41,1.38876607273706e-41,1.66646755332536e-41,1.996636034751e-41,2.38855489710066e-41,2.85302666345981e-41,3.4025985705509e-41,4.05181756103314e-41,4.81751785189473e-41,5.71914446168077e-41,6.77911630628423e-41,8.02323269501659e-41,9.48112727138366e-41,1.11867736414841e-40,1.31790471116004e-40,1.55023471090304e-40,1.82072849794538e-40,2.1351441932359e-40,2.50002019347606e-40,2.9227664323438e-40,3.41176408073634e-40,3.97647413544767e-40,4.62755531895728e-40,5.37699167615505e-40,6.23823020571054e-40,7.22632880325778e-40,8.35811471946699e-40,9.6523536473063e-40,1.11299294483185e-39,1.28140344065988e-39,1.47303697605371e-39,1.69073561056074e-39,1.93763530860902e-39,2.21718875993434e-39,2.53318895231479e-39,2.88979337450827e-39,3.29154870235422e-39,3.74341579439869e-39,4.25079479528564e-39,4.81955011572543e-39,5.45603502735352e-39,6.16711557952916e-39,6.96019351345001e-39,7.843227817283e-39,8.82475453480014e-39,9.91390440977548e-39,1.11204179197178e-38,1.24546572259986e-38,1.39276145437469e-38,1.55509164147179e-38,1.73368233504282e-38,1.92982243019303e-38,2.14486254074226e-38,2.38021324702198e-38,2.63734266281566e-38,2.91777326919761e-38,3.22307796553132e-38,3.55487529130938e-38,3.91482377690511e-38,4.3046153866992e-38,4.72596802447208e-38,5.18061707842795e-38,5.6703059917388e-38,6.19677585404702e-38,6.76175401990907e-38,7.36694177164232e-38,8.01400105637673e-38,8.70454034021739e-38,9.44009963617104e-38,1.0222134776744e-37,1.10520010167173e-37,1.19309360663704e-37,1.28600426701573e-37,1.38402708603273e-37,1.48724000289968e-37,1.59570209754821e-37,1.70945180980499e-37,1.82850519103773e-37,1.95285420726976e-37,2.08246511355819e-37,2.21727692003477e-37,2.35719997039586e-37,2.50211465377937e-37,2.65187027086267e-37,2.80628407464232e-37,2.96514050570142e-37,3.12819064082543e-37,3.29515187258823e-37,3.46570783599719e-37,3.63950859646389e-37,3.81617111126591e-37,3.99527997429844e-37,4.17638845130314e-37,4.35901980992897e-37,4.54266894595505e-37,4.72680430382303e-37,4.91087008632197e-37,5.09428874488552e-37,5.27646373854119e-37,5.45678254614312e-37,5.63461991317002e-37,5.80934131112867e-37,5.98030658451994e-37,6.14687375744663e-37,6.30840296931925e-37,6.46426050679006e-37,6.61382289705957e-37,6.75648102609207e-37,6.89164424407662e-37,7.01874441970911e-37,7.1372399045665e-37,7.2466193690129e-37,7.34640547172577e-37,7.43615832605882e-37,7.5154787280596e-37,7.58401111301978e-37,7.64144620993166e-37,7.68752336612891e-37,7.72203251766403e-37,7.74481578458222e-37,7.75576867413924e-37,7.75484087913247e-37,7.74203666281048e-37,7.71741482624007e-37,7.68108825848036e-37,7.63322307437918e-37,7.57403734920609e-37,7.50379946360975e-37,7.42282607647462e-37,7.33147974710138e-37,7.23016623169155e-37,7.1193314823379e-37,6.99945837956389e-37,6.8710632318852e-37,6.734692077856e-37,6.59091682759088e-37,6.44033128180703e-37,6.28354706700509e-37,6.12118952550033e-37,5.9538935986403e-37,5.78229974071243e-37,5.607049899781e-37,5.42878360002298e-37,5.24813415809047e-37,5.06572506365325e-37,4.88216655160796e-37,4.69805239052833e-37,4.5139569088192e-37,4.33043227677556e-37,4.14800605938608e-37,3.96717905130662e-37,3.78842340201283e-37,3.61218103576616e-37,3.43886236774053e-37,3.26884531449587e-37,3.10247459398823e-37,2.94006130750635e-37,2.78188279334958e-37,2.6281827397361e-37,2.47917154237157e-37,2.33502689033087e-37,2.19589456241844e-37,2.06188941497954e-37,1.9330965412354e-37,1.80957258160487e-37,1.69134716414502e-37,1.57842445417999e-37,1.47078479237726e-37,1.36838640095253e-37,1.27116713832077e-37,1.17904628333621e-37,1.09192633125696e-37,1.00969478470406e-37,9.32225924135817e-38,8.59382543701633e-38,7.91017639749617e-38,7.26976040716513e-38,6.67095968603641e-38,6.11210523717689e-38,5.59149085810817e-38,5.10738626173039e-38,4.65804926595434e-38,4.2417370242189e-38,3.85671628128267e-38,3.50127265001646e-38,3.17371891531515e-38,2.87240238063934e-38,2.59571128105697e-38,2.34208029396614e-38,2.10999518494526e-38,1.89799663141076e-38,1.7046832709966e-38,1.52871402484489e-38,1.36880974836429e-38,1.22375426353309e-38,1.09239482756085e-38,9.73642092749145e-39,8.66469611779521e-39,7.69912941482157e-39,6.83068396475724e-39,6.05091501993019e-39,5.3519519278942e-39,4.7264780234168e-39,4.16770883648176e-39,3.66936899899724e-39,3.22566820158223e-39,2.83127652010074e-39,2.4812993999769e-39,2.17125255515921e-39,1.8970370082513e-39,1.6549144690857e-39,1.44148322112472e-39,1.25365465872207e-39,1.08863059361584e-39,9.43881426151091e-40,8.17125255713509e-40,7.06307985724008e-40,6.09584461296881e-40,5.25300662273381e-40,4.51976960757965e-40,3.88292440436449e-40,3.33070264759223e-40,2.852640724319e-40,2.43945371464869e-40,2.08291897180998e-40,1.77576894952521e-40,1.51159284918344e-40,1.28474663406757e-40,1.09027094143713e-40,9.23816414549594e-41,7.81575974682769e-41,6.60223556922906e-41,5.56858842001117e-41,4.68957528953085e-41,3.9432670907836e-41,3.31064919890149e-41,2.77526477853013e-41,2.32289710152351e-41,1.94128728043122e-41,1.61988407067015e-41,1.34962262249903e-41,1.1227292899382e-41,9.32549825110084e-42,7.73398501103275e-42,6.40425912797186e-42,5.29503401917403e-42,4.37122239052351e-42,3.60305870869923e-42,2.96533705000421e-42,2.43675057884638e-42,1.99932032387305e-42,1.63790222356723e-42,1.3397626089925e-42,1.09421338352636e-42,8.92299152738976e-43,7.2652945744479e-43,5.90650075084104e-43,4.79448084869371e-43,3.88586046496416e-43,3.14461226571469e-43,2.54086327010252e-43,2.04988631104758e-43,1.65124891066533e-43,1.32809640706328e-43,1.06654933263457e-43,8.55197817036263e-44,6.84678211894769e-44,5.47319247000225e-44,4.36846864232568e-44,3.48138467530713e-44,2.77018703751281e-44,2.20090076347113e-44,1.7459271487915e-44,1.38288499453145e-44,1.09365488965362e-44,8.63592421750638e-45,6.80881658074785e-45,5.36004870983704e-45,4.21308408141122e-45,3.30647927945136e-45,2.59099021744049e-45,2.02721602154883e-45,1.58368416873982e-45,1.23529706512845e-45,9.62074121157466e-46,7.48134951478798e-46,5.80878958964126e-46,4.50324561724922e-46,3.48577951584484e-46,2.6940675490665e-46,2.07898490861495e-46,1.60187447691371e-46,1.23236658877943e-46,9.46641714419354e-47,7.26048528306481e-47,5.56006603638965e-47,4.25136642856137e-47,3.24572272807424e-47,2.47416456926324e-47,1.88312885879172e-47,1.43108616543599e-47,1.08588995710924e-47,8.22697426175062e-48,6.22341481659229e-48,4.70058217319745e-48,3.54493958230135e-48,2.66931800042067e-48,2.00690160977018e-48,1.50655897268345e-48,1.12922498894713e-48,8.45101967704238e-49,6.31498079934747e-49,4.71160902263963e-49,3.50994849731123e-49,2.61075748607676e-49,1.93894999468868e-49,1.43780826081759e-49,1.06455873790683e-49,7.86996085738315e-50,5.80911273180802e-50,4.28135584255209e-50,3.15055550567754e-50,2.31487334373044e-50,1.69824999289527e-50,1.24397111959222e-50,9.09815356549072e-51,6.64401366300671e-51,4.8444230257755e-51,3.52685732651834e-51,2.56370477209714e-51,1.86072597855696e-51,1.34843842363248e-51,9.75695060058619e-52,7.04906283638202e-52,5.08490620650967e-52,3.66242550719836e-52,2.63383729092193e-52,1.89122575441989e-52,1.3559138389816e-52,9.7063311071841e-53,6.93765021594571e-53,4.95112608435461e-53,3.52801043812086e-53,2.51009423049644e-53,1.78313604211816e-53,1.264774847255e-53,8.9572820721047e-54,6.33393453148932e-54,4.47203484043164e-54,3.15261600071303e-54,2.21907132428043e-54,1.55957310117399e-54,1.09439600650582e-54,7.66791962585247e-55,5.36432266959797e-55,3.74702441832955e-55,2.61331909733268e-55,1.81983766723928e-55,1.26533973548911e-55,8.78447743898692e-56,6.0891827161343e-56,4.21440597509011e-56,2.91237987184277e-56,2.00952753591619e-56,1.38444016707768e-56,9.52332727626677e-57,6.54090010716417e-57,4.48560071829524e-57,3.07141143955134e-57,2.09985676215978e-57,1.43342717519898e-57,9.77002972361321e-58,6.6489095528228e-58,4.51792746571462e-58,3.06522509145251e-58,2.07644187516085e-58,1.40446678923929e-58,9.48500269052569e-59,6.39584207319013e-59,4.30618113025316e-59,2.8948171996742e-59,1.94305137641238e-59,1.3022120580132e-59,8.71391721603579e-60,5.82209698742954e-60,3.88400455729087e-60,2.58710654460677e-60,1.72061294988382e-60,1.1425792919442e-60,7.57571798088817e-61,5.01528408361116e-61,3.31513765183418e-61,2.18797261876958e-61,1.44183806993979e-61,9.48692315508226e-62,6.23259010759411e-62,4.08833088851949e-62,2.67767460044907e-62,1.75107137565851e-62,1.14336314036462e-62,7.45416179060187e-63,4.85230097357009e-63,3.15377666933565e-63,2.04667285694369e-63,1.32617309460432e-63,8.57998017292641e-64,5.54251203288689e-64,3.57487856518876e-64,2.30223807395376e-64,1.48038085105591e-64,9.50453719318601e-65,6.09288216500118e-65,3.89985870447095e-65,2.49235128835104e-65,1.59039105951876e-65,1.01328796737455e-65,6.44608657699864e-66,4.09443208426557e-66,2.59672224319696e-66,1.64433996872835e-66,1.03966163280389e-66,6.56336731699829e-67,4.13709688686138e-67,2.60374807742918e-67,1.63620050215354e-67,1.02661680663907e-67,6.43153306567454e-68,4.02304539058907e-68,2.51263640134493e-68,1.56689051180488e-68,9.75622804384225e-69,6.06540107893335e-69,3.76505560156392e-69,2.33355237598627e-69,1.44410243603557e-69,8.92303788830782e-70,5.50505626841297e-70,3.39113497836641e-70,2.08575205155863e-70,1.28089806982081e-70,7.85417822292717e-71,4.80862844658458e-71,2.93951702287566e-71,1.79417593252871e-71,1.09342339683299e-71,6.65343605577222e-72,4.04238711522539e-72,2.45224638722088e-72,1.48533561520046e-72,8.982958115639e-73,5.42435923664948e-73,3.27048228746185e-73,1.96883557458292e-73,1.18342675434146e-73,7.10244055656875e-74,4.25606371281669e-74,2.54649555581569e-74,1.52129000982251e-74,9.07434721600598e-75,5.40446938794811e-75,3.21384567380549e-75,1.90823239572859e-75,1.13128440258482e-75,6.69648072493198e-76,3.95781723738848e-76,2.33560360554505e-76,1.37618502330872e-76,8.09634127661807e-77,4.75592584147972e-77,2.78943104959298e-77,1.63354264399489e-77,9.55167662072365e-78,5.57651704315158e-78,3.25072885185329e-78,1.89205059971186e-78,1.09956026269088e-78,6.3802781874147e-79,3.69653210270781e-79,2.13837386739853e-79,1.23511411059445e-79,7.12303071697146e-80,4.101633389421e-80,2.35821366333163e-80,1.3537664647225e-80,7.75958760734353e-81,4.44086753277787e-81,2.53764744537415e-81,1.4478682383713e-81,8.2482361343727e-82,4.69166958486623e-82,2.66457556560819e-82,1.51099473830858e-82,8.55523910352357e-83,4.83654953853976e-83,2.73006770678999e-83,1.5386699924039e-83,8.65868298209647e-84,4.86510797313482e-84,2.72940143743469e-84,1.52889139917808e-84,8.55106382385727e-85,4.77527016515125e-85,2.66262518341504e-85,1.48236930029477e-85,8.24018719769029e-86,4.57353526923757e-86,2.53455240917637e-86,1.40244167304174e-86,7.74823223590264e-87,4.27419900762682e-87,2.35418797954923e-87,1.29467817044399e-87,7.10913566146148e-88,3.89767898063426e-88,2.13368164436476e-88,1.16623874076708e-88,6.36472429345828e-89,3.46821503181132e-89,1.88697751665875e-89,1.02508935534718e-89,5.56020764840993e-90,3.01130390037215e-90,1.62836759555882e-90,8.7919377581651e-91,4.73970211080008e-91,2.55124271965162e-91,1.3711557789778e-91,7.35793771581997e-92,3.94239109273367e-92,2.10910203840195e-92,1.12660005150748e-92,6.00864064090037e-93,3.19975689741833e-93,1.70134357649749e-93,9.03236244533176e-94,4.78789894936423e-94,2.53409495433189e-94,1.33916805611407e-94,7.0661290909694e-95,3.72273688314402e-95,1.95829180151604e-95,1.02855319644949e-95,5.39399326036773e-96,2.82441383137869e-96,1.47666012836972e-96,7.70844993951062e-97,4.01779573074137e-97,2.09094658431452e-97,1.08650645959631e-97,5.63710307193524e-98,2.92020895022417e-98,1.5104493564234e-98,7.80068422924356e-99,4.02247650869253e-99,2.07104065248309e-99,1.06467736194276e-99,5.46489352421993E-100,2.80078439803096E-100,1.43321696763883E-100,7.32282225047689E-101,3.73576314016586E-101,1.90289340862265E-101,9.67796126760917E-102,4.91459332437652E-102,2.4918711497017E-102,1.26153082369854E-102,6.37682413091091E-103,3.21843914359482E-103,1.62188647602718E-103,8.16074658955861E-104,4.09990336730902E-104,2.05660855532771E-104,1.03006337181663E-104,5.15122523148062E-105,2.57212116576287E-105,1.28235005828591E-105,6.3834587659482E-106,3.17277889321766E-106,1.57455504191423E-106,7.80207597260208E-107,3.86008432206034E-107,1.90685512081754E-107,9.40530517980521E-108,4.63193413572314E-108,2.27764559124113E-108,1.1182636509015E-108,5.48196878422161E-109,2.68326272033237E-109,1.31136661862812E-109,6.39910653603991E-110,3.11780425722698E-110,1.51674523641118E-110,7.36734016163128E-111,3.57308291156727E-111,1.73025357090611E-111,8.36586213364619E-112,4.03874042217459E-112,1.94677368708643E-112,9.36956185817707E-113,4.502537996779E-113,2.16037816251092E-113,1.03499072815636E-113,4.950823319481E-114,2.36457277224951E-114,1.12761859366249E-114,5.36915645793478E-115,2.55260829960139E-115,1.21170410692623E-115,5.74305885639424E-116,2.71784219557396E-116,1.28422017217547E-116,6.05883346701533E-117,2.85412387162216E-117,1.34242765237616E-117,6.30439221279502E-118,2.9561727741681E-118,1.38404638611757E-118,6.47002126903863E-119,3.01991683334395E-119,1.40740291565853E-119,6.54901626995165E-120,3.04276081235343E-120,1.41154144394658E-120,6.53812874282188E-121,3.02375946982058E-121,1.39628753141703E-121,6.43778109979972E-122,2.96367879223931E-122,1.36225829104292E-122,6.25202873308589E-123,2.86493897718385E-123,1.31081788623428E-123,5.98827185780609E-124,6.32482539379259E-124,</v>
      </c>
      <c r="O5" s="26" t="s">
        <v>242</v>
      </c>
    </row>
    <row r="6" spans="1:16">
      <c r="G6" s="29" t="s">
        <v>124</v>
      </c>
      <c r="H6" s="15">
        <v>0.5</v>
      </c>
      <c r="I6" s="15">
        <v>3</v>
      </c>
      <c r="J6">
        <f>GEOMEAN(H6,I6)</f>
        <v>1.2247448713915889</v>
      </c>
      <c r="K6">
        <f>LogVariance(H6,I6)</f>
        <v>0.30359732347288149</v>
      </c>
      <c r="N6" t="str">
        <f>LognormPosterior(mu_far_future,sigma_far_future,N5:O5)</f>
        <v>disabled</v>
      </c>
    </row>
    <row r="7" spans="1:16">
      <c r="G7" s="29" t="s">
        <v>125</v>
      </c>
      <c r="H7" s="15">
        <v>0.1</v>
      </c>
      <c r="I7" s="15">
        <v>0.7</v>
      </c>
      <c r="J7">
        <f>GEOMEAN(H7,I7)</f>
        <v>0.26457513110645903</v>
      </c>
      <c r="K7">
        <f>LogVariance(H7,I7)</f>
        <v>0.32971675223038288</v>
      </c>
      <c r="M7" s="45" t="s">
        <v>245</v>
      </c>
      <c r="N7" s="4" t="e">
        <f>PDFSum(ReadArray(N4))</f>
        <v>#VALUE!</v>
      </c>
      <c r="O7" s="4"/>
    </row>
    <row r="8" spans="1:16">
      <c r="G8" s="4" t="s">
        <v>138</v>
      </c>
      <c r="J8">
        <f>J3*J5*J6*J7*D4*1000</f>
        <v>2.1213203435596419E-7</v>
      </c>
      <c r="K8">
        <f>K3+K5+K6+K7+E4</f>
        <v>1.8154605085273885</v>
      </c>
      <c r="M8" s="4" t="s">
        <v>244</v>
      </c>
      <c r="N8" s="4">
        <f>PDFSum(ReadArray(N5))</f>
        <v>1.2551953919716439</v>
      </c>
      <c r="O8" s="4"/>
    </row>
    <row r="9" spans="1:16" ht="20">
      <c r="A9" s="7" t="s">
        <v>67</v>
      </c>
      <c r="M9" s="4"/>
      <c r="N9" s="4"/>
      <c r="O9" s="4"/>
    </row>
    <row r="10" spans="1:16">
      <c r="A10" s="1" t="s">
        <v>149</v>
      </c>
      <c r="M10" s="4" t="s">
        <v>248</v>
      </c>
      <c r="N10">
        <f>N3*N4</f>
        <v>1.1442496849097024E+42</v>
      </c>
      <c r="O10" s="4">
        <f>O3+O4</f>
        <v>6.1268291658530938</v>
      </c>
    </row>
    <row r="11" spans="1:16">
      <c r="A11" s="30" t="s">
        <v>99</v>
      </c>
      <c r="B11" s="5">
        <f>ParetoPosterior(median,alpha,N5:O5)</f>
        <v>58250580945857.188</v>
      </c>
      <c r="G11" s="1" t="s">
        <v>135</v>
      </c>
      <c r="H11" s="8" t="s">
        <v>161</v>
      </c>
      <c r="M11" s="4"/>
      <c r="N11" s="4" t="str">
        <f>LognormPosterior(mu_far_future,sigma_far_future,N10:O10)</f>
        <v>disabled</v>
      </c>
      <c r="O11" s="4"/>
    </row>
    <row r="12" spans="1:16">
      <c r="A12" s="30" t="s">
        <v>110</v>
      </c>
      <c r="B12" s="5" t="str">
        <f>LognormPosterior(mu_far_future,sigma_far_future,N5:O5)</f>
        <v>disabled</v>
      </c>
      <c r="H12" t="s">
        <v>0</v>
      </c>
      <c r="I12" t="s">
        <v>1</v>
      </c>
      <c r="J12" t="s">
        <v>2</v>
      </c>
      <c r="K12" t="s">
        <v>3</v>
      </c>
      <c r="M12" s="4"/>
      <c r="N12" s="4" t="b">
        <f>N11=N6</f>
        <v>1</v>
      </c>
      <c r="O12" s="4"/>
    </row>
    <row r="13" spans="1:16">
      <c r="G13" s="29" t="s">
        <v>126</v>
      </c>
      <c r="H13" s="27">
        <v>1000000</v>
      </c>
      <c r="I13" s="27">
        <v>1000000000</v>
      </c>
      <c r="J13">
        <f>GEOMEAN(H13,I13)</f>
        <v>31622776.601683792</v>
      </c>
      <c r="K13">
        <f>LogVariance(H13,I13)</f>
        <v>1.1704562191085683</v>
      </c>
      <c r="M13" s="4"/>
      <c r="N13" s="4"/>
      <c r="O13" s="4"/>
    </row>
    <row r="14" spans="1:16">
      <c r="G14" s="29" t="s">
        <v>128</v>
      </c>
      <c r="H14" s="15">
        <v>2000</v>
      </c>
      <c r="I14" s="15">
        <v>2000</v>
      </c>
      <c r="J14">
        <f>GEOMEAN(H14,I14)</f>
        <v>2000</v>
      </c>
      <c r="K14">
        <f>LogVariance(H14,I14)</f>
        <v>0</v>
      </c>
      <c r="M14" s="4"/>
      <c r="N14" s="4"/>
      <c r="O14" s="4"/>
    </row>
    <row r="15" spans="1:16">
      <c r="A15" s="25"/>
      <c r="B15" s="4"/>
      <c r="G15" t="s">
        <v>139</v>
      </c>
      <c r="H15" s="3">
        <f>1/I13</f>
        <v>1.0000000000000001E-9</v>
      </c>
      <c r="I15" s="3">
        <f>1/H13</f>
        <v>9.9999999999999995E-7</v>
      </c>
      <c r="J15">
        <f>GEOMEAN(H15,I15)</f>
        <v>3.1622776601683792E-8</v>
      </c>
      <c r="K15">
        <f>LogVariance(H15,I15)</f>
        <v>1.1704562191085683</v>
      </c>
      <c r="M15" s="25"/>
      <c r="N15" s="4"/>
      <c r="O15" s="4"/>
    </row>
    <row r="16" spans="1:16">
      <c r="A16" s="4"/>
      <c r="B16" s="4"/>
      <c r="G16" t="s">
        <v>138</v>
      </c>
      <c r="J16">
        <f>J14*J15*D4*1000</f>
        <v>6.1721339984836745E-7</v>
      </c>
      <c r="K16">
        <f>K14+K15+E4</f>
        <v>1.2995939096785016</v>
      </c>
      <c r="M16" s="4"/>
      <c r="N16" s="4"/>
      <c r="O16" s="4"/>
    </row>
    <row r="17" spans="1:15">
      <c r="A17" s="4"/>
      <c r="B17" s="4"/>
      <c r="M17" s="4"/>
      <c r="N17" s="4"/>
      <c r="O17" s="4"/>
    </row>
    <row r="18" spans="1:15">
      <c r="A18" s="4"/>
      <c r="B18" s="4"/>
      <c r="M18" s="4"/>
      <c r="N18" s="4"/>
      <c r="O18" s="4"/>
    </row>
    <row r="19" spans="1:15">
      <c r="A19" s="4"/>
      <c r="B19" s="4"/>
      <c r="G19" s="1" t="s">
        <v>142</v>
      </c>
      <c r="M19" s="4"/>
      <c r="N19" s="4"/>
      <c r="O19" s="4"/>
    </row>
    <row r="20" spans="1:15">
      <c r="A20" s="25"/>
      <c r="B20" s="4"/>
      <c r="G20" t="s">
        <v>138</v>
      </c>
      <c r="J20">
        <f>GEOMEAN(J8,J16)</f>
        <v>3.6184352162446591E-7</v>
      </c>
      <c r="K20">
        <f>MAX(K8,K16)</f>
        <v>1.8154605085273885</v>
      </c>
      <c r="L20" t="s">
        <v>140</v>
      </c>
      <c r="M20" s="4"/>
      <c r="N20" s="4"/>
      <c r="O20" s="4"/>
    </row>
    <row r="21" spans="1:15">
      <c r="A21" s="4"/>
      <c r="B21" s="4"/>
    </row>
    <row r="22" spans="1:15">
      <c r="A22" s="4"/>
      <c r="B22" s="4"/>
    </row>
    <row r="23" spans="1:15">
      <c r="G23" s="1"/>
    </row>
    <row r="24" spans="1:15">
      <c r="G24" s="4"/>
      <c r="H24" s="4"/>
      <c r="I24" s="4"/>
      <c r="J24" s="4"/>
      <c r="K24" s="4"/>
      <c r="L24" s="4"/>
      <c r="M24" s="4"/>
    </row>
    <row r="25" spans="1:15">
      <c r="G25" s="4"/>
      <c r="H25" s="4"/>
      <c r="I25" s="4"/>
      <c r="J25" s="4"/>
      <c r="K25" s="4"/>
      <c r="L25" s="4"/>
      <c r="M25" s="4"/>
    </row>
    <row r="26" spans="1:15">
      <c r="G26" s="4"/>
      <c r="H26" s="4"/>
      <c r="I26" s="4"/>
      <c r="J26" s="4"/>
      <c r="K26" s="4"/>
      <c r="L26" s="4"/>
      <c r="M26" s="4"/>
    </row>
    <row r="27" spans="1:15">
      <c r="G27" s="4"/>
      <c r="H27" s="4"/>
      <c r="I27" s="4"/>
      <c r="J27" s="4"/>
      <c r="K27" s="4"/>
      <c r="L27" s="4"/>
      <c r="M27" s="4"/>
    </row>
    <row r="28" spans="1:15">
      <c r="G28" s="4"/>
      <c r="H28" s="4"/>
      <c r="I28" s="4"/>
      <c r="J28" s="4"/>
      <c r="K28" s="4"/>
      <c r="L28" s="4"/>
      <c r="M28" s="4"/>
    </row>
    <row r="29" spans="1:15">
      <c r="G29" s="4"/>
      <c r="H29" s="4"/>
      <c r="I29" s="4"/>
      <c r="J29" s="4"/>
      <c r="K29" s="4"/>
      <c r="L29" s="4"/>
      <c r="M29" s="4"/>
    </row>
    <row r="30" spans="1:15">
      <c r="G30" s="4"/>
      <c r="H30" s="4"/>
      <c r="I30" s="4"/>
      <c r="J30" s="4"/>
      <c r="K30" s="4"/>
      <c r="L30" s="4"/>
      <c r="M30" s="4"/>
    </row>
    <row r="31" spans="1:15">
      <c r="G31" s="4"/>
      <c r="H31" s="4"/>
      <c r="I31" s="4"/>
      <c r="J31" s="4"/>
      <c r="K31" s="4"/>
      <c r="L31" s="4"/>
      <c r="M31" s="4"/>
    </row>
    <row r="32" spans="1:15">
      <c r="G32" s="4"/>
      <c r="H32" s="4"/>
      <c r="I32" s="4"/>
      <c r="J32" s="4"/>
      <c r="K32" s="4"/>
      <c r="L32" s="4"/>
      <c r="M32" s="4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L28"/>
  <sheetViews>
    <sheetView workbookViewId="0">
      <selection activeCell="H56" sqref="H56"/>
    </sheetView>
  </sheetViews>
  <sheetFormatPr baseColWidth="10" defaultRowHeight="15" x14ac:dyDescent="0"/>
  <cols>
    <col min="1" max="1" width="21.6640625" customWidth="1"/>
    <col min="2" max="2" width="12.1640625" bestFit="1" customWidth="1"/>
    <col min="4" max="4" width="12.1640625" bestFit="1" customWidth="1"/>
    <col min="8" max="8" width="21.6640625" customWidth="1"/>
    <col min="9" max="9" width="12.83203125" bestFit="1" customWidth="1"/>
    <col min="12" max="12" width="12.1640625" bestFit="1" customWidth="1"/>
  </cols>
  <sheetData>
    <row r="1" spans="1:10" ht="20">
      <c r="A1" s="7" t="s">
        <v>160</v>
      </c>
      <c r="H1" s="1" t="s">
        <v>179</v>
      </c>
    </row>
    <row r="2" spans="1:10">
      <c r="B2" t="s">
        <v>0</v>
      </c>
      <c r="C2" t="s">
        <v>1</v>
      </c>
      <c r="D2" t="s">
        <v>2</v>
      </c>
      <c r="E2" t="s">
        <v>34</v>
      </c>
      <c r="I2" t="s">
        <v>2</v>
      </c>
      <c r="J2" t="s">
        <v>34</v>
      </c>
    </row>
    <row r="3" spans="1:10">
      <c r="A3" s="36" t="s">
        <v>163</v>
      </c>
      <c r="B3" s="15">
        <v>0.3</v>
      </c>
      <c r="C3" s="15">
        <v>0.3</v>
      </c>
      <c r="D3">
        <f>GEOMEAN(B3,C3)</f>
        <v>0.3</v>
      </c>
      <c r="E3">
        <f>LogVariance(B3,C3)</f>
        <v>0</v>
      </c>
      <c r="H3" t="s">
        <v>180</v>
      </c>
      <c r="I3">
        <f>$D$9*D11</f>
        <v>6.000000000000001E-6</v>
      </c>
      <c r="J3">
        <f>$E$9+E11</f>
        <v>2.1060174845083819</v>
      </c>
    </row>
    <row r="4" spans="1:10">
      <c r="A4" s="36" t="s">
        <v>168</v>
      </c>
      <c r="B4" s="15">
        <v>0.8</v>
      </c>
      <c r="C4" s="15">
        <v>0.8</v>
      </c>
      <c r="D4">
        <f>GEOMEAN(B4,C4)</f>
        <v>0.8</v>
      </c>
      <c r="E4">
        <f>LogVariance(B4,C4)</f>
        <v>0</v>
      </c>
      <c r="H4" t="s">
        <v>181</v>
      </c>
      <c r="I4">
        <f>$D$9*D12</f>
        <v>1.8973665961010282E-5</v>
      </c>
      <c r="J4">
        <f>$E$9+E12</f>
        <v>1.9507603651809473</v>
      </c>
    </row>
    <row r="5" spans="1:10">
      <c r="A5" s="4" t="s">
        <v>169</v>
      </c>
      <c r="B5">
        <f>VLOOKUP(A5,'AI Safety'!G3:I8,2,FALSE)</f>
        <v>1E-4</v>
      </c>
      <c r="C5">
        <f>VLOOKUP(A5,'AI Safety'!G3:I8,3,FALSE)</f>
        <v>5.0000000000000001E-3</v>
      </c>
      <c r="D5">
        <f>GEOMEAN(B5,C5)</f>
        <v>7.0710678118654762E-4</v>
      </c>
      <c r="E5">
        <f>LogVariance(B5,C5)</f>
        <v>0.66285666921800146</v>
      </c>
      <c r="H5" t="s">
        <v>182</v>
      </c>
      <c r="I5">
        <f>$D$9*D13</f>
        <v>1.4696938456699071E-5</v>
      </c>
      <c r="J5">
        <f>$E$9+E13</f>
        <v>2.0373151147442554</v>
      </c>
    </row>
    <row r="6" spans="1:10">
      <c r="A6" s="29" t="s">
        <v>166</v>
      </c>
      <c r="B6" s="15">
        <v>0.5</v>
      </c>
      <c r="C6" s="15">
        <v>5</v>
      </c>
      <c r="D6">
        <f>GEOMEAN(B6,C6)</f>
        <v>1.5811388300841898</v>
      </c>
      <c r="E6">
        <f>LogVariance(B6,C6)</f>
        <v>0.39015207303618948</v>
      </c>
      <c r="H6" t="s">
        <v>183</v>
      </c>
      <c r="I6">
        <f>$D$9*D14</f>
        <v>1.4696938456699071E-5</v>
      </c>
      <c r="J6">
        <f>$E$9+E14</f>
        <v>2.0373151147442554</v>
      </c>
    </row>
    <row r="7" spans="1:10">
      <c r="A7" s="29" t="s">
        <v>167</v>
      </c>
      <c r="B7" s="15">
        <v>1000</v>
      </c>
      <c r="C7" s="15">
        <v>100000</v>
      </c>
    </row>
    <row r="8" spans="1:10">
      <c r="A8" t="s">
        <v>171</v>
      </c>
      <c r="B8">
        <f>1000/C7</f>
        <v>0.01</v>
      </c>
      <c r="C8">
        <f>1000/B7</f>
        <v>1</v>
      </c>
      <c r="D8">
        <f>GEOMEAN(B8,C8)</f>
        <v>0.1</v>
      </c>
      <c r="E8">
        <f>LogVariance(B8,C8)</f>
        <v>0.78030414607237897</v>
      </c>
      <c r="H8" t="s">
        <v>79</v>
      </c>
      <c r="I8">
        <f>VLOOKUP(H8,'EV of Far Future'!$K$3:$M$10,2,FALSE)</f>
        <v>3.1622776601683793E+48</v>
      </c>
      <c r="J8">
        <f>VLOOKUP(H8,'EV of Far Future'!$K$3:$M$10,3,FALSE)</f>
        <v>4.3113686573257057</v>
      </c>
    </row>
    <row r="9" spans="1:10">
      <c r="A9" t="s">
        <v>172</v>
      </c>
      <c r="D9">
        <f>PRODUCT(D3:D6)*D8</f>
        <v>2.6832815729997483E-5</v>
      </c>
      <c r="E9">
        <f>SUM(E3:E6)+E8</f>
        <v>1.8333128883265699</v>
      </c>
      <c r="H9" t="s">
        <v>74</v>
      </c>
      <c r="I9">
        <f>VLOOKUP(H9,'EV of Far Future'!$K$3:$M$10,2,FALSE)</f>
        <v>3.9999999999999993E+37</v>
      </c>
      <c r="J9">
        <f>VLOOKUP(H9,'EV of Far Future'!$K$3:$M$10,3,FALSE)</f>
        <v>3.5212165842895158</v>
      </c>
    </row>
    <row r="10" spans="1:10">
      <c r="H10" t="s">
        <v>75</v>
      </c>
      <c r="I10">
        <f>VLOOKUP(H10,'EV of Far Future'!$K$3:$M$10,2,FALSE)</f>
        <v>1.2649110640673514E+41</v>
      </c>
      <c r="J10">
        <f>VLOOKUP(H10,'EV of Far Future'!$K$3:$M$10,3,FALSE)</f>
        <v>4.0113686573257059</v>
      </c>
    </row>
    <row r="11" spans="1:10">
      <c r="A11" s="29" t="s">
        <v>165</v>
      </c>
      <c r="B11" s="15">
        <v>0.1</v>
      </c>
      <c r="C11" s="15">
        <v>0.5</v>
      </c>
      <c r="D11">
        <f>GEOMEAN(B11,C11)</f>
        <v>0.22360679774997896</v>
      </c>
      <c r="E11">
        <f>LogVariance(B11,C11)</f>
        <v>0.27270459618181209</v>
      </c>
      <c r="H11" t="s">
        <v>76</v>
      </c>
      <c r="I11">
        <f>VLOOKUP(H11,'EV of Far Future'!$K$3:$M$10,2,FALSE)</f>
        <v>3.9999999999999985E+39</v>
      </c>
      <c r="J11">
        <f>VLOOKUP(H11,'EV of Far Future'!$K$3:$M$10,3,FALSE)</f>
        <v>5.1818248764342734</v>
      </c>
    </row>
    <row r="12" spans="1:10">
      <c r="A12" s="29" t="s">
        <v>173</v>
      </c>
      <c r="B12" s="15">
        <v>0.5</v>
      </c>
      <c r="C12" s="15">
        <v>1</v>
      </c>
      <c r="D12">
        <f>GEOMEAN(B12,C12)</f>
        <v>0.70710678118654757</v>
      </c>
      <c r="E12">
        <f>LogVariance(B12,C12)</f>
        <v>0.11744747685437738</v>
      </c>
    </row>
    <row r="13" spans="1:10">
      <c r="A13" s="29" t="s">
        <v>174</v>
      </c>
      <c r="B13" s="15">
        <v>0.3</v>
      </c>
      <c r="C13" s="15">
        <v>1</v>
      </c>
      <c r="D13">
        <f>GEOMEAN(B13,C13)</f>
        <v>0.54772255750516607</v>
      </c>
      <c r="E13">
        <f>LogVariance(B13,C13)</f>
        <v>0.20400222641768539</v>
      </c>
      <c r="H13" t="s">
        <v>97</v>
      </c>
      <c r="I13">
        <f>VLOOKUP(H13,'EV of Far Future'!O3:P10,2,FALSE)</f>
        <v>5.000000000000001E-3</v>
      </c>
      <c r="J13">
        <v>0</v>
      </c>
    </row>
    <row r="14" spans="1:10">
      <c r="A14" s="29" t="s">
        <v>164</v>
      </c>
      <c r="B14" s="15">
        <v>0.3</v>
      </c>
      <c r="C14" s="15">
        <v>1</v>
      </c>
      <c r="D14">
        <f>GEOMEAN(B14,C14)</f>
        <v>0.54772255750516607</v>
      </c>
      <c r="E14">
        <f>LogVariance(B14,C14)</f>
        <v>0.20400222641768539</v>
      </c>
      <c r="H14" t="s">
        <v>92</v>
      </c>
      <c r="I14">
        <f>VLOOKUP(H14,'EV of Far Future'!O4:P11,2,FALSE)</f>
        <v>0.22399999999999998</v>
      </c>
      <c r="J14">
        <v>0</v>
      </c>
    </row>
    <row r="15" spans="1:10">
      <c r="H15" t="s">
        <v>93</v>
      </c>
      <c r="I15">
        <f>VLOOKUP(H15,'EV of Far Future'!O5:P12,2,FALSE)</f>
        <v>0.22399999999999998</v>
      </c>
      <c r="J15">
        <v>0</v>
      </c>
    </row>
    <row r="16" spans="1:10">
      <c r="H16" t="s">
        <v>94</v>
      </c>
      <c r="I16">
        <f>VLOOKUP(H16,'EV of Far Future'!O6:P13,2,FALSE)</f>
        <v>0.16799999999999998</v>
      </c>
      <c r="J16">
        <v>0</v>
      </c>
    </row>
    <row r="17" spans="1:12">
      <c r="K17" s="33" t="s">
        <v>110</v>
      </c>
      <c r="L17" s="33" t="s">
        <v>99</v>
      </c>
    </row>
    <row r="18" spans="1:12">
      <c r="H18" s="28" t="s">
        <v>175</v>
      </c>
      <c r="I18" s="26">
        <f>I3*I8*I13</f>
        <v>9.4868329805051422E+40</v>
      </c>
      <c r="J18" s="26">
        <f>J3+J8+J13</f>
        <v>6.4173861418340881</v>
      </c>
      <c r="K18" s="34" t="e">
        <f>LognormPosterior(mu,sigma,I18,J18)</f>
        <v>#VALUE!</v>
      </c>
      <c r="L18" s="34" t="e">
        <f>ParetoPosterior(median,alpha,I18,J18)</f>
        <v>#VALUE!</v>
      </c>
    </row>
    <row r="19" spans="1:12">
      <c r="H19" s="28" t="s">
        <v>176</v>
      </c>
      <c r="I19" s="26">
        <f>I4*I9*I14</f>
        <v>1.7000404701065207E+32</v>
      </c>
      <c r="J19" s="26">
        <f>J4+J9+J14</f>
        <v>5.4719769494704629</v>
      </c>
      <c r="K19" s="34" t="e">
        <f>LognormPosterior(mu,sigma,I19,J19)</f>
        <v>#VALUE!</v>
      </c>
      <c r="L19" s="34" t="e">
        <f>ParetoPosterior(median,alpha,I19,J19)</f>
        <v>#VALUE!</v>
      </c>
    </row>
    <row r="20" spans="1:12">
      <c r="H20" s="28" t="s">
        <v>177</v>
      </c>
      <c r="I20" s="26">
        <f>I5*I10*I15</f>
        <v>4.1642316938422136E+35</v>
      </c>
      <c r="J20" s="26">
        <f>J5+J10+J15</f>
        <v>6.0486837720699613</v>
      </c>
      <c r="K20" s="34" t="e">
        <f>LognormPosterior(mu,sigma,I20,J20)</f>
        <v>#VALUE!</v>
      </c>
      <c r="L20" s="34" t="e">
        <f>ParetoPosterior(median,alpha,I20,J20)</f>
        <v>#VALUE!</v>
      </c>
    </row>
    <row r="21" spans="1:12">
      <c r="H21" s="28" t="s">
        <v>178</v>
      </c>
      <c r="I21" s="26">
        <f>I6*I11*I16</f>
        <v>9.8763426429017722E+33</v>
      </c>
      <c r="J21" s="26">
        <f>J6+J11+J16</f>
        <v>7.2191399911785288</v>
      </c>
      <c r="K21" s="34" t="e">
        <f>LognormPosterior(mu,sigma,I21,J21)</f>
        <v>#VALUE!</v>
      </c>
      <c r="L21" s="34" t="e">
        <f>ParetoPosterior(median,alpha,I21,J21)</f>
        <v>#VALUE!</v>
      </c>
    </row>
    <row r="23" spans="1:12" ht="20">
      <c r="A23" s="7" t="s">
        <v>67</v>
      </c>
    </row>
    <row r="24" spans="1:12">
      <c r="B24" t="s">
        <v>99</v>
      </c>
      <c r="C24" t="s">
        <v>110</v>
      </c>
      <c r="J24" t="s">
        <v>184</v>
      </c>
    </row>
    <row r="25" spans="1:12">
      <c r="A25" t="s">
        <v>186</v>
      </c>
      <c r="B25" t="e">
        <f>MAX(L18:L21)</f>
        <v>#VALUE!</v>
      </c>
      <c r="C25" t="e">
        <f>MAX(K18:K21)</f>
        <v>#VALUE!</v>
      </c>
    </row>
    <row r="28" spans="1:12">
      <c r="A28" t="s">
        <v>185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Globals</vt:lpstr>
      <vt:lpstr>EV of Far Future</vt:lpstr>
      <vt:lpstr>GiveDirectly</vt:lpstr>
      <vt:lpstr>Veg Ads</vt:lpstr>
      <vt:lpstr>ACE</vt:lpstr>
      <vt:lpstr>AI Safety</vt:lpstr>
      <vt:lpstr>AI Targeted Values Spreading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Dickens</dc:creator>
  <cp:lastModifiedBy>Michael Dickens</cp:lastModifiedBy>
  <dcterms:created xsi:type="dcterms:W3CDTF">2016-03-23T01:55:09Z</dcterms:created>
  <dcterms:modified xsi:type="dcterms:W3CDTF">2016-04-06T03:12:59Z</dcterms:modified>
</cp:coreProperties>
</file>