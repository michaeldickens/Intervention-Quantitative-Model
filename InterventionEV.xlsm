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5600" windowHeight="17460" tabRatio="500" firstSheet="1" activeTab="2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nable_calculations">Globals!$N$2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5" i="3" l="1"/>
  <c r="M15" i="3"/>
  <c r="M6" i="3"/>
  <c r="L6" i="3"/>
  <c r="G3" i="3"/>
  <c r="G4" i="3"/>
  <c r="G8" i="3"/>
  <c r="G10" i="3"/>
  <c r="L3" i="3"/>
  <c r="P30" i="2"/>
  <c r="H3" i="3"/>
  <c r="P31" i="2"/>
  <c r="H4" i="3"/>
  <c r="P32" i="2"/>
  <c r="H8" i="3"/>
  <c r="H10" i="3"/>
  <c r="M3" i="3"/>
  <c r="B3" i="3"/>
  <c r="B4" i="3"/>
  <c r="B5" i="3"/>
  <c r="B6" i="3"/>
  <c r="B11" i="3"/>
  <c r="L4" i="3"/>
  <c r="L30" i="2"/>
  <c r="C3" i="3"/>
  <c r="L31" i="2"/>
  <c r="C4" i="3"/>
  <c r="L32" i="2"/>
  <c r="C5" i="3"/>
  <c r="L33" i="2"/>
  <c r="C6" i="3"/>
  <c r="C11" i="3"/>
  <c r="M4" i="3"/>
  <c r="L5" i="3"/>
  <c r="G14" i="3"/>
  <c r="G16" i="3"/>
  <c r="P8" i="3"/>
  <c r="L8" i="3"/>
  <c r="P33" i="2"/>
  <c r="H14" i="3"/>
  <c r="H16" i="3"/>
  <c r="M8" i="3"/>
  <c r="G20" i="3"/>
  <c r="G22" i="3"/>
  <c r="P9" i="3"/>
  <c r="L9" i="3"/>
  <c r="P34" i="2"/>
  <c r="H20" i="3"/>
  <c r="H22" i="3"/>
  <c r="M9" i="3"/>
  <c r="G26" i="3"/>
  <c r="G28" i="3"/>
  <c r="P10" i="3"/>
  <c r="L10" i="3"/>
  <c r="P35" i="2"/>
  <c r="H26" i="3"/>
  <c r="H28" i="3"/>
  <c r="M10" i="3"/>
  <c r="G32" i="3"/>
  <c r="G33" i="3"/>
  <c r="G35" i="3"/>
  <c r="P11" i="3"/>
  <c r="L11" i="3"/>
  <c r="H32" i="3"/>
  <c r="P36" i="2"/>
  <c r="H33" i="3"/>
  <c r="H35" i="3"/>
  <c r="M11" i="3"/>
  <c r="B16" i="3"/>
  <c r="P12" i="3"/>
  <c r="L12" i="3"/>
  <c r="C16" i="3"/>
  <c r="M12" i="3"/>
  <c r="B21" i="3"/>
  <c r="P13" i="3"/>
  <c r="L13" i="3"/>
  <c r="C21" i="3"/>
  <c r="M13" i="3"/>
  <c r="L14" i="3"/>
  <c r="L17" i="3"/>
  <c r="M17" i="3"/>
  <c r="M18" i="3"/>
  <c r="O4" i="6"/>
  <c r="K3" i="6"/>
  <c r="K5" i="6"/>
  <c r="K6" i="6"/>
  <c r="K7" i="6"/>
  <c r="E4" i="6"/>
  <c r="K8" i="6"/>
  <c r="K14" i="6"/>
  <c r="K15" i="6"/>
  <c r="K16" i="6"/>
  <c r="K20" i="6"/>
  <c r="O3" i="6"/>
  <c r="O5" i="6"/>
  <c r="L18" i="3"/>
  <c r="N4" i="6"/>
  <c r="N5" i="6"/>
  <c r="F22" i="2"/>
  <c r="F23" i="2"/>
  <c r="F24" i="2"/>
  <c r="F18" i="2"/>
  <c r="F19" i="2"/>
  <c r="F20" i="2"/>
  <c r="F21" i="2"/>
  <c r="F17" i="2"/>
  <c r="E24" i="2"/>
  <c r="H34" i="3"/>
  <c r="H27" i="3"/>
  <c r="H21" i="3"/>
  <c r="H15" i="3"/>
  <c r="H9" i="3"/>
  <c r="C20" i="3"/>
  <c r="C15" i="3"/>
  <c r="C10" i="3"/>
  <c r="H15" i="1"/>
  <c r="G9" i="3"/>
  <c r="P3" i="3"/>
  <c r="B10" i="3"/>
  <c r="P4" i="3"/>
  <c r="G15" i="3"/>
  <c r="G21" i="3"/>
  <c r="G27" i="3"/>
  <c r="G34" i="3"/>
  <c r="B15" i="3"/>
  <c r="B20" i="3"/>
  <c r="G3" i="2"/>
  <c r="K7" i="7"/>
  <c r="E5" i="1"/>
  <c r="I3" i="1"/>
  <c r="I4" i="1"/>
  <c r="I5" i="1"/>
  <c r="I6" i="7"/>
  <c r="H4" i="1"/>
  <c r="H5" i="1"/>
  <c r="H6" i="7"/>
  <c r="K6" i="7"/>
  <c r="K5" i="7"/>
  <c r="K4" i="7"/>
  <c r="J5" i="7"/>
  <c r="J6" i="7"/>
  <c r="J7" i="7"/>
  <c r="J4" i="7"/>
  <c r="J3" i="2"/>
  <c r="N5" i="1"/>
  <c r="E4" i="1"/>
  <c r="E6" i="1"/>
  <c r="E7" i="1"/>
  <c r="E8" i="1"/>
  <c r="N7" i="1"/>
  <c r="N8" i="1"/>
  <c r="M5" i="1"/>
  <c r="M3" i="1"/>
  <c r="M6" i="1"/>
  <c r="D8" i="1"/>
  <c r="M7" i="1"/>
  <c r="M8" i="1"/>
  <c r="M9" i="1"/>
  <c r="D18" i="2"/>
  <c r="D20" i="2"/>
  <c r="D21" i="2"/>
  <c r="D23" i="2"/>
  <c r="N3" i="6"/>
  <c r="C14" i="1"/>
  <c r="B14" i="1"/>
  <c r="I17" i="1"/>
  <c r="I19" i="1"/>
  <c r="I20" i="1"/>
  <c r="C15" i="1"/>
  <c r="H17" i="1"/>
  <c r="H18" i="1"/>
  <c r="H19" i="1"/>
  <c r="H20" i="1"/>
  <c r="B15" i="1"/>
  <c r="H27" i="1"/>
  <c r="H25" i="1"/>
  <c r="H28" i="1"/>
  <c r="H29" i="1"/>
  <c r="H30" i="1"/>
  <c r="B16" i="1"/>
  <c r="I27" i="1"/>
  <c r="I29" i="1"/>
  <c r="I30" i="1"/>
  <c r="C16" i="1"/>
  <c r="H37" i="1"/>
  <c r="H35" i="1"/>
  <c r="H38" i="1"/>
  <c r="H39" i="1"/>
  <c r="H40" i="1"/>
  <c r="B17" i="1"/>
  <c r="I37" i="1"/>
  <c r="I39" i="1"/>
  <c r="I40" i="1"/>
  <c r="C17" i="1"/>
  <c r="B23" i="1"/>
  <c r="B24" i="1"/>
  <c r="B25" i="1"/>
  <c r="B26" i="1"/>
  <c r="H6" i="1"/>
  <c r="H7" i="1"/>
  <c r="M10" i="1"/>
  <c r="C7" i="5"/>
  <c r="B7" i="5"/>
  <c r="H12" i="5"/>
  <c r="H10" i="5"/>
  <c r="H11" i="5"/>
  <c r="H13" i="5"/>
  <c r="G12" i="5"/>
  <c r="G10" i="5"/>
  <c r="G11" i="5"/>
  <c r="G13" i="5"/>
  <c r="I61" i="1"/>
  <c r="I60" i="1"/>
  <c r="I59" i="1"/>
  <c r="I58" i="1"/>
  <c r="F61" i="1"/>
  <c r="F60" i="1"/>
  <c r="F59" i="1"/>
  <c r="F58" i="1"/>
  <c r="H52" i="1"/>
  <c r="O54" i="1"/>
  <c r="O53" i="1"/>
  <c r="M17" i="1"/>
  <c r="M15" i="1"/>
  <c r="M18" i="1"/>
  <c r="M19" i="1"/>
  <c r="M20" i="1"/>
  <c r="M37" i="1"/>
  <c r="M35" i="1"/>
  <c r="M38" i="1"/>
  <c r="M39" i="1"/>
  <c r="M40" i="1"/>
  <c r="M27" i="1"/>
  <c r="M25" i="1"/>
  <c r="M28" i="1"/>
  <c r="M29" i="1"/>
  <c r="M30" i="1"/>
  <c r="N29" i="1"/>
  <c r="I5" i="7"/>
  <c r="I4" i="7"/>
  <c r="H4" i="7"/>
  <c r="K52" i="1"/>
  <c r="O52" i="1"/>
  <c r="G5" i="5"/>
  <c r="B15" i="5"/>
  <c r="N30" i="2"/>
  <c r="N31" i="2"/>
  <c r="N32" i="2"/>
  <c r="O30" i="2"/>
  <c r="O32" i="2"/>
  <c r="O31" i="2"/>
  <c r="D17" i="2"/>
  <c r="J30" i="2"/>
  <c r="J31" i="2"/>
  <c r="J32" i="2"/>
  <c r="J33" i="2"/>
  <c r="B24" i="2"/>
  <c r="D24" i="2"/>
  <c r="K32" i="2"/>
  <c r="K31" i="2"/>
  <c r="K30" i="2"/>
  <c r="K33" i="2"/>
  <c r="C22" i="2"/>
  <c r="D22" i="2"/>
  <c r="H3" i="2"/>
  <c r="I3" i="2"/>
  <c r="N33" i="2"/>
  <c r="O33" i="2"/>
  <c r="I12" i="11"/>
  <c r="G4" i="5"/>
  <c r="N34" i="2"/>
  <c r="N35" i="2"/>
  <c r="N36" i="2"/>
  <c r="O35" i="2"/>
  <c r="O36" i="2"/>
  <c r="O34" i="2"/>
  <c r="B13" i="1"/>
  <c r="D4" i="1"/>
  <c r="B5" i="1"/>
  <c r="C5" i="1"/>
  <c r="D5" i="1"/>
  <c r="D6" i="1"/>
  <c r="D7" i="1"/>
  <c r="N37" i="1"/>
  <c r="N39" i="1"/>
  <c r="N40" i="1"/>
  <c r="N17" i="1"/>
  <c r="N19" i="1"/>
  <c r="N20" i="1"/>
  <c r="H3" i="1"/>
  <c r="C13" i="1"/>
  <c r="N27" i="1"/>
  <c r="N30" i="1"/>
  <c r="G22" i="5"/>
  <c r="G23" i="5"/>
  <c r="G21" i="5"/>
  <c r="H21" i="5"/>
  <c r="H22" i="5"/>
  <c r="H23" i="5"/>
  <c r="J15" i="6"/>
  <c r="J14" i="6"/>
  <c r="J13" i="6"/>
  <c r="D4" i="6"/>
  <c r="J7" i="6"/>
  <c r="J6" i="6"/>
  <c r="J5" i="6"/>
  <c r="J3" i="6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J8" i="6"/>
  <c r="J16" i="6"/>
  <c r="J20" i="6"/>
  <c r="C23" i="7"/>
  <c r="B23" i="7"/>
  <c r="C22" i="7"/>
  <c r="B14" i="5"/>
  <c r="B22" i="7"/>
  <c r="I5" i="6"/>
  <c r="H5" i="6"/>
  <c r="C4" i="6"/>
  <c r="B4" i="6"/>
  <c r="I15" i="6"/>
  <c r="H15" i="6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D19" i="2"/>
  <c r="K13" i="6"/>
  <c r="B19" i="5"/>
  <c r="B14" i="7"/>
  <c r="B20" i="5"/>
  <c r="C14" i="7"/>
  <c r="D14" i="7"/>
  <c r="D15" i="7"/>
  <c r="C16" i="7"/>
  <c r="D16" i="7"/>
  <c r="B16" i="7"/>
  <c r="H24" i="5"/>
  <c r="H25" i="5"/>
  <c r="B12" i="6"/>
  <c r="C8" i="7"/>
  <c r="D8" i="7"/>
  <c r="B11" i="6"/>
  <c r="B8" i="7"/>
  <c r="G24" i="5"/>
  <c r="G25" i="5"/>
  <c r="N6" i="6"/>
</calcChain>
</file>

<file path=xl/sharedStrings.xml><?xml version="1.0" encoding="utf-8"?>
<sst xmlns="http://schemas.openxmlformats.org/spreadsheetml/2006/main" count="469" uniqueCount="253">
  <si>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</si>
  <si>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</si>
  <si>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</si>
  <si>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</si>
  <si>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</si>
  <si>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</si>
  <si>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</si>
  <si>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</si>
  <si>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</si>
  <si>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</si>
  <si>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</si>
  <si>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</si>
  <si>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</si>
  <si>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</si>
  <si>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</si>
  <si>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</si>
  <si>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</si>
  <si>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</si>
  <si>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</si>
  <si>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</si>
  <si>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</si>
  <si>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</si>
  <si>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</si>
  <si>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</si>
  <si>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</si>
  <si>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</si>
  <si>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</si>
  <si>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</si>
  <si>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</si>
  <si>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</si>
  <si>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</si>
  <si>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</si>
  <si>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</si>
  <si>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</si>
  <si>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</si>
  <si>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</si>
  <si>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</si>
  <si>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</si>
  <si>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</si>
  <si>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</si>
  <si>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</si>
  <si>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</si>
  <si>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</si>
  <si>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</si>
  <si>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</si>
  <si>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</si>
  <si>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</si>
  <si>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</si>
  <si>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</si>
  <si>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</si>
  <si>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</si>
  <si>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</si>
  <si>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</si>
  <si>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</si>
  <si>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</si>
  <si>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</si>
  <si>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</si>
  <si>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</si>
  <si>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</si>
  <si>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</si>
  <si>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</si>
  <si>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</si>
  <si>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</si>
  <si>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</si>
  <si>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</si>
  <si>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</si>
  <si>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</si>
  <si>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</si>
  <si>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Sign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</si>
  <si>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</si>
  <si>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</si>
  <si>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</si>
  <si>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</si>
  <si>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</si>
  <si>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</si>
  <si>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</si>
  <si>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</si>
  <si>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</si>
  <si>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</si>
  <si>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</si>
  <si>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</si>
  <si>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</si>
  <si>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</si>
  <si>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</si>
  <si>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</si>
  <si>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</si>
  <si>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</si>
  <si>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</si>
  <si>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</si>
  <si>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</si>
  <si>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</si>
  <si>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</si>
  <si>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</si>
  <si>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</si>
  <si>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</si>
  <si>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</si>
  <si>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</si>
  <si>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</si>
  <si>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</si>
  <si>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</si>
  <si>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</si>
  <si>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</si>
  <si>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</si>
  <si>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</si>
  <si>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</si>
  <si>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</si>
  <si>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</si>
  <si>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</si>
  <si>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</si>
  <si>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</si>
  <si>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</si>
  <si>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</si>
  <si>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</si>
  <si>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</si>
  <si>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</si>
  <si>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</si>
  <si>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</si>
  <si>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</si>
  <si>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</si>
  <si>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</si>
  <si>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</si>
  <si>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</si>
  <si>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</si>
  <si>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</si>
  <si>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</si>
  <si>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</si>
  <si>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</si>
  <si>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</si>
  <si>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</si>
  <si>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</si>
  <si>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</si>
  <si>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</si>
  <si>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</si>
  <si>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</si>
  <si>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</si>
  <si>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General</t>
  </si>
  <si>
    <t>x-risk averted per $1000</t>
  </si>
  <si>
    <t>1/hours to solve</t>
  </si>
  <si>
    <t>TODO: don't know how to calculate this variance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</si>
  <si>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</si>
  <si>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</si>
  <si>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</si>
  <si>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</si>
  <si>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</si>
  <si>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</si>
  <si>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</si>
  <si>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</si>
  <si>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</si>
  <si>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</si>
  <si>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</si>
  <si>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</si>
  <si>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</si>
  <si>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</si>
  <si>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</si>
  <si>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</si>
  <si>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</si>
  <si>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</si>
  <si>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</si>
  <si>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</si>
  <si>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</si>
  <si>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</si>
  <si>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</si>
  <si>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</si>
  <si>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</si>
  <si>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</si>
  <si>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</si>
  <si>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</si>
  <si>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</si>
  <si>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</si>
  <si>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</si>
  <si>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</si>
  <si>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</si>
  <si>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</si>
  <si>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</si>
  <si>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</si>
  <si>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</si>
  <si>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</si>
  <si>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</si>
  <si>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</si>
  <si>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</si>
  <si>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</si>
  <si>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</si>
  <si>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</si>
  <si>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</si>
  <si>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</si>
  <si>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</si>
  <si>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</si>
  <si>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</si>
  <si>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</si>
  <si>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</si>
  <si>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Negative effect on suffering simulations</t>
  </si>
  <si>
    <t>from looking at random articles I found on Google, adjusting for overconfidence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</si>
  <si>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</si>
  <si>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</si>
  <si>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</si>
  <si>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</si>
  <si>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</si>
  <si>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</si>
  <si>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</si>
  <si>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</si>
  <si>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</si>
  <si>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</si>
  <si>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</si>
  <si>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</si>
  <si>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</si>
  <si>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</si>
  <si>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</si>
  <si>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</si>
  <si>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</si>
  <si>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</si>
  <si>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</si>
  <si>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</si>
  <si>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</si>
  <si>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</si>
  <si>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</si>
  <si>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</si>
  <si>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</si>
  <si>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</si>
  <si>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</si>
  <si>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</si>
  <si>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</si>
  <si>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</si>
  <si>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</si>
  <si>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global poverty</t>
  </si>
  <si>
    <t>factory farming</t>
  </si>
  <si>
    <t>wild animals</t>
  </si>
  <si>
    <t>sentient simulations</t>
  </si>
  <si>
    <t>far future</t>
  </si>
  <si>
    <t>should be 43.27</t>
  </si>
  <si>
    <t>should be 829.78</t>
  </si>
  <si>
    <t>Enable calculations?</t>
  </si>
  <si>
    <t>0 for false, 1 for true</t>
  </si>
  <si>
    <t>(positive)</t>
  </si>
  <si>
    <t>(negative)</t>
  </si>
  <si>
    <t>extinction averted per $1000</t>
  </si>
  <si>
    <t>animal-years caused per human year</t>
  </si>
  <si>
    <t>This figure is pretty robust but only includes land animals, you could increase the bounds to account for fish/shellfish</t>
  </si>
  <si>
    <t>Correlated with P(AI-related extinction) on the AI Safety sheet</t>
  </si>
  <si>
    <t>buckets</t>
  </si>
  <si>
    <t>for a poor developing-world human. probably less happy than someone in the developed world</t>
  </si>
  <si>
    <t>(1) does not include fish/shellfish; (2) I am willing to trade maybe 5 years normal life vs. 1 year on factory farm, and extremely poor people's lives are about half as good as those in the developed world according to world happiness surveys</t>
  </si>
  <si>
    <t>Warning: takes a long time to evaluate (30 seconds on my machine)</t>
  </si>
  <si>
    <t>exp mean/variance</t>
  </si>
  <si>
    <t>pos EV (buckets)</t>
  </si>
  <si>
    <t>neg EV (buckets)</t>
  </si>
  <si>
    <t>neg exp mean/variance</t>
  </si>
  <si>
    <t>pos exp mean/variance</t>
  </si>
  <si>
    <t>Mu</t>
  </si>
  <si>
    <t>Sigma^2 (orders of magnitude)</t>
  </si>
  <si>
    <t>Sigma^2</t>
  </si>
  <si>
    <t>Sigma</t>
  </si>
  <si>
    <t>P-weighted utility estimate (adj. by probability)</t>
  </si>
  <si>
    <t>Probability (used in P-weighted utility estimate)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</si>
</sst>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  <font>
      <sz val="12"/>
      <color rgb="FFFF0000"/>
      <name val="Calibri"/>
      <family val="2"/>
      <scheme val="minor"/>
    </font>
    <font>
      <sz val="12"/>
      <color rgb="FFFF6600"/>
      <name val="Calibri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58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  <xf numFmtId="0" fontId="0" fillId="17" borderId="0" xfId="0" applyFill="1"/>
    <xf numFmtId="0" fontId="0" fillId="0" borderId="0" xfId="0" applyFont="1" applyFill="1"/>
    <xf numFmtId="0" fontId="7" fillId="0" borderId="0" xfId="0" applyFont="1" applyFill="1"/>
    <xf numFmtId="0" fontId="0" fillId="15" borderId="0" xfId="0" applyFont="1" applyFill="1"/>
    <xf numFmtId="0" fontId="6" fillId="8" borderId="0" xfId="0" applyFont="1" applyFill="1"/>
    <xf numFmtId="0" fontId="8" fillId="0" borderId="0" xfId="0" applyFont="1"/>
  </cellXfs>
  <cellStyles count="158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K8" sqref="K8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187</v>
      </c>
      <c r="G1" s="7" t="s">
        <v>189</v>
      </c>
    </row>
    <row r="2" spans="1:12">
      <c r="J2" t="s">
        <v>186</v>
      </c>
    </row>
    <row r="3" spans="1:12">
      <c r="A3" s="1" t="s">
        <v>147</v>
      </c>
      <c r="H3" t="s">
        <v>155</v>
      </c>
      <c r="I3" t="s">
        <v>34</v>
      </c>
      <c r="J3" s="30" t="s">
        <v>142</v>
      </c>
      <c r="K3" s="30" t="s">
        <v>143</v>
      </c>
    </row>
    <row r="4" spans="1:12">
      <c r="B4" s="30" t="s">
        <v>142</v>
      </c>
      <c r="C4" s="30" t="s">
        <v>143</v>
      </c>
      <c r="D4" s="30" t="s">
        <v>188</v>
      </c>
      <c r="G4" s="45" t="s">
        <v>144</v>
      </c>
      <c r="H4" s="4">
        <f>GiveDirectly!G3</f>
        <v>1</v>
      </c>
      <c r="I4">
        <f>GiveDirectly!H3</f>
        <v>6.25E-2</v>
      </c>
      <c r="J4" s="5">
        <f>ParetoPosterior(median,alpha,H4:I4)</f>
        <v>1.0718443947358864</v>
      </c>
      <c r="K4" s="5">
        <f>LognormPosterior(mu_global_poverty,sigma_global_poverty,H4:I4)</f>
        <v>1.1516259366300541</v>
      </c>
    </row>
    <row r="5" spans="1:12">
      <c r="A5" s="30" t="s">
        <v>144</v>
      </c>
      <c r="B5" s="5">
        <f>GiveDirectly!B14</f>
        <v>1.0718443947358864</v>
      </c>
      <c r="C5" s="5">
        <f>GiveDirectly!B15</f>
        <v>1.1516259366300541</v>
      </c>
      <c r="D5" s="5">
        <f>C5/$C$5</f>
        <v>1</v>
      </c>
      <c r="G5" s="4" t="s">
        <v>153</v>
      </c>
      <c r="H5" s="4">
        <v>11</v>
      </c>
      <c r="I5">
        <f>0.5^2</f>
        <v>0.25</v>
      </c>
      <c r="J5" s="5">
        <f>ParetoPosterior(median,alpha,H5:I5)</f>
        <v>5.5189570936889352</v>
      </c>
      <c r="K5" s="5">
        <f>LognormPosterior(mu_global_poverty,sigma_global_poverty,H5:I5)</f>
        <v>6.0877279886251294</v>
      </c>
    </row>
    <row r="6" spans="1:12">
      <c r="A6" s="30" t="s">
        <v>145</v>
      </c>
      <c r="B6" s="5"/>
      <c r="C6" s="5">
        <f>MAX('Veg Ads'!H7,'Veg Ads'!M10,'Veg Ads'!H22,'Veg Ads'!H32,'Veg Ads'!H46)</f>
        <v>796.8062104201249</v>
      </c>
      <c r="D6" s="5">
        <f>C6/C5</f>
        <v>691.89672190935494</v>
      </c>
      <c r="E6" t="s">
        <v>216</v>
      </c>
      <c r="G6" s="4" t="s">
        <v>145</v>
      </c>
      <c r="H6" s="19">
        <f>'Veg Ads'!H5</f>
        <v>15083.103128998355</v>
      </c>
      <c r="I6">
        <f>'Veg Ads'!I5</f>
        <v>0.79504262895320132</v>
      </c>
      <c r="J6" s="5">
        <f>ParetoPosterior(median,alpha,H6:I6)</f>
        <v>278.14172544025013</v>
      </c>
      <c r="K6" s="5">
        <f>LognormPosterior(mu_factory_farming,sigma_factory_farming,H6:I6)</f>
        <v>38.692316763766371</v>
      </c>
    </row>
    <row r="7" spans="1:12">
      <c r="A7" s="30" t="s">
        <v>217</v>
      </c>
      <c r="B7" s="5"/>
      <c r="C7" s="5" t="e">
        <f>ACE!I17</f>
        <v>#VALUE!</v>
      </c>
      <c r="D7" s="5" t="e">
        <f>C7/$C$5</f>
        <v>#VALUE!</v>
      </c>
      <c r="G7" s="4" t="s">
        <v>154</v>
      </c>
      <c r="H7" s="19">
        <v>22000</v>
      </c>
      <c r="I7">
        <v>0.5</v>
      </c>
      <c r="J7" s="5">
        <f>ParetoPosterior(median,alpha,H7:I7)</f>
        <v>1582.0302237467174</v>
      </c>
      <c r="K7" s="5">
        <f>LognormPosterior(mu_factory_farming,sigma_factory_farming,H7:I7)</f>
        <v>114.47918763046155</v>
      </c>
    </row>
    <row r="8" spans="1:12">
      <c r="A8" s="30" t="s">
        <v>146</v>
      </c>
      <c r="B8" s="5">
        <f>'AI Safety'!B11</f>
        <v>1.7616230324321696E+25</v>
      </c>
      <c r="C8" s="5">
        <f>'AI Safety'!B12</f>
        <v>325.50189986219328</v>
      </c>
      <c r="D8" s="5">
        <f>C8/$C$5</f>
        <v>282.64550971706433</v>
      </c>
      <c r="G8" s="4"/>
      <c r="H8" s="19"/>
      <c r="I8" s="4"/>
      <c r="K8" s="4"/>
      <c r="L8" s="4"/>
    </row>
    <row r="9" spans="1:12">
      <c r="A9" s="30" t="s">
        <v>185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150</v>
      </c>
    </row>
    <row r="13" spans="1:12">
      <c r="B13" s="30" t="s">
        <v>142</v>
      </c>
      <c r="C13" s="30" t="s">
        <v>143</v>
      </c>
      <c r="D13" s="30" t="s">
        <v>188</v>
      </c>
    </row>
    <row r="14" spans="1:12">
      <c r="A14" s="30" t="s">
        <v>144</v>
      </c>
      <c r="B14" s="5">
        <f>GiveDirectly!B19</f>
        <v>1.0718443947358864</v>
      </c>
      <c r="C14" s="5">
        <f>GiveDirectly!B20</f>
        <v>1.1516259366300541</v>
      </c>
      <c r="D14" s="5">
        <f>C14/$C$14</f>
        <v>1</v>
      </c>
    </row>
    <row r="15" spans="1:12">
      <c r="A15" s="30" t="s">
        <v>145</v>
      </c>
      <c r="B15" s="5">
        <f>'Veg Ads'!B31</f>
        <v>0</v>
      </c>
      <c r="C15" s="5">
        <f>'Veg Ads'!B32</f>
        <v>0</v>
      </c>
      <c r="D15" s="5">
        <f>C15/$C$14</f>
        <v>0</v>
      </c>
    </row>
    <row r="16" spans="1:12">
      <c r="A16" s="30" t="s">
        <v>146</v>
      </c>
      <c r="B16" s="5">
        <f>'AI Safety'!B16</f>
        <v>0</v>
      </c>
      <c r="C16" s="5">
        <f>'AI Safety'!B17</f>
        <v>0</v>
      </c>
      <c r="D16" s="5">
        <f>C16/$C$14</f>
        <v>0</v>
      </c>
    </row>
    <row r="19" spans="1:4">
      <c r="A19" s="1" t="s">
        <v>192</v>
      </c>
    </row>
    <row r="20" spans="1:4">
      <c r="B20" s="30" t="s">
        <v>142</v>
      </c>
      <c r="C20" s="30" t="s">
        <v>143</v>
      </c>
      <c r="D20" s="30" t="s">
        <v>188</v>
      </c>
    </row>
    <row r="21" spans="1:4">
      <c r="A21" s="30" t="s">
        <v>144</v>
      </c>
      <c r="B21" s="5"/>
      <c r="C21" s="5"/>
      <c r="D21" s="5"/>
    </row>
    <row r="22" spans="1:4">
      <c r="A22" s="30" t="s">
        <v>145</v>
      </c>
      <c r="B22" s="5">
        <f>'Veg Ads'!B31</f>
        <v>0</v>
      </c>
      <c r="C22" s="5">
        <f>'Veg Ads'!B32</f>
        <v>0</v>
      </c>
      <c r="D22" s="5"/>
    </row>
    <row r="23" spans="1:4">
      <c r="A23" s="30" t="s">
        <v>146</v>
      </c>
      <c r="B23" s="5">
        <f>'AI Safety'!B21</f>
        <v>0</v>
      </c>
      <c r="C23" s="5">
        <f>'AI Safety'!B22</f>
        <v>0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C66" sqref="C6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5" ht="20">
      <c r="A1" s="7" t="s">
        <v>6</v>
      </c>
      <c r="E1" s="7" t="s">
        <v>98</v>
      </c>
      <c r="F1" t="s">
        <v>223</v>
      </c>
      <c r="G1" t="s">
        <v>224</v>
      </c>
      <c r="H1" t="s">
        <v>225</v>
      </c>
      <c r="I1" t="s">
        <v>226</v>
      </c>
      <c r="J1" t="s">
        <v>227</v>
      </c>
      <c r="M1" s="1"/>
      <c r="N1" s="7" t="s">
        <v>230</v>
      </c>
    </row>
    <row r="2" spans="1:15">
      <c r="A2" s="5" t="s">
        <v>5</v>
      </c>
      <c r="B2" s="24">
        <v>1</v>
      </c>
      <c r="D2" t="s">
        <v>129</v>
      </c>
      <c r="E2" s="5" t="s">
        <v>99</v>
      </c>
      <c r="F2" s="11">
        <v>1</v>
      </c>
      <c r="G2" s="11">
        <v>1</v>
      </c>
      <c r="H2" s="40">
        <v>1</v>
      </c>
      <c r="I2" s="11">
        <v>1</v>
      </c>
      <c r="J2" s="11">
        <v>1</v>
      </c>
      <c r="N2" s="44">
        <v>1</v>
      </c>
      <c r="O2" t="s">
        <v>231</v>
      </c>
    </row>
    <row r="3" spans="1:15">
      <c r="A3" s="5" t="s">
        <v>4</v>
      </c>
      <c r="B3" s="11">
        <v>1.5</v>
      </c>
      <c r="D3" t="s">
        <v>222</v>
      </c>
      <c r="E3" s="5" t="s">
        <v>100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</row>
    <row r="5" spans="1:15" ht="20">
      <c r="A5" s="7" t="s">
        <v>17</v>
      </c>
      <c r="N5" s="7" t="s">
        <v>111</v>
      </c>
    </row>
    <row r="6" spans="1:15">
      <c r="A6" s="14" t="s">
        <v>7</v>
      </c>
      <c r="B6" s="12">
        <v>0.2</v>
      </c>
      <c r="C6" s="14" t="s">
        <v>16</v>
      </c>
      <c r="D6" s="12">
        <v>0.7</v>
      </c>
      <c r="N6" s="30" t="s">
        <v>113</v>
      </c>
    </row>
    <row r="7" spans="1:15">
      <c r="N7" s="33" t="s">
        <v>112</v>
      </c>
    </row>
    <row r="8" spans="1:15">
      <c r="A8" s="14" t="s">
        <v>8</v>
      </c>
      <c r="B8" s="12">
        <v>0.7</v>
      </c>
      <c r="C8" s="14" t="s">
        <v>9</v>
      </c>
      <c r="D8" s="12">
        <v>0.8</v>
      </c>
      <c r="E8" s="14" t="s">
        <v>69</v>
      </c>
      <c r="F8" s="12">
        <v>0.3</v>
      </c>
      <c r="N8" s="28" t="s">
        <v>60</v>
      </c>
    </row>
    <row r="9" spans="1:15">
      <c r="A9" s="14"/>
      <c r="B9" s="12"/>
      <c r="C9" s="14"/>
      <c r="D9" s="12"/>
      <c r="E9" s="14" t="s">
        <v>11</v>
      </c>
      <c r="F9" s="13">
        <v>0.4</v>
      </c>
      <c r="N9" t="s">
        <v>141</v>
      </c>
    </row>
    <row r="10" spans="1:15">
      <c r="E10" s="14" t="s">
        <v>10</v>
      </c>
      <c r="F10" s="13">
        <v>0.3</v>
      </c>
      <c r="N10" s="29" t="s">
        <v>168</v>
      </c>
    </row>
    <row r="11" spans="1:15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5">
      <c r="C12" s="14" t="s">
        <v>14</v>
      </c>
      <c r="D12" s="12">
        <v>0.75</v>
      </c>
    </row>
    <row r="13" spans="1:15">
      <c r="C13" s="14" t="s">
        <v>15</v>
      </c>
      <c r="D13" s="12">
        <v>0.05</v>
      </c>
    </row>
    <row r="15" spans="1:15" ht="20">
      <c r="A15" s="7" t="s">
        <v>41</v>
      </c>
    </row>
    <row r="16" spans="1:15" ht="20">
      <c r="B16" t="s">
        <v>50</v>
      </c>
      <c r="C16" s="4" t="s">
        <v>51</v>
      </c>
      <c r="D16" t="s">
        <v>53</v>
      </c>
      <c r="E16" t="s">
        <v>250</v>
      </c>
      <c r="F16" t="s">
        <v>249</v>
      </c>
      <c r="G16" t="s">
        <v>31</v>
      </c>
      <c r="N16" s="7" t="s">
        <v>81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48">
        <v>0</v>
      </c>
      <c r="F17" s="4">
        <f>E17^2</f>
        <v>0</v>
      </c>
      <c r="G17" t="s">
        <v>239</v>
      </c>
      <c r="O17" t="s">
        <v>247</v>
      </c>
    </row>
    <row r="18" spans="1:16" ht="30">
      <c r="A18" s="20" t="s">
        <v>43</v>
      </c>
      <c r="B18" s="15">
        <v>-10</v>
      </c>
      <c r="C18" s="15">
        <v>0.5</v>
      </c>
      <c r="D18">
        <f t="shared" ref="D18:D24" si="0">ABS(B18)*C18</f>
        <v>5</v>
      </c>
      <c r="E18" s="48">
        <v>0.3</v>
      </c>
      <c r="F18" s="4">
        <f t="shared" ref="F18:F24" si="1">E18^2</f>
        <v>0.09</v>
      </c>
      <c r="G18" t="s">
        <v>240</v>
      </c>
      <c r="L18" s="3"/>
      <c r="N18" s="29" t="s">
        <v>30</v>
      </c>
      <c r="O18" s="27">
        <v>20000000000</v>
      </c>
      <c r="P18" s="3"/>
    </row>
    <row r="19" spans="1:16">
      <c r="A19" s="29" t="s">
        <v>151</v>
      </c>
      <c r="B19" s="15">
        <v>2</v>
      </c>
      <c r="C19" s="15">
        <v>0.5</v>
      </c>
      <c r="D19">
        <f t="shared" si="0"/>
        <v>1</v>
      </c>
      <c r="E19" s="48">
        <v>0.4</v>
      </c>
      <c r="F19" s="4">
        <f t="shared" si="1"/>
        <v>0.16000000000000003</v>
      </c>
      <c r="G19" t="s">
        <v>219</v>
      </c>
      <c r="L19" s="3"/>
      <c r="N19" s="29" t="s">
        <v>118</v>
      </c>
      <c r="O19" s="15">
        <v>0.05</v>
      </c>
      <c r="P19" s="3"/>
    </row>
    <row r="20" spans="1:16" ht="30">
      <c r="A20" s="20" t="s">
        <v>44</v>
      </c>
      <c r="B20" s="15">
        <v>-2</v>
      </c>
      <c r="C20" s="15">
        <v>0.2</v>
      </c>
      <c r="D20">
        <f t="shared" si="0"/>
        <v>0.4</v>
      </c>
      <c r="E20" s="48">
        <v>0.6</v>
      </c>
      <c r="F20" s="4">
        <f t="shared" si="1"/>
        <v>0.36</v>
      </c>
      <c r="G20" t="s">
        <v>218</v>
      </c>
      <c r="L20" s="3"/>
      <c r="N20" s="3"/>
      <c r="P20" s="3"/>
    </row>
    <row r="21" spans="1:16">
      <c r="A21" s="20" t="s">
        <v>45</v>
      </c>
      <c r="B21" s="15">
        <v>-4</v>
      </c>
      <c r="C21" s="15">
        <v>0.01</v>
      </c>
      <c r="D21">
        <f t="shared" si="0"/>
        <v>0.04</v>
      </c>
      <c r="E21" s="48">
        <v>0.8</v>
      </c>
      <c r="F21" s="4">
        <f t="shared" si="1"/>
        <v>0.64000000000000012</v>
      </c>
      <c r="G21" t="s">
        <v>220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48">
        <v>1</v>
      </c>
      <c r="F22" s="4">
        <f t="shared" si="1"/>
        <v>1</v>
      </c>
      <c r="G22" t="s">
        <v>52</v>
      </c>
    </row>
    <row r="23" spans="1:16">
      <c r="A23" s="20" t="s">
        <v>48</v>
      </c>
      <c r="B23" s="15">
        <v>-2</v>
      </c>
      <c r="C23" s="15">
        <v>0.1</v>
      </c>
      <c r="D23">
        <f t="shared" si="0"/>
        <v>0.2</v>
      </c>
      <c r="E23" s="48">
        <v>1.2</v>
      </c>
      <c r="F23" s="4">
        <f t="shared" si="1"/>
        <v>1.44</v>
      </c>
      <c r="G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48">
        <f>E22</f>
        <v>1</v>
      </c>
      <c r="F24" s="4">
        <f t="shared" si="1"/>
        <v>1</v>
      </c>
      <c r="G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s="8" t="s">
        <v>247</v>
      </c>
      <c r="L29" s="8" t="s">
        <v>248</v>
      </c>
      <c r="O29" s="8" t="s">
        <v>247</v>
      </c>
      <c r="P29" s="8" t="s">
        <v>248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2">A31</f>
        <v>years of future</v>
      </c>
      <c r="K31">
        <f t="shared" ref="K31:K33" si="3">SQRT(B31*C31)</f>
        <v>316227766016.83789</v>
      </c>
      <c r="L31" s="3">
        <f t="shared" ref="L31:L33" si="4">LogVariance(B31,C31)</f>
        <v>0.39015207303618948</v>
      </c>
      <c r="M31" s="3"/>
      <c r="N31" s="16" t="str">
        <f t="shared" ref="N31:N35" si="5">E31</f>
        <v>years of future</v>
      </c>
      <c r="O31">
        <f t="shared" ref="O31:O35" si="6">SQRT(F31*G31)</f>
        <v>316227766016.83789</v>
      </c>
      <c r="P31" s="3">
        <f t="shared" ref="P31:P36" si="7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2"/>
        <v>usable wattage</v>
      </c>
      <c r="K32">
        <f t="shared" si="3"/>
        <v>3.1622776601683796E+22</v>
      </c>
      <c r="L32" s="3">
        <f t="shared" si="4"/>
        <v>1.9507603651809475</v>
      </c>
      <c r="N32" s="16" t="str">
        <f t="shared" si="5"/>
        <v>humans per star</v>
      </c>
      <c r="O32">
        <f t="shared" si="6"/>
        <v>100000000000</v>
      </c>
      <c r="P32" s="3">
        <f t="shared" si="7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3"/>
        <v>0.1</v>
      </c>
      <c r="L33" s="3">
        <f t="shared" si="4"/>
        <v>0</v>
      </c>
      <c r="N33" s="16" t="str">
        <f t="shared" si="5"/>
        <v>factory farmed animals per star</v>
      </c>
      <c r="O33">
        <f t="shared" si="6"/>
        <v>100000000000</v>
      </c>
      <c r="P33" s="3">
        <f t="shared" si="7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5"/>
        <v>wild vertebrates per star</v>
      </c>
      <c r="O34">
        <f t="shared" si="6"/>
        <v>316227766016837.94</v>
      </c>
      <c r="P34" s="3">
        <f t="shared" si="7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5"/>
        <v>insects per star</v>
      </c>
      <c r="O35">
        <f t="shared" si="6"/>
        <v>1E+19</v>
      </c>
      <c r="P35" s="3">
        <f t="shared" si="7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7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160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tabSelected="1" workbookViewId="0">
      <selection activeCell="K19" sqref="K19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s="8" t="s">
        <v>247</v>
      </c>
      <c r="C2" s="8" t="s">
        <v>248</v>
      </c>
      <c r="F2" s="6"/>
      <c r="G2" s="8" t="s">
        <v>247</v>
      </c>
      <c r="H2" s="8" t="s">
        <v>248</v>
      </c>
      <c r="L2" s="28" t="s">
        <v>251</v>
      </c>
      <c r="M2" s="28" t="s">
        <v>249</v>
      </c>
      <c r="N2" t="s">
        <v>68</v>
      </c>
      <c r="P2" t="s">
        <v>252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71</v>
      </c>
      <c r="L3" s="26">
        <f>G10*P3</f>
        <v>2.2135943621178649E+34</v>
      </c>
      <c r="M3" s="26">
        <f>H10</f>
        <v>2.7310645112533267</v>
      </c>
      <c r="N3">
        <v>1</v>
      </c>
      <c r="O3" t="s">
        <v>89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75</v>
      </c>
      <c r="L4" s="26">
        <f>B11*P4</f>
        <v>6.3245553203367595E+46</v>
      </c>
      <c r="M4" s="26">
        <f>C11</f>
        <v>4.5113686573257059</v>
      </c>
      <c r="N4">
        <v>1</v>
      </c>
      <c r="O4" t="s">
        <v>93</v>
      </c>
      <c r="P4">
        <f>p_computronium*p_hedonium</f>
        <v>2.0000000000000004E-2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s="4" t="s">
        <v>243</v>
      </c>
      <c r="L5" s="4" t="str">
        <f>WriteArray(SumLognormDists(L3:M4))</f>
        <v>0,0,0,0,0,0,0,0,0,0,0,0,0,0,0,0,0,0,0,0,0,0,0,0,0,0,0,0,0,0,0,0,0,0,0,0,0,0,0,0,0,0,0,0,0,0,0,0,0,0,0,0,0,0,0,0,0,0,0,0,0,0,0,0,0,0,0,0,0,0,0,0,0,0,0,0,0,0,0,0,0,0,0,0,0,0,0,0,0,0,0,0,0,9.25222180720831E-312,1.25830216577955E-310,1.69619131947086E-309,2.26527549803281E-308,3.00958307913845E-307,3.97639344322915E-306,5.22487494679996E-305,6.82757918618528E-304,8.87282369776892E-303,1.14673013433407E-301,1.47388931767237E-300,1.88396485374497E-299,2.39488689650078E-298,3.02762101743269E-297,3.80646914708132E-296,4.75934757245288E-295,5.91802564404609E-294,7.31830629476429E-293,9.00012719734056E-292,1.1007559582334E-290,1.33886806202927E-289,1.61952950646907E-288,1.94824827795581E-287,2.33079510424652E-286,2.77311742891182E-285,3.2812309365365E-284,3.86108814171215E-283,4.5184244228413E-282,5.25858289557229E-281,6.08632065299862E-280,7.00560011123535E-279,8.01937043867467E-278,9.12934525385341E-277,1.03357838811535E-275,1.16372843813614E-274,1.30305972505261E-273,1.45104690345598E-272,1.60695250766383E-271,1.76982001519009E-270,1.9384724820487E-269,2.11151739401375E-268,2.28735819441581E-267,2.46421272582009E-266,2.64013856762793E-265,2.81306497446464E-264,2.98083083349441E-263,3.14122777644845E-262,3.29204731888508E-261,3.43113066971955E-260,3.55641967210611E-259,3.6660072142182E-258,3.75818539454263E-257,3.83148974678169E-256,3.88473792622468E-255,3.91706143022726E-254,3.92792916376467E-253,3.91716195653719E-252,3.88493747710324E-251,3.83178535569047E-250,3.75857270278029E-249,3.66648057679007E-248,3.55697229327907E-247,3.43175476376646E-246,3.29273429076727E-245,3.14196841664451E-244,2.98161552087907E-243,2.81388388107912E-242,2.64098185935391E-241,2.46507075336567E-240,2.28822166960761E-239,2.11237754713986E-238,1.93932119686694E-237,1.77064993916513E-236,1.60775713597894E-235,1.4518206363173E-234,1.30379789872569E-233,1.16442733099018E-232,1.03423520367255E-231,9.13547354957833E-231,8.02504811801268E-230,7.01082405951288E-229,6.09109460234815E-228,5.26291655749364E-227,4.52233258120361E-226,3.86458973655024E-225,3.28434816567335E-224,2.77587489050456E-223,2.3332189990421E-222,1.95036568558456E-221,1.62136774570669E-220,1.34045414079584E-219,1.10211611531527E-218,9.01172056914543E-218,7.32812830010076E-217,5.92629691602518E-216,4.7662712535021E-215,3.81223023204878E-214,3.03238623720013E-213,2.39880504738524E-212,1.88716748075309E-211,1.47649166536303E-210,1.14883228685707E-209,8.88970510872593E-209,6.84105652105947E-208,5.23557176090897E-207,3.98483351238643E-206,3.01620867614255E-205,2.27048031231971E-204,1.69972734212699E-203,1.26545282111249E-202,9.36953087400028E-202,6.89913969232875E-201,5.05216176036998E-200,3.67929649250695E-199,2.66475673910319E-198,1.91935632959067E-197,1.37486140366118E-196,9.79416725056986E-196,6.93875271797068E-195,4.88878139188383E-194,3.42550930676541E-193,2.38701433502364E-192,1.65420853824619E-191,1.14006827155253E-190,7.8140618662021E-190,5.32633197240407E-189,3.61064700271722E-188,2.43414957490559E-187,1.63198039190406E-186,1.0881482593527E-185,7.21550418099883E-185,4.75828866253233E-184,3.12061645799643E-183,2.03533324902692E-182,1.32018927120938E-181,8.51613282019103E-181,5.46328963451396E-180,3.48555236931122E-179,2.21153900957009E-178,1.39547871990522E-177,8.75704276873355E-177,5.46509076623135E-176,3.3918993835685E-175,2.09360252482127E-174,1.28514228712717E-173,7.84537886258549E-173,4.76301963744695E-172,2.87578613434654E-171,1.72677828838473E-170,1.03115125003476E-169,6.12370108807367E-169,3.61669121638691E-168,2.12429455064065E-167,1.24086322498577E-166,7.20840180846805E-166,4.16447226778582E-165,2.39269254139399E-164,1.36716134690571E-163,7.76888371747141E-163,4.39039369156847E-162,2.46748388874338E-161,1.37914910504295E-160,7.66609462520433E-160,4.23782684691987E-159,2.32979838810691E-158,1.27379516162574E-157,6.92607186239111E-157,3.74524780205207E-156,2.01409666741901E-155,1.07717502418523E-154,5.72925923579797E-154,3.03051842782701E-153,1.59419581804993E-152,8.34012781174938E-152,4.33920406918665E-151,2.24519360433465E-150,1.15532426421014E-149,5.91235352004149E-149,3.00900784616075E-148,1.52297473202084E-147,7.66599537414041E-147,3.83752228722072E-146,1.91046813177688E-145,9.45878251798429E-145,4.65733271312928E-144,2.28058307950118E-143,1.11060894611531E-142,5.37877157266694E-142,2.59066779329579E-141,1.24092939184594E-140,5.91138390106217E-140,2.80051585100142E-139,1.31945235356238E-138,6.18238753841016E-138,2.88088288572535E-137,1.33506336302528E-136,6.15297398731888E-136,2.82016966823793E-135,1.28550089744291E-134,5.82742310078581E-134,2.62716754588506E-133,1.17789363332853E-132,5.25208196996475E-132,2.328970927337E-131,1.02707893706715E-130,4.50454361883387E-130,1.96473970921304E-129,8.5224906984589E-129,3.67650678163222E-128,1.57729005424781E-127,6.72969144382239E-127,2.85552633805185E-126,1.20499336526881E-125,5.05697312943393E-125,2.11059147219413E-124,8.76042736680247E-124,3.61621320149849E-123,1.48453492989122E-122,6.0608636381237E-122,2.4608568137711E-121,9.93678645377459E-121,3.99037205311625E-120,1.59363436788535E-119,6.32953622464936E-119,2.50013258909582E-118,9.82114639727417E-118,3.83680179714613E-117,1.49068069031886E-116,5.75980808361827E-116,2.21329637232458E-115,8.45822726002008E-115,3.21460334955051E-114,1.21502090178733E-113,4.56718355957286E-113,1.70734620902553E-112,6.3475069112473E-112,2.34689295014865E-111,8.62962530929038E-111,3.15572544191669E-110,1.14766502814128E-109,4.15087641025582E-109,1.49304614082034E-108,5.34091273518164E-108,1.90005694251044E-107,6.72243618591559E-107,2.36535186360368E-106,8.27701747962433E-106,2.88045503770051E-105,9.96913548016676E-105,3.43133503889788E-104,1.17456766896521E-103,3.99854797959232E-103,1.3537422877748E-102,4.55805076162433E-102,1.52627173637517E-101,5.08269646086032E-101,1.68331797456615E-100,5.54431489800777E-100,1.81609861066368e-99,5.91617269095933e-99,1.91669145924274e-98,6.17552086138996e-98,1.97881444140499e-97,6.30589471218663e-97,1.99847444666696e-96,6.29884323663004e-96,1.97439204685792e-95,6.15483559176645e-95,1.90813927067807e-94,5.88320948396651e-94,1.80396981670763e-93,5.50116935431636e-93,1.66836719222795e-92,5.03198375336707e-92,1.50937749105026e-91,4.50264436063043e-91,1.33582217702786e-90,3.94131340409414e-90,1.1564975074395e-89,3.37489243169934e-89,9.79460141402921e-89,2.82699665317352e-88,8.11475877511155e-88,2.31652945451104e-87,6.5767605891438e-87,1.85694198429621e-86,5.21430990617423e-86,1.45615515050077e-85,4.04418372735634e-85,1.11703460946165e-84,3.06842150450707e-84,8.38255007422404e-84,2.27745686654269e-83,6.15371171961226e-83,1.65362578515247e-82,4.41927011301737e-82,1.17456540410334e-81,3.10468350433966e-81,8.16152025064935e-81,2.13372536311349e-80,5.54778774990761e-80,1.43454821588984e-79,3.68913538497761e-79,9.43513910015708e-79,2.39986290379469e-78,6.0707047766629e-78,1.52723720600142e-77,3.82110286040454e-77,9.50792974244853e-77,2.35287229426178e-76,5.79063327358232e-76,1.41732432555425e-75,3.45007119484415e-75,8.35223443684288e-75,2.01091292846476e-74,4.81504111928744e-74,1.14662934749018e-73,2.71558001322759e-73,6.39615284774239e-73,1.49827636316696e-72,3.49045526680501e-72,8.08703776358445e-72,1.86343525639649e-71,4.27028427858345e-71,9.73233642901633e-71,2.20594912970876e-70,4.97269862462044e-70,1.11482645860532e-69,2.48565642186103e-69,5.51180515813465e-69,1.21553025284789e-68,2.66598117593021e-68,5.81524497365266e-68,1.26153360518198e-67,2.72175954863303e-67,5.84011047214889e-67,1.24627247807675e-66,2.64500103315908e-66,5.5829001068825e-66,1.17196681343157e-65,2.44676634365222e-65,5.08032735253852e-65,1.04909110660517e-64,2.15455370273769e-64,4.40072629454249e-64,8.93952871320177e-64,1.80604447351131e-63,3.62882593629089e-63,7.25150328814389e-63,1.44116769182306e-62,2.84856343765777e-62,5.59967138887141e-62,1.09477487712275e-61,2.12869340514815e-61,4.11649699161567e-61,7.91715740611617e-61,1.51439075382201e-60,2.8809400748241e-60,5.45077843137344e-60,1.02567860012085e-59,1.91952143303436e-59,3.57276126728624e-59,6.61370555470276e-59,1.21763190500713e-58,2.22955390567037e-58,4.06023557734781e-58,7.35387596407855e-58,1.3246883300417e-57,2.37325281583367e-57,4.22870842394816e-57,7.49385853480549e-57,1.32080237350084e-56,2.31528999296872e-56,4.03653545939389e-56,6.99920331107437e-56,1.20705083250218e-55,2.07033344136012e-55,3.53177893677382e-55,5.99219469464404e-55,1.01115617728406e-54,1.69703670398787e-54,2.83273323825313e-54,4.70286341163727e-54,7.76536934977766e-54,1.27528067632323e-53,2.08302375094345e-53,3.38398432604853e-53,5.4677552558269e-53,8.78693364942253e-53,1.40447549766732e-52,2.23275227535383e-52,3.53034797444978e-52,5.55195795208941e-52,8.68415601411923e-52,1.35102383828695e-51,2.090516223322e-51,3.2173657642784e-51,4.92498558608076e-51,7.49839712666661e-51,1.13551327303104e-50,1.7103212838563e-50,2.56227858037896e-50,3.81803280992851e-50,5.65873279785218e-50,8.34193020214775e-50,1.22316042089639e-49,1.78390417507119e-49,2.58781158303269e-49,3.73395148961976e-49,5.35897225159224e-49,7.65020661875464e-49,1.08628984244901e-48,1.53426835067019e-48,2.15547121741198e-48,3.01210946020173e-48,4.18686839933302e-48,5.78895831267018e-48,7.96171629680905e-48,1.08920808431126e-47,1.48223042483049e-47,2.00643106347855e-47,2.70171464888827e-47,3.61880029653505e-47,4.82173107436581e-47,6.39084142112234e-47,8.42623167684988e-47,1.10517947125207e-46,1.44198321259993e-46,1.8716285986207e-46,2.41665960503795e-46,3.10421712253235e-46,3.96674374039773e-46,5.04273914948494e-46,6.3775553552593e-46,8.02421658258918e-46,1.00442440073083e-45,1.25084603913288e-45,1.54977445019305e-45,1.91037000847091e-45,2.34291994033879e-45,2.85887572693092e-45,3.47086884013062e-45,4.19269992424961e-45,5.03929653731379e-45,6.02663477342253e-45,7.17162053038346e-45,8.4919268862935e-45,1.00057850165433e-44,1.17317273180972e-44,1.36882828956932e-44,1.58936272738514e-44,1.83651900819109e-44,2.11192264533161e-44,2.41703599070355e-44,2.75311064483285e-44,3.12113914397983e-44,3.5218072349916e-44,3.95544816850532e-44,4.42200051604412e-44,4.92097103873957e-44,5.45140409903913e-44,6.01185900849832e-44,6.60039654419095e-44,7.21457564612387e-44,7.85146103425746e-44,8.50764216534756e-44,9.17926359863716e-44,9.86206646948604e-44,1.05514403969462e-43,1.12424847914286e-43,1.19300781981923e-43,1.26089540265962e-43,1.32737807871417e-43,1.39192447988832e-43,1.45401332460563e-43,1.51314154583082e-43,1.56883203633643e-43,1.62064082100536e-43,1.66816348755385e-43,1.71104073424095e-43,1.748962924567e-43,1.78167357315808e-43,1.80897172241538e-43,1.83071320452164e-43,1.84681081658261e-43,1.85723346675692e-43,1.86200437513846e-43,1.86119843412507e-43,1.85493884855514e-43,1.84339318584087e-43,1.82676897077893e-43,1.80530895903994e-43,1.77928621809779e-43,1.74899913529359e-43,1.71476646066959e-43,1.67692247803849e-43,1.6358123823439e-43,1.59178792553853e-43,1.54520337768203e-43,1.4964118353461e-43,1.44576189617946e-43,1.39359470695346e-43,1.34024138276866e-43,1.28602078740897e-43,1.23123765903306e-43,1.1761810613491e-43,1.12112313792504e-43,1.06631814609291e-43,1.01200174674767e-43,9.58390526952408e-44,9.05681733394055e-44,8.5405319616653e-44,8.03663423907939e-44,7.54651852842059e-44,7.07139233669096e-44,6.61228141453783e-44,6.17003594640551e-44,5.74533770085614e-44,5.33870801555493e-44,4.95051649537595e-44,4.58099030487026e-44,4.23022393843492e-44,3.8981893534173e-44,3.58474635350862e-44,3.28965311248576e-44,3.0125767319186e-44,2.75310373104739e-44,2.51075037273183e-44,2.2849727361779e-44,2.0751764549836e-44,1.88072604777355e-44,1.70095377813601e-44,1.53516799052402e-44,1.38266087901283e-44,1.24271565609303e-44,1.11461309880647e-44,9.97637459301594e-45,8.91081736121392e-45,7.94252311093375e-45,7.06472964449858e-45,6.27088287682909e-45,5.5546651957525e-45,4.91001835819248e-45,4.33116126639335e-45,3.8126029989019e-45,3.34915149254767e-45,2.9359182846932e-45,2.56831973026268e-45,2.24207510628071e-45,1.95320200870217e-45,1.69800943306057e-45,1.47308891277776e-45,1.27530406772307e-45,1.10177889160452e-45,9.49885080793406e-46,8.17228679938491e-46,7.01636291859732e-46,6.01141071295701e-46,5.13968694605559e-46,4.38523470914059e-46,3.73374734778138e-46,3.17243636517119e-46,2.68990424088585e-46,2.27602289950057e-46,1.9218183780841e-46,1.61936207560686e-46,1.36166882065139e-46,1.14260186607462e-46,9.56784809718163e-47,7.99520347937145e-47,6.66715692483626e-47,5.54814419873334e-47,4.60734474442337e-47,3.81812010481617e-47,3.15750733737816e-47,2.60576386829195e-47,2.14596015438815e-47,1.76361651272656e-47,1.4463805255279e-47,1.18374152191159e-47,9.66778767936085e-48,7.87940154132541e-48,6.40848347456084e-48,5.20131565723186e-48,4.21276331484163e-48,3.40499764111879e-48,2.74639169716864e-48,2.21056885125875e-48,1.77558522066641e-48,1.4232293897096e-48,1.13842439054446e-48,9.08718536218205e-49,7.23853183355481e-49,5.75396872481477e-49,4.56436547728e-49,3.61317697007255e-49,2.85426282776067e-49,2.25006257567997e-49,1.77007283716193e-49,1.38958009855724e-49,1.08860904913323e-49,8.51052204945432e-50,6.63951519248475e-50,5.16907035562976e-50,4.01591418854227e-50,3.11352467468565e-50,2.40888521472606e-50,1.85984095429285e-50,1.43295124507328e-50,1.10174966753404e-50,8.45337915714165e-51,6.47252409570405e-51,4.94553078572468e-51,3.77092634811209e-51,2.86932073701247e-51,2.17874323005584e-51,1.65093095579541e-51,1.24838251614871e-51,9.42024832022366e-52,7.09370185088015e-52,5.33064078383381e-52,3.99743868400967e-52,2.9914387202409e-52,2.23395446791571e-52,1.66480905813404e-52,1.23808496543347e-52,9.18824096177586e-53,6.80471920554839e-53,5.02902678063796e-53,3.708972338598e-53,2.7297265701813e-53,2.0048440976117e-53,1.46939301881975e-53,1.07470988785247e-53,7.84405127103597e-54,5.71328000782312e-54,4.15266121457001e-54,3.01205848651179e-54,2.18019935079314e-54,1.57479823028803e-54,1.13514028534659e-54,8.16526082461484e-55,5.86119936585422e-55,4.19854519465187e-55,3.00128389330949e-55,2.14097319155923e-55,1.52409236534877e-55,1.08269779545297e-55,7.67536653055074e-56,5.42983836987821e-56,3.83328038500748e-56,2.7005372876918e-56,1.89856589930096e-56,1.33197808866988e-56,9.32533391767083e-57,6.51519786306819e-57,4.5424142110865e-57,3.16039790212908e-57,2.19428332299794e-57,1.52033588546219e-57,1.05119260571586e-57,7.25305473196802e-58,4.99408027179789e-58,3.43151569208619e-58,2.35294820049511e-58,1.61003252755387e-58,1.09939267889849e-58,7.4914681519062e-59,5.09421113922173e-59,3.45686843751723e-59,2.34090973737717e-59,1.5819122587703e-59,1.06678284108946e-59,7.17902652853917e-60,4.82115396903287e-60,3.23096572714397e-60,2.1607753043884e-60,1.44205814102906e-60,9.60399312044234e-61,6.38288201173994e-61,4.23328686794817e-61,2.80178295453891e-61,1.85049188471174e-61,1.21965159338886e-61,8.0219563911803e-62,5.26527080188255e-62,3.44871284864902e-62,2.254183487459e-62,1.47033873919859e-62,9.57065017088485e-63,6.21672119783286e-63,4.02974204300351e-63,2.60668773498027e-63,1.68266118687299e-63,1.08392754415592e-63,6.96786510578623e-64,4.46987237138191e-64,2.86145168913813e-64,1.82798917530303e-64,1.16535093238133e-64,7.41371254417343e-65,4.70663656460674e-65,2.98182047481756e-65,1.8851600480793e-65,1.18935326347454e-65,7.48806173906298e-66,4.70461263962209e-66,2.94967544034346e-66,1.84552741059776e-66,1.15229233838143e-66,7.1796083702947e-67,4.46410851224866e-67,2.76990348641749e-67,1.71510391261323e-67,1.05977127796264e-67,6.53476176034286e-68,4.02108524085874e-68,2.46917975078879e-68,1.51306658584044e-68,9.25250398711889e-69,5.64620221293805e-69,3.43834523981853e-69,2.08948107360276e-69,1.26713623007051e-69,7.66838805254081e-70,4.63106377631129e-70,2.79095830511475e-70,1.67850191745566e-70,1.00736357095886e-70,6.03318368482196e-71,3.60580935354639e-71,2.15057642455231e-71,1.27997918383486e-71,7.60233213971196e-72,4.50595322465538e-72,2.66515471373332e-72,1.57309183820197e-72,9.26577258842716e-73,5.44634442964607e-73,3.19465875906974e-73,1.86999202501215e-73,1.09232265237334e-73,6.36733987696787e-74,3.70391516686327e-74,2.1501063245689e-74,1.24553159537951e-74,7.2002150444679e-75,4.15367098414535e-75,2.39119296661172e-75,1.37370368452065e-75,7.87530546733768e-76,4.50544466256598e-76,2.57219457665993e-76,1.46543271639426e-76,8.33151258419008e-77,4.72691434597816e-77,2.67625515883512e-77,1.51207456747247e-77,8.52540082591496e-78,4.79680773237072e-78,2.69330614753322e-78,1.50908964854987e-78,8.43801444392494e-79,4.70827038495104e-79,2.62167246612306e-79,1.45677130105395e-79,8.07793264918048e-80,4.46997387850118e-80,2.46834379704363e-80,1.36019827504603e-80,7.47988114374981e-81,4.10471568318846e-81,2.24785022708396e-81,1.22842195014448e-81,6.69921123131739e-82,3.64582385160363e-82,1.97999274358551e-82,1.07306844000369e-82,5.80346209253194e-83,3.13215170350874e-83,1.68691939646385e-83,9.06654416973009e-84,4.86278578033968e-84,2.60270173205094e-84,1.39014329942278e-84,7.40952976421906e-85,3.94110158936086e-85,2.09189806983599e-85,1.10804989072218e-85,5.85698373372474e-86,3.08947458651205e-86,1.62626435458155e-86,8.54266872880719e-87,4.47808048046476e-87,2.34253522501543e-87,1.2228586851881e-87,6.37033573176536e-88,3.31164882352617e-88,1.71799596242402e-88,8.89397506453736e-89,4.59478910691578e-89,2.36881511026765e-89,1.21868833215044e-89,6.25676795046201e-90,3.20555586489443e-90,1.63890038880244e-90,8.36175951741119e-91,4.25734352372134e-91,2.16309514616939e-91,1.09675205672847e-91,5.54928715888119e-92,2.80195945561682e-92,1.41182998468225e-92,7.09902756331489e-93,3.56214201726342e-93,1.78369052146883e-93,8.91299546237359e-94,4.4445088260115e-94,2.21166714861404e-94,1.09827644143245e-94,5.44251300197426e-95,2.69143062114822e-95,1.32819796272265e-95,6.54091246167653e-96,3.21447291445344e-96,1.57643878438756e-96,7.71507865513301e-97,3.76790124521725e-97,1.83634624734536e-97,8.93111206103419e-98,4.33463378856483e-98,2.09939999581431e-98,1.01469116418038e-98,4.89405078662944e-99,2.35558603857458e-99,1.13142397702881e-99,5.42310097778357E-100,2.59397574365033E-100,1.23816931501783E-100,5.89780038825428E-101,2.80347062024674E-101,1.32983529456095E-101,6.29499816463963E-102,2.97364600496541E-102,1.40177668690348E-102,6.59423325754391E-103,3.09560603322858E-103,1.45018353538678E-103,6.77947654173703E-104,3.16275288962129E-104,1.47241511377853E-104,6.84055247416488E-105,3.17137791432422E-105,1.46723852847737E-105,6.77406492213929E-106,3.12100089395867E-106,1.43494196961222E-106,6.58370995563476E-107,3.01441434712201E-107,1.37730813631634E-107,6.27993551946637E-108,2.85742712219803E-108,1.29745124576585E-108,5.87899158684368E-109,2.65834006404369E-109,1.19953836088149E-109,5.40149094352555E-110,2.42721959761429E-110,1.08842972621158E-110,4.87065787903876E-111,2.17505760178409E-111,9.69281239355982E-112,4.31047129890494E-112,1.91291474626558E-112,8.47154025810286E-113,3.74390697767677E-113,1.65113896639163E-113,7.26671471523569E-114,3.19145335166454E-114,1.39873292478015E-114,6.11754258818722E-115,2.67002367112135E-115,1.16291809558647E-115,5.0545099033854E-116,2.19232472471839E-116,9.48913484913898E-117,4.09868235021124E-117,1.76667966984267E-117,7.59918938138434E-118,3.26191493205675E-118,1.39724929912463E-118,5.97270516198381E-119,2.54779311393563E-119,1.0845589158539E-119,4.60721039019781E-120,1.95307467008092E-120,8.26219720811377E-121,3.48793331098216E-121,1.46938869807483E-121,6.17733457575556E-122,2.59156114393787E-122,1.08496993053581E-122,4.53283437757935E-123,1.88980897154544E-123,7.86252190619075E-124,3.2643877326573E-124,1.35250074317153E-124,5.59202615850069E-125,</v>
      </c>
      <c r="M5" s="4" t="s">
        <v>238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s="4" t="s">
        <v>246</v>
      </c>
      <c r="L6" s="4">
        <f>STupidExcelMean(L5)</f>
        <v>9.9251351342794744E+51</v>
      </c>
      <c r="M6" s="4">
        <f>STupidExcelVariance(L5,L6)</f>
        <v>2.3959694081509975E+114</v>
      </c>
      <c r="N6" t="s">
        <v>241</v>
      </c>
      <c r="Q6" s="4"/>
      <c r="R6" s="4"/>
    </row>
    <row r="7" spans="1:18" ht="15" customHeight="1">
      <c r="F7" s="21" t="s">
        <v>58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70</v>
      </c>
      <c r="L8" s="26">
        <f>G16*P8</f>
        <v>2.6563132345414381E+34</v>
      </c>
      <c r="M8" s="26">
        <f>H16</f>
        <v>2.8210645112533266</v>
      </c>
      <c r="N8">
        <v>-1</v>
      </c>
      <c r="O8" t="s">
        <v>78</v>
      </c>
      <c r="P8">
        <f>p_biological*p_not_care_about_animals*p_factory_farming</f>
        <v>0.16799999999999998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VLOOKUP($F9,Globals!$A$17:$F$24,4,FALSE)</f>
        <v>1</v>
      </c>
      <c r="H9">
        <f>VLOOKUP($F9,Globals!$A$17:$F$24,6,FALSE)</f>
        <v>0</v>
      </c>
      <c r="K9" t="s">
        <v>72</v>
      </c>
      <c r="L9" s="26">
        <f>G22*P9</f>
        <v>8.9599999999999976E+36</v>
      </c>
      <c r="M9" s="26">
        <f>H22</f>
        <v>3.4812165842895157</v>
      </c>
      <c r="N9">
        <v>-1</v>
      </c>
      <c r="O9" t="s">
        <v>90</v>
      </c>
      <c r="P9">
        <f>p_biological*p_not_care_about_animals*p_spread_was</f>
        <v>0.22399999999999998</v>
      </c>
      <c r="Q9" s="4"/>
      <c r="R9" s="4"/>
    </row>
    <row r="10" spans="1:18" ht="15" customHeight="1">
      <c r="A10" s="6" t="s">
        <v>47</v>
      </c>
      <c r="B10" s="4">
        <f>VLOOKUP($A10,Globals!$A$17:$F$24,4,FALSE)</f>
        <v>1000</v>
      </c>
      <c r="C10" s="4">
        <f>VLOOKUP($A10,Globals!$A$17:$F$24,6,FALSE)</f>
        <v>1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73</v>
      </c>
      <c r="L10" s="26">
        <f>G28*P10</f>
        <v>2.8334007835108666E+40</v>
      </c>
      <c r="M10" s="26">
        <f>H28</f>
        <v>4.1513686573257056</v>
      </c>
      <c r="N10">
        <v>-1</v>
      </c>
      <c r="O10" t="s">
        <v>91</v>
      </c>
      <c r="P10">
        <f>p_biological*p_not_care_about_animals*p_spread_was</f>
        <v>0.22399999999999998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4.5113686573257059</v>
      </c>
      <c r="K11" t="s">
        <v>74</v>
      </c>
      <c r="L11" s="26">
        <f>G35*P11</f>
        <v>6.7199999999999966E+38</v>
      </c>
      <c r="M11" s="26">
        <f>H35</f>
        <v>5.3218248764342739</v>
      </c>
      <c r="N11">
        <v>-1</v>
      </c>
      <c r="O11" t="s">
        <v>92</v>
      </c>
      <c r="P11">
        <f>p_biological*p_not_care_about_animals*p_suffering_simulations</f>
        <v>0.16799999999999998</v>
      </c>
      <c r="Q11" s="4"/>
      <c r="R11" s="4"/>
    </row>
    <row r="12" spans="1:18" ht="15" customHeight="1">
      <c r="B12" s="4"/>
      <c r="K12" t="s">
        <v>76</v>
      </c>
      <c r="L12" s="26">
        <f>B16*P12</f>
        <v>4.7434164902525701E+43</v>
      </c>
      <c r="M12" s="26">
        <f>C16</f>
        <v>4.9513686573257054</v>
      </c>
      <c r="N12">
        <v>-1</v>
      </c>
      <c r="O12" t="s">
        <v>94</v>
      </c>
      <c r="P12">
        <f>p_computronium*p_paperclip</f>
        <v>7.5000000000000011E-2</v>
      </c>
      <c r="Q12" s="4"/>
      <c r="R12" s="4"/>
    </row>
    <row r="13" spans="1:18" ht="15" customHeight="1">
      <c r="F13" s="1" t="s">
        <v>61</v>
      </c>
      <c r="K13" t="s">
        <v>77</v>
      </c>
      <c r="L13" s="26">
        <f>B21*P13</f>
        <v>1.5811388300841899E+46</v>
      </c>
      <c r="M13" s="26">
        <f>C21</f>
        <v>4.5113686573257059</v>
      </c>
      <c r="N13">
        <v>-1</v>
      </c>
      <c r="O13" t="s">
        <v>95</v>
      </c>
      <c r="P13">
        <f>p_computronium*p_dolorium</f>
        <v>5.000000000000001E-3</v>
      </c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K14" t="s">
        <v>244</v>
      </c>
      <c r="L14" s="4" t="str">
        <f>WriteArray(SumLognormDists(L8:M13))</f>
        <v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9.88131291682493E-324,1.00295326105773E-321,6.53401816625049E-320,4.21317443884998E-318,2.67974096699648E-316,1.68075811529373E-314,1.03955527097089E-312,6.34044964843011E-311,3.81349133279253E-309,2.26180848825459E-307,1.32287675321539E-305,7.62980711827111E-304,4.33948792281089E-302,2.4338527066333E-300,1.34611175248776E-298,7.34174153645528E-297,3.94864739123529E-295,2.09425248804866E-293,1.09532068444675E-291,5.64917775567007E-290,2.87316809154088E-288,1.44101603739684E-286,7.12703222514924E-285,3.4760090964395E-283,1.67180456118951E-281,7.92907771410716E-280,3.70845112105529E-278,1.71039063633556E-276,7.77913089958415E-275,3.48899237046018E-273,1.54312918774606E-271,6.73035595567465E-270,2.89472572899506E-268,1.22775187826837E-266,5.13508636661577E-265,2.11796617014614E-263,8.61439081322974E-262,3.45513143783485E-260,1.36659300472663E-258,5.33026253271356E-257,2.05018458340677E-255,7.77629013771383E-254,2.90862177718322E-252,1.07284634351248E-250,3.90232517183093E-249,1.39973306102506E-247,4.95111486668835E-246,1.72701847350554E-244,5.94055947717354E-243,2.01508924384161E-241,6.74059107862769E-240,2.22350765234509E-238,7.23296592808156E-237,2.32023272963628E-235,7.33979979180674E-234,2.28967906671416E-232,7.04373404402575E-231,2.13682730803544E-229,6.39255165830944E-228,1.88589548509183E-226,5.48655527874447E-225,1.57405851927802E-223,4.45329208670171E-222,1.24245565479565E-220,3.41837924066504E-219,9.27469079321855E-218,2.48152533794654E-216,6.54754200113991E-215,1.70364227049798E-213,4.37138733373E-212,1.10611727725993E-210,2.7600967454031E-209,6.79186301636486E-208,1.64814440216705E-206,3.94406058094922E-205,9.30752305229766E-204,2.16604334624581E-202,4.97099014383142E-201,1.12502366047024E-199,2.51086676810005E-198,5.52623317545589E-197,1.19944002382735E-195,2.5672722963035E-194,5.4188817644688E-193,1.1279556890996E-191,2.31536417576988E-190,4.68696568034621E-189,9.35642028980833E-188,1.84193139312429E-186,3.57588262916394E-185,6.84604014660632E-184,1.29253500780804E-182,2.4065350166074E-181,4.41864761935881E-180,8.00081417391891E-179,1.42865364651931E-177,2.51575304922412E-176,4.36875487164596E-175,7.48163126644756E-174,1.26352610155035E-172,2.10436842813048E-171,3.45628328076717E-170,5.59818483974006E-169,8.94202437155089E-168,1.40856062460374E-166,2.18809760153544E-165,3.35204365499519E-164,5.06413010748712E-163,7.54488538003416E-162,1.1085452754515E-160,1.6062295918911E-159,2.2951740009662E-158,3.23428158190627E-157,4.49463757486455E-156,6.15979974510362E-155,8.3251871747648E-154,1.10962787166615E-152,1.45853579196018E-151,1.89066098696223E-150,2.41694925962117E-149,3.04704712065527E-148,3.78834088056382E-147,4.64491378590802E-146,5.61649637471229E-145,6.69750469492051E-144,7.87627365972308E-143,9.13459530203982E-142,1.04476615242994E-140,1.17844869766669E-139,1.31088506228672E-138,1.4380747101585E-137,1.55582858430097E-136,1.6599923222903E-135,1.74668677076882E-134,1.81254665494808E-133,1.85493703644801E-132,1.87212818237063E-131,1.86341267492241E-130,1.82915371083635E-129,1.77075999452532E-128,1.69058964337426E-127,1.59179223994593E-126,1.4781037709264E-125,1.35361303765667E-124,1.22251981499267E-123,1.08890448401853E-122,9.56526280263307E-122,8.2866314371072E-121,7.08001056580483E-120,5.96575397648004E-119,4.95761873983061E-118,4.06310531095711E-117,3.28413525682815E-116,2.61795902130897E-115,2.05818483657926E-114,1.59582958158813E-113,1.22030997116495E-112,9.20314456390971E-112,6.8451931482743E-111,5.02133865259143E-110,3.63277620768335E-109,2.59205438483373E-108,1.82405082254483E-107,1.26595471598058E-106,8.66540553435249E-106,5.84992362800073E-105,3.89496183168113E-104,2.55769685961036E-103,1.65649055215166E-102,1.05809359888231E-101,6.66585207435645E-101,4.141760445586E-100,2.53812664987721e-99,1.53405853055676e-98,9.14475869467773e-98,5.37657407272729e-97,3.11776586496192e-96,1.78314761142315e-95,1.00586226832197e-94,5.59627036035889e-94,3.0709261409691e-93,1.66208095625872e-92,8.87255580564453e-92,4.67154738038582e-91,2.42599533167312e-90,1.24261938956255e-89,6.27779425532423e-89,3.12823010650682e-88,1.53749916797615e-87,7.45345525486647e-87,3.56392863789251e-86,1.68085801011843e-85,7.81926405215756e-85,3.58786222271185e-84,1.62383885660582e-83,7.24919407366222e-83,3.19211513984245e-82,1.38647441922644e-81,5.9400788001053e-81,2.51028018702048e-80,1.04641638133077e-79,4.30270898856433e-79,1.7451685874906e-78,6.98222297561327e-78,2.75558611404043e-77,1.07275694915774e-76,4.11963734078219e-76,1.56059518565107e-75,5.83174598764384e-75,2.14974791857544e-74,7.81737116322548e-74,2.80428377844162e-73,9.92373405856692e-73,3.46436970150723e-72,1.19309070869994e-71,4.05347139888267e-71,1.35859378991715e-70,4.49226736851612e-70,1.46541212720842e-69,4.71603585200826e-69,1.49734761937206e-68,4.69031126540712e-68,1.44950473426495e-67,4.41959226501594e-67,1.32952104560345e-66,3.94606955080356e-66,1.15557209459092e-65,3.3388634668521e-65,9.51867135822943e-65,2.67754677983526e-64,7.43169931346496e-64,2.03534042929486e-63,5.50036715390041e-63,1.46676356463551e-62,3.85967548612412e-62,1.00224170740816e-61,2.56823197281239e-61,6.49449774630063e-61,1.62075083871273e-60,3.99168722510763e-60,9.70234964334118e-60,2.32749377749864e-59,5.51064945111653e-59,1.28775013827991e-58,2.97021151599399e-58,6.76212174621108e-58,1.51960889635803e-57,3.37091527615781e-57,7.3815150026021e-57,1.59565834489102e-56,3.40523206698648e-56,7.17434449471515e-56,1.49232492667845e-55,3.06484020445565e-55,6.21489612277254e-55,1.24440156114996e-54,2.4604108896982e-54,4.80391935391146e-54,9.26288125639788e-54,1.76392846842674e-53,3.31759469235972e-53,6.16306903584407e-53,1.13090682918748e-52,2.04992679498733e-52,3.67077841528444e-52,6.49402223948674e-52,1.13509863112068e-51,1.96041065326882e-51,3.34568076925315e-51,5.64257418495239e-51,9.40497619097575e-51,1.54938396013764e-50,2.52299039990409e-50,4.0612763335994e-50,6.46302803088569e-50,1.01688812911803e-49,1.58201988576845e-49,2.4338352611065e-49,3.70297343762784e-49,5.57225126636795e-49,8.29416598363442e-49,1.22128960282281e-48,1.77914414675557e-48,2.56444499687504e-48,3.65770942687348e-48,5.16300856580663e-48,7.2130511790465e-48,9.97476694150547e-48,1.36552426232696e-47,1.85077906318198e-47,2.48378480622558e-47,3.3008320447742e-47,4.34439040588367e-47,5.66338516053542e-47,7.31325973421464e-47,9.35576381203923e-47,1.18584085759948e-46,1.48935370843523e-46,1.85369693912832e-46,2.28661989004063e-46,2.79581384219529e-46,3.38864407529495e-46,4.07184481172668e-46,4.8511855808774e-46,5.73112058033874e-46,6.71443536079588e-46,7.8019073770155e-46,8.99199839754999e-46,1.02805972534407e-45,1.16608307890387e-45,1.31229590865579e-45,1.46543680860309e-45,1.623966872081e-45,1.78609068308667e-45,1.94978826745059e-45,2.11285731650576e-45,2.27296443778878e-45,2.42770367751684e-45,2.57466013271507e-45,2.711476156243e-45,2.83591747727687e-45,2.94593652540481e-45,3.03973036052492e-45,3.11579086511707e-45,3.17294523271673e-45,3.21038526127996e-45,3.22768450166308e-45,3.2248028855549e-45,3.20207902924339e-45,3.16021094684515e-45,3.10022638044514e-45,3.02344434214503e-45,2.93142974838376e-45,2.82594320159906e-45,2.70888803725091e-45,2.58225671112366e-45,2.44807846413538e-45,2.30836998555019e-45,2.16509051942869e-45,2.0201025437446e-45,1.87513881724067e-45,1.73177625493886e-45,1.59141677612366e-45,1.45527498241883e-45,1.32437227863976e-45,1.19953685215416e-45,1.08140878071836e-45,9.70449444151678e-46,8.66954369000371e-46,7.71068632591535e-46,6.82803987115228e-46,6.02056928207811e-46,5.28627018211587e-46,4.62234874284068e-46,4.02539338817418e-46,3.49153458057186e-46,3.01658999280018e-46,2.59619333441279e-46,2.22590596013923e-46,1.90131112061932e-46,1.61809131632428e-46,1.37208968321917e-46,1.15935668022913e-46,9.76183575045199e-47,8.19124350502691e-47,6.85007694609364e-47,5.70940709687257e-47,4.74305895935469e-47,3.92752846758675e-47,3.241859505265e-47,2.66749237208846e-47,2.18809347740888e-47,1.78937446207397e-47,1.45890745361206e-47,1.1859417832798e-47,9.61226259159775e-48,7.76840009024665e-48,6.2603398246616e-48,5.03084429267054e-48,4.03159040675874e-48,3.22195939389868e-48,2.5679531809474e-48,2.04123240059048e-48,1.61826913370115e-48,1.27960618488429e-48,1.0092139358493e-48,7.93935516829556e-49,6.23011075161654e-49,4.87672213026602e-49,3.80798138416097e-49,2.96625663285641e-49,2.3050584144191e-49,1.78700727565007e-49,1.38214428713358e-49,1.06653289324329e-49,8.21106851751584e-50,6.30724912885587e-50,4.83398277621617e-50,3.69661735607557e-50,2.82063714085098e-50,2.14754287490029e-50,1.63153531770387e-50,1.23685494093707e-50,9.35655278488923e-51,7.0630856584807e-51,5.32060203528979e-51,3.99963637828096e-51,3.0003984543944e-51,2.24616080010208e-51,1.67807199009418e-51,1.25110014784502e-51,9.3086947619046e-52,6.91200126613207e-52,5.12200292192935e-52,3.78790559964127e-52,2.79565614920588e-52,2.05918461615635e-52,1.51368348932346e-52,1.11046320139762e-52,8.13024000512385e-53,5.94063960335736e-53,4.33205558861661e-53,3.15272392384422e-53,2.28985997373848e-53,1.65982678678853e-53,1.20073489381189e-53,8.66885127065465e-54,6.24605011954855e-54,4.49136361399658e-54,3.22313932371378e-54,2.30837979178201e-54,1.64991638017166e-54,1.17690718910364e-54,8.37813215141018e-55,5.95217902939798e-55,4.22014741275212e-55,2.98607821476306e-55,2.10860739425834e-55,1.4859709995379e-55,1.04506689546649e-55,7.33493209807392e-56,5.13766135362521e-56,3.5912973263869e-56,2.50526069466103e-56,1.74409184280644e-56,1.21171324440729e-56,8.40124553432991e-57,5.81299683567166e-57,4.01391689561793e-57,2.76597257335319e-57,1.90212000738997e-57,1.30538279495342e-57,8.94019892677788e-58,6.11033799107598e-58,4.16765239663813e-58,2.83677848212261e-58,1.92693264824573e-58,1.30621402512923e-58,8.83625799564336e-59,5.96524426755965e-59,4.01877282791139e-59,2.70186511086726e-59,1.81275231579614e-59,1.21371720562903e-59,8.10961870001396e-60,5.40738031022953e-60,3.59812819263467e-60,2.38929229245372e-60,1.58330497169438e-60,1.04703749775193e-60,6.90974463640623e-61,4.5505470464682e-61,2.99065852387876e-61,1.96142372171518e-61,1.2837402997094e-61,8.38462939307552e-62,5.46501439449577e-62,3.55467007959251e-62,2.30731905010146e-62,1.49456976642394e-62,9.66105939430346e-63,6.23208212753331e-63,4.01181857715492e-63,2.57720493956534e-63,1.65217495924619e-63,1.05696934193395e-63,6.74788836689885e-64,4.2990491158392e-64,2.73322776372584e-64,1.73411551783498e-64,1.09794073900856e-64,6.93710621304983e-65,4.37397459125383e-65,2.75215277625234e-65,1.72809295315336e-65,1.08282892582395e-65,6.77096706556327e-66,4.22512512972048e-66,2.63103358592475e-66,1.63497484733209e-66,1.01389633760918e-66,6.27442247999897e-67,3.87482078039395e-67,2.38796015929226e-67,1.46858830791103e-67,9.01302404497526e-68,5.51999151649393e-68,3.3736781904889e-68,2.05762490260106e-68,1.25235086856393e-68,7.60646808092272e-69,4.61038547749742e-69,2.78861494739267e-69,1.68320472420967e-69,1.01387022452787e-69,6.09431353428356e-70,3.65564637197247e-70,2.18826787420765e-70,1.30717483636089e-70,7.79226523946408e-71,4.6354360738151e-71,2.75178345565969e-71,1.63017667184861e-71,9.63722111496868e-72,5.68546088225644e-72,3.34715792846323e-72,1.96645214738375e-72,1.1528881790939e-72,6.74508755301253e-73,3.93808036510275e-73,2.29444744235667e-73,1.33403796147154e-73,7.74024622465795e-74,4.48164919382144e-74,2.5895089487773e-74,1.49311559133413e-74,8.59143846179502e-75,4.93326856416681e-75,2.82683226322176e-75,1.61644789273556e-75,9.22400975626782e-76,5.25259791942466e-76,2.98486646129306e-76,1.69266878962287e-76,9.57889439020884e-77,5.4094746395904e-77,3.04853430346825e-77,1.7144442393938e-77,9.62170224233078e-78,5.38860959201794e-78,3.01160337275387e-78,1.67963558698376e-78,9.34821276093065e-79,5.19204355427627e-79,2.87769176963832e-79,1.59164578110455e-79,8.78506059799288e-80,4.83881795720426e-80,2.65968363320407e-80,1.45887084484705e-80,7.9854587225249e-81,4.36193355343871e-81,2.37768527075643e-81,1.29337906768504e-81,7.02091023733663e-82,3.80326983613225e-82,2.05597096505921e-82,1.10910567906155e-82,5.97069640634429e-83,3.20754790718898e-83,1.71956030615135e-83,9.19936315263839e-84,4.91127443278855e-84,2.61653605596947e-84,1.39109030128891e-84,7.38040160940152e-85,3.9075157380598e-85,2.06451261762852e-85,1.08850494826244e-85,5.72716018800191e-86,3.00707531869684e-86,1.5755976735298e-86,8.23839102356395e-87,4.29868393019616e-87,2.23833283362707e-87,1.16308070878173e-87,6.03102421383937e-88,3.12081713155282e-88,1.61154188371376e-88,8.30445042796008e-89,4.27047533543621e-89,2.1914802311749e-89,1.12226369236452e-89,5.73519622869518e-90,2.92481002079906e-90,1.48848016288271e-90,7.55934988195055e-91,3.83108552626024e-91,1.9375604027411e-91,9.77877951017051e-92,4.92504333291082e-92,2.47532059296968e-92,1.24150607432478e-92,6.21387104108828e-93,3.10364195977137e-93,1.54695251709592e-93,7.69446344417914e-94,3.8192288729562e-94,1.89177296452528e-94,9.35100584689135e-95,4.61257695935258e-95,2.27051776150877e-95,1.11532686243482e-95,5.46733140939436e-96,2.67451240025795e-96,1.30559899939393e-96,6.36020299805541e-97,3.09191909046604e-97,1.49996538971014e-97,7.26156666477985e-98,3.50812768077423e-98,1.69128355255338e-98,8.1367960411486e-99,3.90648718840387e-99,1.87160996039834e-99,8.94829430907479E-100,4.2693439009043E-100,2.03272199237644E-100,9.65808001749595E-101,4.57930508814428E-101,2.16672764030375E-101,1.02306925496492E-101,4.82060679086869E-102,2.26670157905873E-102,1.06361131786955E-102,4.98043775161126E-103,2.32727683162314E-103,1.0852368665091E-103,5.05006530390344E-104,2.34512184464028E-104,1.0867503593449E-104,5.02562564330376E-105,2.31924398948703E-105,1.06806751549337E-105,4.90847897703469E-106,2.2510810186419E-106,1.03022308843306E-106,4.7050841309901E-107,2.14436875303328E-107,9.75275937554995E-108,4.42640869791583E-108,2.00480194253538E-108,9.06123514986948E-109,4.08694967940935E-109,1.83953113614823E-109,8.26249023634524E-110,3.70348627264782E-110,1.65655737890334E-110,7.39431915876026E-111,3.29371384666133E-111,1.46409583302331E-111,6.4945506704812E-112,2.87491282907444E-112,1.26997806302086E-112,5.59839742221646E-113,2.46278896690185E-113,1.08115171696505E-113,4.73633110231572E-114,2.07058678498225E-114,9.03318265496796E-115,3.93263932702331E-115,1.70853317755138E-115,7.40727876383011E-116,3.20471885948728E-116,1.3836210442664E-116,5.96129149032248E-117,2.56306449829232E-117,1.09970117978258E-117,4.70853525797912E-118,2.01183770776962E-118,8.57819754671793E-119,3.65001901246708E-119,1.54985188226032E-119,6.56721523373544E-120,2.77695148931624E-120,1.17179415046284E-120,4.9343545232319E-121,2.07350633217419E-121,8.69513595670432E-122,3.63867598347553E-122,1.51951989158159E-122,6.33235705687345E-123,2.63342165425277E-123,1.09287732096027E-123,4.52604045154048E-124,1.87051612685603E-124,7.71437050232312E-125,3.17494014525836E-125,1.30396701819145E-125,5.34433519334492E-126,2.18583206058415E-126,8.92145968738157E-127,</v>
      </c>
      <c r="M14" s="4" t="s">
        <v>238</v>
      </c>
    </row>
    <row r="15" spans="1:18" ht="15" customHeight="1">
      <c r="A15" s="6" t="s">
        <v>48</v>
      </c>
      <c r="B15" s="4">
        <f>VLOOKUP($A15,Globals!$A$17:$F$24,4,FALSE)</f>
        <v>0.2</v>
      </c>
      <c r="C15" s="4">
        <f>VLOOKUP($A15,Globals!$A$17:$F$24,6,FALSE)</f>
        <v>1.44</v>
      </c>
      <c r="F15" s="6" t="s">
        <v>43</v>
      </c>
      <c r="G15">
        <f>VLOOKUP($F15,Globals!$A$17:$F$24,4,FALSE)</f>
        <v>5</v>
      </c>
      <c r="H15">
        <f>VLOOKUP($F15,Globals!$A$17:$F$24,6,FALSE)</f>
        <v>0.09</v>
      </c>
      <c r="K15" s="4" t="s">
        <v>245</v>
      </c>
      <c r="L15" s="4">
        <f>STupidExcelMean(L14)</f>
        <v>2.5260339072773361E+51</v>
      </c>
      <c r="M15" s="4">
        <f>STupidExcelVariance(L14,L15)</f>
        <v>1.5113997487584372E+113</v>
      </c>
      <c r="N15" s="8" t="s">
        <v>241</v>
      </c>
    </row>
    <row r="16" spans="1:18" ht="15" customHeight="1">
      <c r="A16" s="31" t="s">
        <v>60</v>
      </c>
      <c r="B16" s="26">
        <f>PRODUCT($B$3:$B$6)*B15</f>
        <v>6.3245553203367596E+44</v>
      </c>
      <c r="C16" s="26">
        <f>SUM(C$3:C$6)+C15</f>
        <v>4.9513686573257054</v>
      </c>
      <c r="F16" s="32" t="s">
        <v>60</v>
      </c>
      <c r="G16" s="26">
        <f>PRODUCT(G$3:G$4)*PRODUCT(G14:G15)</f>
        <v>1.5811388300841894E+35</v>
      </c>
      <c r="H16" s="26">
        <f>SUM(H$3:H$4)+SUM(H14:H15)</f>
        <v>2.8210645112533266</v>
      </c>
    </row>
    <row r="17" spans="1:23" ht="15" customHeight="1">
      <c r="K17" s="4" t="s">
        <v>242</v>
      </c>
      <c r="L17" s="4">
        <f>L6-L15</f>
        <v>7.3991012270021376E+51</v>
      </c>
      <c r="M17" s="4">
        <f>(M6+L6^2)+(M15+L15^2)-L17^2</f>
        <v>2.5471093830769836E+114</v>
      </c>
    </row>
    <row r="18" spans="1:23" ht="15" customHeight="1">
      <c r="K18" s="47" t="s">
        <v>134</v>
      </c>
      <c r="L18" s="34">
        <f>EXP(BucketMu(L17,M17))</f>
        <v>3.4303160870117568E+46</v>
      </c>
      <c r="M18" s="34">
        <f>(BucketSigma(L17,M17) / LN(10))^2</f>
        <v>4.6329187530560025</v>
      </c>
    </row>
    <row r="19" spans="1:23" ht="15" customHeight="1">
      <c r="A19" s="21" t="s">
        <v>57</v>
      </c>
      <c r="F19" s="1" t="s">
        <v>63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VLOOKUP($A20,Globals!$A$17:$F$24,4,FALSE)</f>
        <v>1000</v>
      </c>
      <c r="C20" s="4">
        <f>VLOOKUP($A20,Globals!$A$17:$F$24,6,FALSE)</f>
        <v>1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S20" s="41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4.5113686573257059</v>
      </c>
      <c r="F21" s="6" t="s">
        <v>44</v>
      </c>
      <c r="G21">
        <f>VLOOKUP($F21,Globals!$A$17:$F$24,4,FALSE)</f>
        <v>0.4</v>
      </c>
      <c r="H21">
        <f>VLOOKUP($F21,Globals!$A$17:$F$24,6,FALSE)</f>
        <v>0.36</v>
      </c>
      <c r="L21" s="4"/>
      <c r="M21" s="4"/>
      <c r="N21" s="49"/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3.9999999999999993E+37</v>
      </c>
      <c r="H22" s="26">
        <f>SUM(H$3:H$4)+SUM(H20:H21)</f>
        <v>3.4812165842895157</v>
      </c>
      <c r="L22" s="3"/>
      <c r="M22" s="3"/>
      <c r="S22" s="16"/>
      <c r="T22" s="4"/>
      <c r="U22" s="4"/>
      <c r="V22" s="4"/>
      <c r="W22" s="4"/>
    </row>
    <row r="23" spans="1:23" ht="15" customHeight="1">
      <c r="B23" s="4"/>
      <c r="C23" s="4"/>
      <c r="K23" s="4"/>
      <c r="L23" s="4"/>
      <c r="M23" s="4"/>
      <c r="S23" s="16"/>
      <c r="T23" s="4"/>
      <c r="U23" s="4"/>
      <c r="V23" s="4"/>
      <c r="W23" s="4"/>
    </row>
    <row r="24" spans="1:23" ht="15" customHeight="1">
      <c r="B24" s="4"/>
      <c r="C24" s="4"/>
      <c r="L24" s="4"/>
      <c r="M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M25" s="49"/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M26" s="49"/>
      <c r="S26" s="42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VLOOKUP($F27,Globals!$A$17:$F$24,4,FALSE)</f>
        <v>0.04</v>
      </c>
      <c r="H27">
        <f>VLOOKUP($F27,Globals!$A$17:$F$24,6,FALSE)</f>
        <v>0.64000000000000012</v>
      </c>
      <c r="M27" s="49"/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1.2649110640673514E+41</v>
      </c>
      <c r="H28" s="26">
        <f>SUM(H$3:H$4)+SUM(H26:H27)</f>
        <v>4.1513686573257056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VLOOKUP($F34,Globals!$A$17:$F$24,4,FALSE)</f>
        <v>0.04</v>
      </c>
      <c r="H34">
        <f>VLOOKUP($F34,Globals!$A$17:$F$24,6,FALSE)</f>
        <v>0.64000000000000012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3.9999999999999985E+39</v>
      </c>
      <c r="H35" s="26">
        <f>SUM(H$3:H$4)+SUM(H32:H34)</f>
        <v>5.3218248764342739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G2" sqref="G2:H2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158</v>
      </c>
      <c r="F1" s="1" t="s">
        <v>79</v>
      </c>
    </row>
    <row r="2" spans="1:16">
      <c r="B2" t="s">
        <v>0</v>
      </c>
      <c r="C2" t="s">
        <v>1</v>
      </c>
      <c r="G2" s="8" t="s">
        <v>247</v>
      </c>
      <c r="H2" s="8" t="s">
        <v>248</v>
      </c>
      <c r="I2" t="s">
        <v>107</v>
      </c>
    </row>
    <row r="3" spans="1:16">
      <c r="A3" s="29" t="s">
        <v>120</v>
      </c>
      <c r="B3" s="27">
        <v>50000000000</v>
      </c>
      <c r="C3" s="27">
        <v>1000000000000</v>
      </c>
      <c r="D3" t="s">
        <v>191</v>
      </c>
      <c r="G3">
        <v>1</v>
      </c>
      <c r="H3">
        <f>I3^2</f>
        <v>6.25E-2</v>
      </c>
      <c r="I3">
        <v>0.25</v>
      </c>
    </row>
    <row r="4" spans="1:16">
      <c r="A4" s="29" t="s">
        <v>114</v>
      </c>
      <c r="B4" s="15">
        <v>0.1</v>
      </c>
      <c r="C4" s="15">
        <v>0.5</v>
      </c>
      <c r="D4" t="s">
        <v>237</v>
      </c>
      <c r="F4" s="33" t="s">
        <v>97</v>
      </c>
      <c r="G4" s="34">
        <f>ParetoPosterior(median,alpha,G3:H3)</f>
        <v>1.0718443947358864</v>
      </c>
      <c r="H4" s="4"/>
    </row>
    <row r="5" spans="1:16">
      <c r="A5" s="29" t="s">
        <v>115</v>
      </c>
      <c r="B5" s="15">
        <v>1.7999999999999999E-2</v>
      </c>
      <c r="C5" s="15">
        <v>0.18</v>
      </c>
      <c r="F5" s="33" t="s">
        <v>108</v>
      </c>
      <c r="G5" s="34">
        <f>LognormPosterior(mu_global_poverty,sigma_global_poverty,G3:H3)</f>
        <v>1.1516259366300541</v>
      </c>
      <c r="H5" s="4"/>
    </row>
    <row r="6" spans="1:16">
      <c r="A6" s="29" t="s">
        <v>116</v>
      </c>
      <c r="B6" s="15">
        <v>0.02</v>
      </c>
      <c r="C6" s="15">
        <v>0.2</v>
      </c>
    </row>
    <row r="7" spans="1:16">
      <c r="A7" s="4" t="s">
        <v>110</v>
      </c>
      <c r="B7" s="19">
        <f>1000/C3*interest_rate</f>
        <v>5.0000000000000008E-11</v>
      </c>
      <c r="C7" s="19">
        <f>1000/B3*interest_rate</f>
        <v>1.0000000000000001E-9</v>
      </c>
    </row>
    <row r="8" spans="1:16">
      <c r="F8" s="1" t="s">
        <v>109</v>
      </c>
    </row>
    <row r="9" spans="1:16">
      <c r="G9" t="s">
        <v>2</v>
      </c>
      <c r="H9" t="s">
        <v>34</v>
      </c>
      <c r="J9" s="25"/>
      <c r="K9" s="4"/>
      <c r="L9" s="4"/>
      <c r="M9" s="4"/>
      <c r="N9" s="25"/>
      <c r="O9" s="4"/>
      <c r="P9" s="4"/>
    </row>
    <row r="10" spans="1:16">
      <c r="F10" t="s">
        <v>114</v>
      </c>
      <c r="G10">
        <f>GEOMEAN($B$4,$C$4)</f>
        <v>0.22360679774997896</v>
      </c>
      <c r="H10">
        <f>LogVariance($B$4,$C$4)</f>
        <v>0.27270459618181209</v>
      </c>
      <c r="J10" s="4"/>
      <c r="K10" s="4"/>
      <c r="L10" s="4"/>
      <c r="M10" s="4"/>
      <c r="N10" s="4"/>
      <c r="O10" s="4"/>
      <c r="P10" s="4"/>
    </row>
    <row r="11" spans="1:16">
      <c r="F11" s="4" t="s">
        <v>115</v>
      </c>
      <c r="G11">
        <f>GEOMEAN($B$5,$C$5)</f>
        <v>5.6920997883030823E-2</v>
      </c>
      <c r="H11">
        <f>LogVariance($B$5,$C$5)</f>
        <v>0.39015207303618948</v>
      </c>
      <c r="J11" s="4"/>
      <c r="K11" s="4"/>
      <c r="L11" s="4"/>
      <c r="M11" s="4"/>
      <c r="N11" s="4"/>
      <c r="O11" s="4"/>
      <c r="P11" s="4"/>
    </row>
    <row r="12" spans="1:16" ht="20">
      <c r="A12" s="7" t="s">
        <v>67</v>
      </c>
      <c r="F12" t="s">
        <v>110</v>
      </c>
      <c r="G12">
        <f>GEOMEAN($B$7,$C$7)</f>
        <v>2.2360679774997899E-10</v>
      </c>
      <c r="H12">
        <f>LogVariance($B$7,$C$7)</f>
        <v>0.50759954989056688</v>
      </c>
      <c r="J12" s="4"/>
      <c r="K12" s="4"/>
      <c r="L12" s="4"/>
      <c r="M12" s="4"/>
      <c r="N12" s="4"/>
      <c r="O12" s="4"/>
      <c r="P12" s="4"/>
    </row>
    <row r="13" spans="1:16">
      <c r="A13" s="1" t="s">
        <v>148</v>
      </c>
      <c r="F13" s="4" t="s">
        <v>234</v>
      </c>
      <c r="G13" s="4">
        <f>PRODUCT(G10:G12)</f>
        <v>2.8460498941515414E-12</v>
      </c>
      <c r="H13" s="4">
        <f>SUM(H10:H12)</f>
        <v>1.1704562191085683</v>
      </c>
      <c r="J13" s="4"/>
      <c r="K13" s="4"/>
      <c r="L13" s="4"/>
      <c r="M13" s="4"/>
      <c r="N13" s="4"/>
      <c r="O13" s="4"/>
      <c r="P13" s="4"/>
    </row>
    <row r="14" spans="1:16">
      <c r="A14" s="30" t="s">
        <v>105</v>
      </c>
      <c r="B14" s="5">
        <f>G15-G26+G4</f>
        <v>1.0718443947358864</v>
      </c>
      <c r="F14" s="4"/>
      <c r="G14" s="4"/>
      <c r="H14" s="4"/>
      <c r="J14" s="4"/>
      <c r="K14" s="4"/>
      <c r="L14" s="4"/>
      <c r="M14" s="4"/>
      <c r="N14" s="4"/>
      <c r="O14" s="4"/>
      <c r="P14" s="4"/>
    </row>
    <row r="15" spans="1:16">
      <c r="A15" s="30" t="s">
        <v>106</v>
      </c>
      <c r="B15" s="5">
        <f>G16-G27+G5</f>
        <v>1.1516259366300541</v>
      </c>
      <c r="F15" s="4"/>
      <c r="G15" s="4"/>
      <c r="H15" s="4"/>
      <c r="J15" s="4"/>
      <c r="K15" s="4"/>
      <c r="L15" s="4"/>
      <c r="M15" s="4"/>
      <c r="N15" s="4"/>
      <c r="O15" s="4"/>
      <c r="P15" s="4"/>
    </row>
    <row r="16" spans="1:16">
      <c r="F16" s="4"/>
      <c r="G16" s="4"/>
      <c r="H16" s="4"/>
      <c r="J16" s="4"/>
      <c r="K16" s="4"/>
      <c r="L16" s="4"/>
      <c r="M16" s="4"/>
      <c r="N16" s="4"/>
      <c r="O16" s="4"/>
      <c r="P16" s="4"/>
    </row>
    <row r="17" spans="1:16">
      <c r="J17" s="4"/>
      <c r="K17" s="4"/>
      <c r="L17" s="4"/>
      <c r="M17" s="4"/>
      <c r="N17" s="4"/>
      <c r="O17" s="4"/>
      <c r="P17" s="4"/>
    </row>
    <row r="18" spans="1:16">
      <c r="A18" s="1" t="s">
        <v>149</v>
      </c>
      <c r="J18" s="4"/>
      <c r="K18" s="4"/>
      <c r="L18" s="4"/>
      <c r="M18" s="4"/>
      <c r="N18" s="4"/>
      <c r="O18" s="4"/>
      <c r="P18" s="4"/>
    </row>
    <row r="19" spans="1:16">
      <c r="A19" s="30" t="s">
        <v>105</v>
      </c>
      <c r="B19" s="5">
        <f>(O12-K12)-(O23-K23)+G4</f>
        <v>1.0718443947358864</v>
      </c>
      <c r="F19" s="1" t="s">
        <v>117</v>
      </c>
      <c r="J19" s="4"/>
      <c r="K19" s="4"/>
      <c r="L19" s="4"/>
      <c r="M19" s="4"/>
      <c r="N19" s="4"/>
      <c r="O19" s="4"/>
      <c r="P19" s="4"/>
    </row>
    <row r="20" spans="1:16">
      <c r="A20" s="30" t="s">
        <v>106</v>
      </c>
      <c r="B20" s="5">
        <f>(O13-K13)-(O24-K24)+G5</f>
        <v>1.1516259366300541</v>
      </c>
      <c r="G20" s="8" t="s">
        <v>247</v>
      </c>
      <c r="H20" s="8" t="s">
        <v>249</v>
      </c>
      <c r="J20" s="25"/>
      <c r="K20" s="4"/>
      <c r="L20" s="4"/>
      <c r="M20" s="4"/>
      <c r="N20" s="25"/>
      <c r="O20" s="4"/>
      <c r="P20" s="4"/>
    </row>
    <row r="21" spans="1:16">
      <c r="F21" t="s">
        <v>114</v>
      </c>
      <c r="G21">
        <f>GEOMEAN($B$4,$C$4)</f>
        <v>0.22360679774997896</v>
      </c>
      <c r="H21">
        <f>LogVariance($B$4,$C$4)</f>
        <v>0.27270459618181209</v>
      </c>
      <c r="J21" s="4"/>
      <c r="K21" s="4"/>
      <c r="L21" s="4"/>
      <c r="M21" s="4"/>
      <c r="N21" s="4"/>
      <c r="O21" s="4"/>
      <c r="P21" s="4"/>
    </row>
    <row r="22" spans="1:16">
      <c r="F22" s="4" t="s">
        <v>116</v>
      </c>
      <c r="G22">
        <f>GEOMEAN($B$6,$C$6)</f>
        <v>6.3245553203367583E-2</v>
      </c>
      <c r="H22">
        <f>LogVariance($B$6,$C$6)</f>
        <v>0.39015207303618948</v>
      </c>
      <c r="J22" s="4"/>
      <c r="K22" s="4"/>
      <c r="L22" s="4"/>
      <c r="M22" s="4"/>
      <c r="N22" s="4"/>
      <c r="O22" s="4"/>
      <c r="P22" s="4"/>
    </row>
    <row r="23" spans="1:16">
      <c r="A23" s="1" t="s">
        <v>192</v>
      </c>
      <c r="F23" t="s">
        <v>110</v>
      </c>
      <c r="G23">
        <f>GEOMEAN($B$7,$C$7)</f>
        <v>2.2360679774997899E-10</v>
      </c>
      <c r="H23">
        <f>LogVariance($B$7,$C$7)</f>
        <v>0.50759954989056688</v>
      </c>
      <c r="J23" s="4"/>
      <c r="K23" s="4"/>
      <c r="L23" s="4"/>
      <c r="M23" s="4"/>
      <c r="N23" s="4"/>
      <c r="O23" s="4"/>
      <c r="P23" s="4"/>
    </row>
    <row r="24" spans="1:16">
      <c r="A24" t="s">
        <v>193</v>
      </c>
      <c r="F24" t="s">
        <v>134</v>
      </c>
      <c r="G24">
        <f>VLOOKUP(F24,'EV of Far Future'!$K$17:$M$18,2,FALSE)</f>
        <v>3.4303160870117568E+46</v>
      </c>
      <c r="H24">
        <f>VLOOKUP(F24,'EV of Far Future'!$K$17:$M$18,3,FALSE)</f>
        <v>4.6329187530560025</v>
      </c>
      <c r="J24" s="4"/>
      <c r="K24" s="4"/>
      <c r="L24" s="4"/>
      <c r="M24" s="4"/>
      <c r="N24" s="4"/>
      <c r="O24" s="4"/>
      <c r="P24" s="4"/>
    </row>
    <row r="25" spans="1:16">
      <c r="F25" s="28" t="s">
        <v>60</v>
      </c>
      <c r="G25" s="26">
        <f>PRODUCT(G21:G24)</f>
        <v>1.084761192927349E+35</v>
      </c>
      <c r="H25" s="26">
        <f>SUM(H21:H24)</f>
        <v>5.8033749721645709</v>
      </c>
    </row>
    <row r="26" spans="1:16">
      <c r="F26" s="33" t="s">
        <v>97</v>
      </c>
      <c r="G26" s="34"/>
    </row>
    <row r="27" spans="1:16">
      <c r="F27" s="33" t="s">
        <v>108</v>
      </c>
      <c r="G27" s="3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61"/>
  <sheetViews>
    <sheetView workbookViewId="0">
      <selection activeCell="B12" sqref="B12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8" max="8" width="12.83203125" bestFit="1" customWidth="1"/>
    <col min="13" max="13" width="12.83203125" bestFit="1" customWidth="1"/>
  </cols>
  <sheetData>
    <row r="1" spans="1:14" ht="20">
      <c r="A1" s="7" t="s">
        <v>158</v>
      </c>
      <c r="G1" s="1" t="s">
        <v>79</v>
      </c>
      <c r="L1" s="25" t="s">
        <v>80</v>
      </c>
    </row>
    <row r="2" spans="1:14">
      <c r="B2" t="s">
        <v>0</v>
      </c>
      <c r="C2" t="s">
        <v>1</v>
      </c>
      <c r="D2" s="8" t="s">
        <v>247</v>
      </c>
      <c r="E2" s="8" t="s">
        <v>248</v>
      </c>
      <c r="H2" s="8" t="s">
        <v>247</v>
      </c>
      <c r="I2" s="8" t="s">
        <v>248</v>
      </c>
      <c r="M2" s="8" t="s">
        <v>247</v>
      </c>
      <c r="N2" s="8" t="s">
        <v>248</v>
      </c>
    </row>
    <row r="3" spans="1:14">
      <c r="A3" s="29" t="s">
        <v>152</v>
      </c>
      <c r="B3" s="15">
        <v>0.7</v>
      </c>
      <c r="C3" s="27">
        <v>13</v>
      </c>
      <c r="F3" s="8" t="s">
        <v>156</v>
      </c>
      <c r="G3" t="s">
        <v>84</v>
      </c>
      <c r="H3">
        <f>D5</f>
        <v>3016.620625799671</v>
      </c>
      <c r="I3">
        <f>E5</f>
        <v>0.49504262895320128</v>
      </c>
      <c r="L3" s="4" t="s">
        <v>78</v>
      </c>
      <c r="M3">
        <f>VLOOKUP($L3,'EV of Far Future'!$O$3:$P$13,2,FALSE)</f>
        <v>0.16799999999999998</v>
      </c>
      <c r="N3">
        <v>0</v>
      </c>
    </row>
    <row r="4" spans="1:14">
      <c r="A4" s="29" t="s">
        <v>235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F4" t="s">
        <v>236</v>
      </c>
      <c r="G4" t="s">
        <v>43</v>
      </c>
      <c r="H4">
        <f>VLOOKUP($G4,Globals!A17:F24,4,FALSE)</f>
        <v>5</v>
      </c>
      <c r="I4">
        <f>VLOOKUP($G4,Globals!A17:F24,5,FALSE)</f>
        <v>0.3</v>
      </c>
      <c r="L4" s="4" t="s">
        <v>86</v>
      </c>
      <c r="M4">
        <v>1</v>
      </c>
      <c r="N4">
        <v>0</v>
      </c>
    </row>
    <row r="5" spans="1:14">
      <c r="A5" t="s">
        <v>84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15083.103128998355</v>
      </c>
      <c r="I5" s="26">
        <f>SUM(I3:I4)</f>
        <v>0.79504262895320132</v>
      </c>
      <c r="L5" s="4" t="s">
        <v>70</v>
      </c>
      <c r="M5">
        <f>VLOOKUP($L5,'EV of Far Future'!$K$3:$N$13,2,FALSE)</f>
        <v>2.6563132345414381E+34</v>
      </c>
      <c r="N5">
        <f>VLOOKUP($L5,'EV of Far Future'!$K$3:$N$13,3,FALSE)</f>
        <v>2.8210645112533266</v>
      </c>
    </row>
    <row r="6" spans="1:14">
      <c r="A6" t="s">
        <v>83</v>
      </c>
      <c r="D6">
        <f>PRODUCT(D4:D5)</f>
        <v>10449.880382090505</v>
      </c>
      <c r="E6">
        <f>SUM(E4:E5)</f>
        <v>0.54378773604345199</v>
      </c>
      <c r="G6" s="33" t="s">
        <v>97</v>
      </c>
      <c r="H6" s="34">
        <f>ParetoPosterior(median,alpha,H5:I5)</f>
        <v>278.14172544025013</v>
      </c>
      <c r="L6" s="4" t="s">
        <v>82</v>
      </c>
      <c r="M6">
        <f>1/factory_farmed_animals</f>
        <v>5.0000000000000002E-11</v>
      </c>
      <c r="N6">
        <v>0</v>
      </c>
    </row>
    <row r="7" spans="1:14">
      <c r="A7" s="29" t="s">
        <v>130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131</v>
      </c>
      <c r="G7" s="33" t="s">
        <v>85</v>
      </c>
      <c r="H7" s="35">
        <f>LognormPosterior(mu_factory_farming,sigma_factory_farming,H5:I5)</f>
        <v>38.692316763766371</v>
      </c>
      <c r="I7" t="s">
        <v>228</v>
      </c>
      <c r="L7" s="4" t="s">
        <v>119</v>
      </c>
      <c r="M7">
        <f>$D$8</f>
        <v>626.99282292543035</v>
      </c>
      <c r="N7">
        <f>$E$8</f>
        <v>0.54378773604345199</v>
      </c>
    </row>
    <row r="8" spans="1:14">
      <c r="A8" t="s">
        <v>119</v>
      </c>
      <c r="D8">
        <f>D6*(interest_rate+D7)</f>
        <v>626.99282292543035</v>
      </c>
      <c r="E8">
        <f>E6+E7</f>
        <v>0.54378773604345199</v>
      </c>
      <c r="H8" s="38"/>
      <c r="L8" s="28" t="s">
        <v>60</v>
      </c>
      <c r="M8" s="26">
        <f>PRODUCT(M3:M7)</f>
        <v>1.3990110401394262E+26</v>
      </c>
      <c r="N8" s="26">
        <f>SUM(N3:N7)</f>
        <v>3.3648522472967786</v>
      </c>
    </row>
    <row r="9" spans="1:14">
      <c r="H9" s="3"/>
      <c r="L9" s="33" t="s">
        <v>97</v>
      </c>
      <c r="M9" s="34">
        <f>ParetoPosterior(median,alpha,M8:N8)</f>
        <v>2.5001295714955894E+18</v>
      </c>
    </row>
    <row r="10" spans="1:14">
      <c r="L10" s="33" t="s">
        <v>85</v>
      </c>
      <c r="M10" s="35">
        <f>LognormPosterior(mu_factory_farming,sigma_factory_farming,M8:N8)</f>
        <v>796.8062104201249</v>
      </c>
      <c r="N10" s="38" t="s">
        <v>229</v>
      </c>
    </row>
    <row r="11" spans="1:14" ht="20">
      <c r="A11" s="7" t="s">
        <v>67</v>
      </c>
      <c r="M11" s="39"/>
      <c r="N11" s="3"/>
    </row>
    <row r="12" spans="1:14">
      <c r="A12" s="1" t="s">
        <v>147</v>
      </c>
      <c r="B12" t="s">
        <v>2</v>
      </c>
      <c r="C12" t="s">
        <v>34</v>
      </c>
      <c r="M12" s="3"/>
    </row>
    <row r="13" spans="1:14">
      <c r="A13" t="s">
        <v>232</v>
      </c>
      <c r="B13">
        <f>H5</f>
        <v>15083.103128998355</v>
      </c>
      <c r="C13">
        <f>I5</f>
        <v>0.79504262895320132</v>
      </c>
      <c r="G13" s="1" t="s">
        <v>88</v>
      </c>
      <c r="L13" s="1" t="s">
        <v>102</v>
      </c>
      <c r="N13" s="4"/>
    </row>
    <row r="14" spans="1:14">
      <c r="B14">
        <f>M8</f>
        <v>1.3990110401394262E+26</v>
      </c>
      <c r="C14">
        <f>N8</f>
        <v>3.3648522472967786</v>
      </c>
      <c r="H14" s="8" t="s">
        <v>247</v>
      </c>
      <c r="I14" s="8" t="s">
        <v>249</v>
      </c>
      <c r="L14" s="4"/>
      <c r="M14" s="8" t="s">
        <v>247</v>
      </c>
      <c r="N14" s="8" t="s">
        <v>249</v>
      </c>
    </row>
    <row r="15" spans="1:14">
      <c r="B15">
        <f>H20</f>
        <v>6.2919983766212771E+27</v>
      </c>
      <c r="C15">
        <f>I20</f>
        <v>4.0250043203329682</v>
      </c>
      <c r="G15" t="s">
        <v>90</v>
      </c>
      <c r="H15">
        <f>VLOOKUP($G15,'EV of Far Future'!$O$3:$P$13,2,FALSE)</f>
        <v>0.22399999999999998</v>
      </c>
      <c r="I15">
        <v>0</v>
      </c>
      <c r="L15" t="s">
        <v>90</v>
      </c>
      <c r="M15">
        <f>VLOOKUP($G15,'EV of Far Future'!$O$3:$P$13,2,FALSE)</f>
        <v>0.22399999999999998</v>
      </c>
      <c r="N15">
        <v>0</v>
      </c>
    </row>
    <row r="16" spans="1:14">
      <c r="B16">
        <f>H30</f>
        <v>9.9485229521025843E+30</v>
      </c>
      <c r="C16">
        <f>I30</f>
        <v>4.6951563933691576</v>
      </c>
      <c r="G16" s="4" t="s">
        <v>86</v>
      </c>
      <c r="H16" s="2">
        <v>0.1</v>
      </c>
      <c r="I16">
        <v>0</v>
      </c>
      <c r="J16" t="s">
        <v>87</v>
      </c>
      <c r="L16" s="4" t="s">
        <v>103</v>
      </c>
      <c r="M16" s="2">
        <v>0.04</v>
      </c>
      <c r="N16">
        <v>0</v>
      </c>
    </row>
    <row r="17" spans="1:14">
      <c r="B17">
        <f>H40</f>
        <v>3.5392490868494674E+29</v>
      </c>
      <c r="C17">
        <f>I40</f>
        <v>5.8656126124777259</v>
      </c>
      <c r="G17" s="4" t="s">
        <v>72</v>
      </c>
      <c r="H17">
        <f>VLOOKUP($G17,'EV of Far Future'!$K$3:$N$13,2,FALSE)</f>
        <v>8.9599999999999976E+36</v>
      </c>
      <c r="I17">
        <f>VLOOKUP($G17,'EV of Far Future'!$K$3:$N$13,3,FALSE)</f>
        <v>3.4812165842895157</v>
      </c>
      <c r="L17" s="4" t="s">
        <v>72</v>
      </c>
      <c r="M17">
        <f>VLOOKUP($G17,'EV of Far Future'!$K$3:$N$13,2,FALSE)</f>
        <v>8.9599999999999976E+36</v>
      </c>
      <c r="N17">
        <f>VLOOKUP($G17,'EV of Far Future'!$K$3:$N$13,3,FALSE)</f>
        <v>3.4812165842895157</v>
      </c>
    </row>
    <row r="18" spans="1:14">
      <c r="A18" t="s">
        <v>233</v>
      </c>
      <c r="G18" s="4" t="s">
        <v>82</v>
      </c>
      <c r="H18">
        <f>1/factory_farmed_animals</f>
        <v>5.0000000000000002E-11</v>
      </c>
      <c r="I18">
        <v>0</v>
      </c>
      <c r="L18" s="4" t="s">
        <v>82</v>
      </c>
      <c r="M18">
        <f>1/factory_farmed_animals</f>
        <v>5.0000000000000002E-11</v>
      </c>
      <c r="N18">
        <v>0</v>
      </c>
    </row>
    <row r="19" spans="1:14">
      <c r="G19" s="4" t="s">
        <v>119</v>
      </c>
      <c r="H19">
        <f>$D$8</f>
        <v>626.99282292543035</v>
      </c>
      <c r="I19">
        <f>$E$8</f>
        <v>0.54378773604345199</v>
      </c>
      <c r="L19" s="4" t="s">
        <v>119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6.2919983766212771E+27</v>
      </c>
      <c r="I20" s="26">
        <f>SUM(I15:I19)</f>
        <v>4.0250043203329682</v>
      </c>
      <c r="L20" s="28" t="s">
        <v>60</v>
      </c>
      <c r="M20" s="26">
        <f>-PRODUCT(M15:M19)</f>
        <v>-2.5167993506485105E+27</v>
      </c>
      <c r="N20" s="26">
        <f>SUM(N15:N19)</f>
        <v>4.0250043203329682</v>
      </c>
    </row>
    <row r="21" spans="1:14">
      <c r="G21" s="4"/>
      <c r="H21" s="4"/>
      <c r="L21" s="4"/>
      <c r="M21" s="4"/>
    </row>
    <row r="22" spans="1:14">
      <c r="A22" s="30" t="s">
        <v>105</v>
      </c>
      <c r="B22" s="5"/>
      <c r="G22" s="4"/>
      <c r="H22" s="38"/>
      <c r="L22" s="4"/>
      <c r="M22" s="38"/>
    </row>
    <row r="23" spans="1:14">
      <c r="A23" s="30" t="s">
        <v>106</v>
      </c>
      <c r="B23" s="5">
        <f>LognormPosterior(mu_factory_farming,sigma_factory_farming,B14:C17)</f>
        <v>796.8062104201249</v>
      </c>
      <c r="G23" s="1" t="s">
        <v>101</v>
      </c>
      <c r="L23" s="1" t="s">
        <v>104</v>
      </c>
    </row>
    <row r="24" spans="1:14">
      <c r="B24" s="5">
        <f>LognormPosterior(mu_factory_farming,sigma_factory_farming,B15:C15)</f>
        <v>459.89952488481543</v>
      </c>
      <c r="H24" s="8" t="s">
        <v>247</v>
      </c>
      <c r="I24" s="8" t="s">
        <v>249</v>
      </c>
      <c r="M24" s="8" t="s">
        <v>247</v>
      </c>
      <c r="N24" s="8" t="s">
        <v>249</v>
      </c>
    </row>
    <row r="25" spans="1:14">
      <c r="B25" s="5">
        <f>LognormPosterior(mu_factory_farming,sigma_factory_farming,B16:C16)</f>
        <v>391.23403173727166</v>
      </c>
      <c r="G25" t="s">
        <v>91</v>
      </c>
      <c r="H25">
        <f>VLOOKUP($G25,'EV of Far Future'!$O$3:$P$13,2,FALSE)</f>
        <v>0.22399999999999998</v>
      </c>
      <c r="I25">
        <v>0</v>
      </c>
      <c r="L25" t="s">
        <v>91</v>
      </c>
      <c r="M25">
        <f>VLOOKUP($G25,'EV of Far Future'!$O$3:$P$13,2,FALSE)</f>
        <v>0.22399999999999998</v>
      </c>
      <c r="N25">
        <v>0</v>
      </c>
    </row>
    <row r="26" spans="1:14">
      <c r="B26" s="5">
        <f>LognormPosterior(mu_factory_farming,sigma_factory_farming,B17:C17)</f>
        <v>125.65597204515443</v>
      </c>
      <c r="C26" s="4"/>
      <c r="D26" s="4"/>
      <c r="G26" s="4" t="s">
        <v>86</v>
      </c>
      <c r="H26" s="2">
        <v>0.05</v>
      </c>
      <c r="I26">
        <v>0</v>
      </c>
      <c r="L26" s="4" t="s">
        <v>103</v>
      </c>
      <c r="M26" s="2">
        <v>0.01</v>
      </c>
      <c r="N26">
        <v>0</v>
      </c>
    </row>
    <row r="27" spans="1:14">
      <c r="B27" s="5"/>
      <c r="D27" s="4"/>
      <c r="G27" s="4" t="s">
        <v>73</v>
      </c>
      <c r="H27">
        <f>VLOOKUP($G27,'EV of Far Future'!$K$3:$N$13,2,FALSE)</f>
        <v>2.8334007835108666E+40</v>
      </c>
      <c r="I27">
        <f>VLOOKUP($G27,'EV of Far Future'!$K$3:$N$13,3,FALSE)</f>
        <v>4.1513686573257056</v>
      </c>
      <c r="L27" s="4" t="s">
        <v>73</v>
      </c>
      <c r="M27">
        <f>VLOOKUP($G27,'EV of Far Future'!$K$3:$N$13,2,FALSE)</f>
        <v>2.8334007835108666E+40</v>
      </c>
      <c r="N27">
        <f>VLOOKUP($G27,'EV of Far Future'!$K$3:$N$13,3,FALSE)</f>
        <v>4.1513686573257056</v>
      </c>
    </row>
    <row r="28" spans="1:14">
      <c r="B28" s="4"/>
      <c r="D28" s="4"/>
      <c r="G28" s="4" t="s">
        <v>82</v>
      </c>
      <c r="H28">
        <f>1/factory_farmed_animals</f>
        <v>5.0000000000000002E-11</v>
      </c>
      <c r="I28">
        <v>0</v>
      </c>
      <c r="L28" s="4" t="s">
        <v>82</v>
      </c>
      <c r="M28">
        <f>1/factory_farmed_animals</f>
        <v>5.0000000000000002E-11</v>
      </c>
      <c r="N28">
        <v>0</v>
      </c>
    </row>
    <row r="29" spans="1:14">
      <c r="D29" s="4"/>
      <c r="G29" s="4" t="s">
        <v>119</v>
      </c>
      <c r="H29">
        <f>$D$8</f>
        <v>626.99282292543035</v>
      </c>
      <c r="I29">
        <f>$E$8</f>
        <v>0.54378773604345199</v>
      </c>
      <c r="L29" s="4" t="s">
        <v>119</v>
      </c>
      <c r="M29">
        <f>$D$8</f>
        <v>626.99282292543035</v>
      </c>
      <c r="N29">
        <f>$E$8</f>
        <v>0.54378773604345199</v>
      </c>
    </row>
    <row r="30" spans="1:14">
      <c r="A30" s="25"/>
      <c r="B30" s="4"/>
      <c r="G30" s="28" t="s">
        <v>60</v>
      </c>
      <c r="H30" s="26">
        <f>PRODUCT(H25:H29)</f>
        <v>9.9485229521025843E+30</v>
      </c>
      <c r="I30" s="26">
        <f>SUM(I25:I29)</f>
        <v>4.6951563933691576</v>
      </c>
      <c r="L30" s="28" t="s">
        <v>60</v>
      </c>
      <c r="M30" s="26">
        <f>-PRODUCT(M25:M29)</f>
        <v>-1.9897045904205165E+30</v>
      </c>
      <c r="N30" s="26">
        <f>SUM(N25:N29)</f>
        <v>4.6951563933691576</v>
      </c>
    </row>
    <row r="31" spans="1:14">
      <c r="A31" s="4"/>
      <c r="B31" s="4"/>
      <c r="G31" s="4"/>
      <c r="H31" s="4"/>
      <c r="L31" s="4"/>
      <c r="M31" s="4"/>
    </row>
    <row r="32" spans="1:14">
      <c r="A32" s="4"/>
      <c r="B32" s="4"/>
      <c r="G32" s="4"/>
      <c r="H32" s="38"/>
      <c r="L32" s="4"/>
      <c r="M32" s="38"/>
    </row>
    <row r="33" spans="7:14">
      <c r="G33" s="1" t="s">
        <v>96</v>
      </c>
      <c r="L33" s="1" t="s">
        <v>190</v>
      </c>
    </row>
    <row r="34" spans="7:14">
      <c r="H34" s="8" t="s">
        <v>247</v>
      </c>
      <c r="I34" s="8" t="s">
        <v>249</v>
      </c>
      <c r="M34" s="8" t="s">
        <v>247</v>
      </c>
      <c r="N34" s="8" t="s">
        <v>249</v>
      </c>
    </row>
    <row r="35" spans="7:14">
      <c r="G35" t="s">
        <v>92</v>
      </c>
      <c r="H35">
        <f>VLOOKUP($G35,'EV of Far Future'!$O$3:$P$13,2,FALSE)</f>
        <v>0.16799999999999998</v>
      </c>
      <c r="I35">
        <v>0</v>
      </c>
      <c r="L35" t="s">
        <v>92</v>
      </c>
      <c r="M35">
        <f>VLOOKUP($G35,'EV of Far Future'!$O$3:$P$13,2,FALSE)</f>
        <v>0.16799999999999998</v>
      </c>
      <c r="N35">
        <v>0</v>
      </c>
    </row>
    <row r="36" spans="7:14">
      <c r="G36" s="4" t="s">
        <v>86</v>
      </c>
      <c r="H36" s="2">
        <v>0.1</v>
      </c>
      <c r="I36">
        <v>0</v>
      </c>
      <c r="L36" s="4" t="s">
        <v>103</v>
      </c>
      <c r="M36" s="2">
        <v>0.01</v>
      </c>
      <c r="N36">
        <v>0</v>
      </c>
    </row>
    <row r="37" spans="7:14">
      <c r="G37" s="4" t="s">
        <v>74</v>
      </c>
      <c r="H37">
        <f>VLOOKUP($G37,'EV of Far Future'!$K$3:$N$13,2,FALSE)</f>
        <v>6.7199999999999966E+38</v>
      </c>
      <c r="I37">
        <f>VLOOKUP($G37,'EV of Far Future'!$K$3:$N$13,3,FALSE)</f>
        <v>5.3218248764342739</v>
      </c>
      <c r="L37" s="4" t="s">
        <v>74</v>
      </c>
      <c r="M37">
        <f>VLOOKUP($G37,'EV of Far Future'!$K$3:$N$13,2,FALSE)</f>
        <v>6.7199999999999966E+38</v>
      </c>
      <c r="N37">
        <f>VLOOKUP($G37,'EV of Far Future'!$K$3:$N$13,3,FALSE)</f>
        <v>5.3218248764342739</v>
      </c>
    </row>
    <row r="38" spans="7:14">
      <c r="G38" s="4" t="s">
        <v>82</v>
      </c>
      <c r="H38">
        <f>1/factory_farmed_animals</f>
        <v>5.0000000000000002E-11</v>
      </c>
      <c r="I38">
        <v>0</v>
      </c>
      <c r="L38" s="4" t="s">
        <v>82</v>
      </c>
      <c r="M38">
        <f>1/factory_farmed_animals</f>
        <v>5.0000000000000002E-11</v>
      </c>
      <c r="N38">
        <v>0</v>
      </c>
    </row>
    <row r="39" spans="7:14">
      <c r="G39" s="4" t="s">
        <v>119</v>
      </c>
      <c r="H39">
        <f>$D$8</f>
        <v>626.99282292543035</v>
      </c>
      <c r="I39">
        <f>$E$8</f>
        <v>0.54378773604345199</v>
      </c>
      <c r="L39" s="4" t="s">
        <v>119</v>
      </c>
      <c r="M39">
        <f>$D$8</f>
        <v>626.99282292543035</v>
      </c>
      <c r="N39">
        <f>$E$8</f>
        <v>0.54378773604345199</v>
      </c>
    </row>
    <row r="40" spans="7:14">
      <c r="G40" s="28" t="s">
        <v>60</v>
      </c>
      <c r="H40" s="26">
        <f>PRODUCT(H35:H39)</f>
        <v>3.5392490868494674E+29</v>
      </c>
      <c r="I40" s="26">
        <f>SUM(I35:I39)</f>
        <v>5.8656126124777259</v>
      </c>
      <c r="L40" s="28" t="s">
        <v>60</v>
      </c>
      <c r="M40" s="26">
        <f>-PRODUCT(M35:M39)</f>
        <v>-3.5392490868494672E+28</v>
      </c>
      <c r="N40" s="26">
        <f>SUM(N35:N39)</f>
        <v>5.8656126124777259</v>
      </c>
    </row>
    <row r="45" spans="7:14">
      <c r="G45" s="4"/>
      <c r="H45" s="4"/>
      <c r="L45" s="4"/>
      <c r="M45" s="4"/>
    </row>
    <row r="46" spans="7:14">
      <c r="G46" s="4"/>
      <c r="H46" s="38"/>
      <c r="L46" s="4"/>
      <c r="M46" s="38"/>
    </row>
    <row r="47" spans="7:14">
      <c r="H47" s="39"/>
      <c r="M47" s="39"/>
    </row>
    <row r="48" spans="7:14">
      <c r="M48" s="3"/>
    </row>
    <row r="50" spans="6:16">
      <c r="I50" s="3"/>
    </row>
    <row r="52" spans="6:16">
      <c r="F52">
        <v>4000</v>
      </c>
      <c r="G52">
        <v>1</v>
      </c>
      <c r="H52">
        <f>LognormPosterior(mu_factory_farming,sigma_factory_farming,F52:G52)</f>
        <v>18.123429287799862</v>
      </c>
      <c r="I52">
        <v>11</v>
      </c>
      <c r="J52">
        <v>0.5</v>
      </c>
      <c r="K52">
        <f>LognormPosterior(mu_factory_farming,sigma_factory_farming,I52:J52)</f>
        <v>4.7522582040534349</v>
      </c>
      <c r="M52">
        <v>4000</v>
      </c>
      <c r="N52">
        <v>1</v>
      </c>
      <c r="O52">
        <f>LognormPosterior(mu_factory_farming,sigma_factory_farming,M52:N52)</f>
        <v>18.123429287799862</v>
      </c>
    </row>
    <row r="53" spans="6:16">
      <c r="F53">
        <v>4000</v>
      </c>
      <c r="G53">
        <v>1</v>
      </c>
      <c r="I53" s="43">
        <v>11</v>
      </c>
      <c r="J53">
        <v>0.5</v>
      </c>
      <c r="M53">
        <v>8000</v>
      </c>
      <c r="N53">
        <v>1</v>
      </c>
      <c r="O53">
        <f>LognormPosterior(mu_factory_farming,sigma_factory_farming,M53:N53)</f>
        <v>21.773326661952542</v>
      </c>
      <c r="P53">
        <v>22.06</v>
      </c>
    </row>
    <row r="54" spans="6:16">
      <c r="F54">
        <v>4000</v>
      </c>
      <c r="G54">
        <v>1</v>
      </c>
      <c r="I54" s="43">
        <v>11</v>
      </c>
      <c r="J54">
        <v>0.5</v>
      </c>
      <c r="M54">
        <v>8000</v>
      </c>
      <c r="N54">
        <v>0.56999999999999995</v>
      </c>
      <c r="O54">
        <f>LognormPosterior(mu_factory_farming,sigma_factory_farming,M54:N54)</f>
        <v>58.197010077938451</v>
      </c>
      <c r="P54">
        <v>59.33</v>
      </c>
    </row>
    <row r="55" spans="6:16">
      <c r="F55">
        <v>4000</v>
      </c>
      <c r="G55">
        <v>1</v>
      </c>
      <c r="I55" s="43">
        <v>11</v>
      </c>
      <c r="J55">
        <v>0.5</v>
      </c>
    </row>
    <row r="56" spans="6:16">
      <c r="F56">
        <v>4000</v>
      </c>
      <c r="G56">
        <v>1</v>
      </c>
      <c r="I56" s="43">
        <v>11</v>
      </c>
      <c r="J56">
        <v>0.5</v>
      </c>
    </row>
    <row r="58" spans="6:16">
      <c r="F58">
        <f>LognormPosterior(mu_factory_farming,sigma_factory_farming,F52:G53)</f>
        <v>18.123429287799862</v>
      </c>
      <c r="G58">
        <v>58.93</v>
      </c>
      <c r="I58">
        <f>LognormPosterior(mu_factory_farming,sigma_factory_farming,I52:J53)</f>
        <v>4.7522582040534349</v>
      </c>
      <c r="J58">
        <v>6.0650000000000004</v>
      </c>
    </row>
    <row r="59" spans="6:16">
      <c r="F59">
        <f>LognormPosterior(mu_factory_farming,sigma_factory_farming,F52:G54)</f>
        <v>18.123429287799862</v>
      </c>
      <c r="G59">
        <v>131.93</v>
      </c>
      <c r="I59">
        <f>LognormPosterior(mu_factory_farming,sigma_factory_farming,I52:J54)</f>
        <v>4.7522582040534349</v>
      </c>
      <c r="J59">
        <v>7.48</v>
      </c>
    </row>
    <row r="60" spans="6:16">
      <c r="F60">
        <f>LognormPosterior(mu_factory_farming,sigma_factory_farming,F52:G55)</f>
        <v>18.123429287799862</v>
      </c>
      <c r="G60">
        <v>218.87</v>
      </c>
      <c r="I60">
        <f>LognormPosterior(mu_factory_farming,sigma_factory_farming,I52:J55)</f>
        <v>4.7522582040534349</v>
      </c>
      <c r="J60">
        <v>7.9210000000000003</v>
      </c>
    </row>
    <row r="61" spans="6:16">
      <c r="F61">
        <f>LognormPosterior(mu_factory_farming,sigma_factory_farming,F52:G56)</f>
        <v>18.123429287799862</v>
      </c>
      <c r="G61">
        <v>335.84</v>
      </c>
      <c r="I61">
        <f>LognormPosterior(mu_factory_farming,sigma_factory_farming,I52:J56)</f>
        <v>4.7522582040534349</v>
      </c>
      <c r="J61">
        <v>8.7710000000000008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I2" sqref="I2:J2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194</v>
      </c>
      <c r="H1" s="7" t="s">
        <v>177</v>
      </c>
    </row>
    <row r="2" spans="1:12">
      <c r="B2" t="s">
        <v>0</v>
      </c>
      <c r="C2" t="s">
        <v>1</v>
      </c>
      <c r="D2" t="s">
        <v>2</v>
      </c>
      <c r="E2" t="s">
        <v>34</v>
      </c>
      <c r="I2" s="8" t="s">
        <v>247</v>
      </c>
      <c r="J2" s="8" t="s">
        <v>248</v>
      </c>
      <c r="K2" t="s">
        <v>0</v>
      </c>
      <c r="L2" t="s">
        <v>1</v>
      </c>
    </row>
    <row r="3" spans="1:12">
      <c r="A3" s="29" t="s">
        <v>195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199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196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200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197</v>
      </c>
      <c r="B5" s="15">
        <v>10</v>
      </c>
      <c r="C5" s="15">
        <v>10</v>
      </c>
      <c r="H5" t="s">
        <v>203</v>
      </c>
      <c r="I5">
        <f>'Veg Ads'!M8</f>
        <v>1.3990110401394262E+26</v>
      </c>
      <c r="J5">
        <f>'Veg Ads'!N8</f>
        <v>3.3648522472967786</v>
      </c>
    </row>
    <row r="6" spans="1:12">
      <c r="A6" s="29" t="s">
        <v>198</v>
      </c>
      <c r="B6" s="15">
        <v>30000</v>
      </c>
      <c r="C6" s="15">
        <v>60000</v>
      </c>
      <c r="H6" s="28" t="s">
        <v>204</v>
      </c>
      <c r="I6" s="26">
        <f>I5*(1+K3)</f>
        <v>1.399477377152806E+26</v>
      </c>
      <c r="J6" s="26">
        <f>J5*(1-K4)</f>
        <v>3.364291438588896</v>
      </c>
    </row>
    <row r="7" spans="1:12">
      <c r="A7" s="29" t="s">
        <v>221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205</v>
      </c>
      <c r="I7" s="26">
        <f>I5*(1+I3)</f>
        <v>1.4010965626641091E+26</v>
      </c>
      <c r="J7" s="26">
        <f>J5*(1-I4)</f>
        <v>3.363266040735609</v>
      </c>
    </row>
    <row r="8" spans="1:12">
      <c r="A8" s="4" t="s">
        <v>201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206</v>
      </c>
      <c r="I8" s="26">
        <f>I5*(1+L3)</f>
        <v>1.4083377804070222E+26</v>
      </c>
      <c r="J8" s="26">
        <f>J5*(1-L4)</f>
        <v>3.3603657776337164</v>
      </c>
    </row>
    <row r="9" spans="1:12">
      <c r="A9" s="4" t="s">
        <v>169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213</v>
      </c>
      <c r="I9">
        <f>I6*$D$7</f>
        <v>2.2127680228406781E+29</v>
      </c>
      <c r="J9" s="4">
        <f>J6+$E$7</f>
        <v>3.7544435116250856</v>
      </c>
    </row>
    <row r="10" spans="1:12">
      <c r="H10" s="4" t="s">
        <v>215</v>
      </c>
      <c r="I10">
        <f t="shared" ref="I10:I11" si="0">I7*$D$7</f>
        <v>2.215328179925709E+29</v>
      </c>
      <c r="J10" s="4">
        <f t="shared" ref="J10:J11" si="1">J7+$E$7</f>
        <v>3.7534181137717986</v>
      </c>
    </row>
    <row r="11" spans="1:12">
      <c r="H11" s="4" t="s">
        <v>214</v>
      </c>
      <c r="I11">
        <f t="shared" si="0"/>
        <v>2.2267775504761237E+29</v>
      </c>
      <c r="J11" s="4">
        <f t="shared" si="1"/>
        <v>3.750517850669906</v>
      </c>
    </row>
    <row r="12" spans="1:12">
      <c r="H12" s="33" t="s">
        <v>202</v>
      </c>
      <c r="I12" s="34" t="e">
        <f>LognormPosterior(mu,sigma,I5,J5)</f>
        <v>#VALUE!</v>
      </c>
    </row>
    <row r="13" spans="1:12">
      <c r="H13" s="33" t="s">
        <v>207</v>
      </c>
      <c r="I13" s="34" t="e">
        <f>LognormPosterior(mu,sigma,I9,J9)</f>
        <v>#VALUE!</v>
      </c>
    </row>
    <row r="14" spans="1:12">
      <c r="H14" s="33" t="s">
        <v>208</v>
      </c>
      <c r="I14" s="34" t="e">
        <f>LognormPosterior(mu,sigma,I10,J10)</f>
        <v>#VALUE!</v>
      </c>
    </row>
    <row r="15" spans="1:12">
      <c r="H15" s="33" t="s">
        <v>209</v>
      </c>
      <c r="I15" s="34" t="e">
        <f>LognormPosterior(mu,sigma,I11,J11)</f>
        <v>#VALUE!</v>
      </c>
    </row>
    <row r="16" spans="1:12">
      <c r="H16" s="30" t="s">
        <v>210</v>
      </c>
      <c r="I16" s="5" t="e">
        <f>I13-$I$12</f>
        <v>#VALUE!</v>
      </c>
    </row>
    <row r="17" spans="8:9">
      <c r="H17" s="30" t="s">
        <v>211</v>
      </c>
      <c r="I17" s="5" t="e">
        <f>I14-$I$12</f>
        <v>#VALUE!</v>
      </c>
    </row>
    <row r="18" spans="8:9">
      <c r="H18" s="30" t="s">
        <v>212</v>
      </c>
      <c r="I18" s="5" t="e">
        <f>I15-$I$12</f>
        <v>#VALUE!</v>
      </c>
    </row>
    <row r="19" spans="8:9">
      <c r="H19" s="4"/>
      <c r="I19" s="37"/>
    </row>
    <row r="20" spans="8:9">
      <c r="H20" s="4"/>
      <c r="I20" s="37"/>
    </row>
    <row r="21" spans="8:9">
      <c r="H21" s="4"/>
      <c r="I21" s="37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topLeftCell="B1" workbookViewId="0">
      <selection activeCell="G20" sqref="G20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135</v>
      </c>
      <c r="B1" t="s">
        <v>159</v>
      </c>
      <c r="G1" s="1" t="s">
        <v>132</v>
      </c>
      <c r="H1" t="s">
        <v>159</v>
      </c>
      <c r="M1" s="1" t="s">
        <v>139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247</v>
      </c>
      <c r="K2" t="s">
        <v>248</v>
      </c>
      <c r="N2" s="8" t="s">
        <v>247</v>
      </c>
      <c r="O2" s="8" t="s">
        <v>248</v>
      </c>
    </row>
    <row r="3" spans="1:15">
      <c r="A3" s="29" t="s">
        <v>127</v>
      </c>
      <c r="B3" s="15">
        <v>70000</v>
      </c>
      <c r="C3" s="15">
        <v>150000</v>
      </c>
      <c r="G3" s="29" t="s">
        <v>121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157</v>
      </c>
      <c r="M3" t="s">
        <v>136</v>
      </c>
      <c r="N3">
        <f>J20</f>
        <v>3.6184352162446591E-7</v>
      </c>
      <c r="O3">
        <f>K20</f>
        <v>1.8154605085273885</v>
      </c>
    </row>
    <row r="4" spans="1:15">
      <c r="A4" t="s">
        <v>128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125</v>
      </c>
      <c r="H4" s="15">
        <v>200</v>
      </c>
      <c r="I4" s="15">
        <v>10000</v>
      </c>
      <c r="M4" s="4" t="s">
        <v>134</v>
      </c>
      <c r="N4">
        <f>'EV of Far Future'!L18</f>
        <v>3.4303160870117568E+46</v>
      </c>
      <c r="O4">
        <f>'EV of Far Future'!M18</f>
        <v>4.6329187530560025</v>
      </c>
    </row>
    <row r="5" spans="1:15">
      <c r="G5" s="4" t="s">
        <v>167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  <c r="M5" s="28" t="s">
        <v>60</v>
      </c>
      <c r="N5" s="26">
        <f>PRODUCT(N3:N4)</f>
        <v>1.241237653209392E+40</v>
      </c>
      <c r="O5" s="26">
        <f>SUM(O3:O4)</f>
        <v>6.4483792615833906</v>
      </c>
    </row>
    <row r="6" spans="1:15">
      <c r="G6" s="29" t="s">
        <v>122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  <c r="N6">
        <f>LognormPosterior(mu_far_future,sigma_far_future,N5:O5)</f>
        <v>325.50189986219328</v>
      </c>
    </row>
    <row r="7" spans="1:15">
      <c r="G7" s="29" t="s">
        <v>123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45"/>
      <c r="N7" s="4"/>
      <c r="O7" s="4"/>
    </row>
    <row r="8" spans="1:15">
      <c r="G8" s="4" t="s">
        <v>136</v>
      </c>
      <c r="J8">
        <f>J3*J5*J6*J7*D4*1000</f>
        <v>2.1213203435596419E-7</v>
      </c>
      <c r="K8">
        <f>K3+K5+K6+K7+E4</f>
        <v>1.8154605085273885</v>
      </c>
      <c r="M8" s="4"/>
      <c r="N8" s="4"/>
      <c r="O8" s="4"/>
    </row>
    <row r="9" spans="1:15" ht="20">
      <c r="A9" s="7" t="s">
        <v>67</v>
      </c>
      <c r="M9" s="4"/>
      <c r="N9" s="4" t="s">
        <v>220</v>
      </c>
      <c r="O9" s="4"/>
    </row>
    <row r="10" spans="1:15">
      <c r="A10" s="1" t="s">
        <v>147</v>
      </c>
      <c r="M10" s="4"/>
      <c r="O10" s="4"/>
    </row>
    <row r="11" spans="1:15">
      <c r="A11" s="30" t="s">
        <v>97</v>
      </c>
      <c r="B11" s="5">
        <f>ParetoPosterior(median,alpha,N5:O5)</f>
        <v>1.7616230324321696E+25</v>
      </c>
      <c r="G11" s="1" t="s">
        <v>133</v>
      </c>
      <c r="H11" s="8" t="s">
        <v>159</v>
      </c>
      <c r="M11" s="4"/>
      <c r="N11" s="4"/>
      <c r="O11" s="4"/>
    </row>
    <row r="12" spans="1:15">
      <c r="A12" s="30" t="s">
        <v>108</v>
      </c>
      <c r="B12" s="5">
        <f>LognormPosterior(mu_far_future,sigma_far_future,N5:O5)</f>
        <v>325.50189986219328</v>
      </c>
      <c r="H12" t="s">
        <v>0</v>
      </c>
      <c r="I12" t="s">
        <v>1</v>
      </c>
      <c r="J12" t="s">
        <v>247</v>
      </c>
      <c r="K12" t="s">
        <v>248</v>
      </c>
      <c r="M12" s="4"/>
      <c r="N12" s="46"/>
      <c r="O12" s="46"/>
    </row>
    <row r="13" spans="1:15">
      <c r="G13" s="29" t="s">
        <v>124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  <c r="M13" s="4"/>
      <c r="N13" s="4"/>
      <c r="O13" s="4"/>
    </row>
    <row r="14" spans="1:15">
      <c r="G14" s="29" t="s">
        <v>126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  <c r="M14" s="4"/>
      <c r="N14" s="4"/>
      <c r="O14" s="4"/>
    </row>
    <row r="15" spans="1:15">
      <c r="A15" s="25"/>
      <c r="B15" s="4"/>
      <c r="G15" t="s">
        <v>137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45"/>
      <c r="N15" s="4"/>
      <c r="O15" s="4"/>
    </row>
    <row r="16" spans="1:15">
      <c r="A16" s="4"/>
      <c r="B16" s="4"/>
      <c r="G16" t="s">
        <v>136</v>
      </c>
      <c r="J16">
        <f>J14*J15*D4*1000</f>
        <v>6.1721339984836745E-7</v>
      </c>
      <c r="K16">
        <f>K14+K15+E4</f>
        <v>1.2995939096785016</v>
      </c>
      <c r="M16" s="4"/>
      <c r="O16" s="4"/>
    </row>
    <row r="17" spans="1:15">
      <c r="A17" s="4"/>
      <c r="B17" s="4"/>
      <c r="M17" s="4"/>
      <c r="O17" s="4"/>
    </row>
    <row r="18" spans="1:15">
      <c r="A18" s="4"/>
      <c r="B18" s="4"/>
      <c r="M18" s="4"/>
      <c r="N18" s="4"/>
      <c r="O18" s="4"/>
    </row>
    <row r="19" spans="1:15">
      <c r="A19" s="4"/>
      <c r="B19" s="4"/>
      <c r="G19" s="1" t="s">
        <v>140</v>
      </c>
      <c r="M19" s="4"/>
      <c r="N19" s="4"/>
      <c r="O19" s="4"/>
    </row>
    <row r="20" spans="1:15">
      <c r="A20" s="25"/>
      <c r="B20" s="4"/>
      <c r="G20" t="s">
        <v>136</v>
      </c>
      <c r="J20">
        <f>GEOMEAN(J8,J16)</f>
        <v>3.6184352162446591E-7</v>
      </c>
      <c r="K20">
        <f>MAX(K8,K16)</f>
        <v>1.8154605085273885</v>
      </c>
      <c r="L20" t="s">
        <v>138</v>
      </c>
      <c r="M20" s="4"/>
      <c r="N20" s="4"/>
      <c r="O20" s="4"/>
    </row>
    <row r="21" spans="1:15">
      <c r="A21" s="4"/>
      <c r="B21" s="4"/>
    </row>
    <row r="22" spans="1:15">
      <c r="A22" s="4"/>
      <c r="B22" s="4"/>
    </row>
    <row r="23" spans="1:15">
      <c r="G23" s="1"/>
    </row>
    <row r="24" spans="1:15">
      <c r="G24" s="4"/>
      <c r="H24" s="4"/>
      <c r="I24" s="4"/>
      <c r="J24" s="4"/>
      <c r="K24" s="4"/>
      <c r="L24" s="4"/>
      <c r="M24" s="4"/>
    </row>
    <row r="25" spans="1:15">
      <c r="G25" s="4"/>
      <c r="H25" s="4"/>
      <c r="I25" s="4"/>
      <c r="J25" s="4"/>
      <c r="K25" s="4"/>
      <c r="L25" s="4"/>
      <c r="M25" s="4"/>
    </row>
    <row r="26" spans="1:15">
      <c r="G26" s="4"/>
      <c r="H26" s="4"/>
      <c r="I26" s="4"/>
      <c r="J26" s="4"/>
      <c r="K26" s="4"/>
      <c r="L26" s="4"/>
      <c r="M26" s="4"/>
    </row>
    <row r="27" spans="1:15">
      <c r="G27" s="4"/>
      <c r="H27" s="4"/>
      <c r="I27" s="4"/>
      <c r="J27" s="4"/>
      <c r="K27" s="4"/>
      <c r="L27" s="4"/>
      <c r="M27" s="4"/>
    </row>
    <row r="28" spans="1:15">
      <c r="G28" s="4"/>
      <c r="H28" s="4"/>
      <c r="I28" s="4"/>
      <c r="J28" s="4"/>
      <c r="K28" s="4"/>
      <c r="L28" s="4"/>
      <c r="M28" s="4"/>
    </row>
    <row r="29" spans="1:15">
      <c r="G29" s="4"/>
      <c r="H29" s="4"/>
      <c r="I29" s="4"/>
      <c r="J29" s="4"/>
      <c r="K29" s="4"/>
      <c r="L29" s="4"/>
      <c r="M29" s="4"/>
    </row>
    <row r="30" spans="1:15">
      <c r="G30" s="4"/>
      <c r="H30" s="4"/>
      <c r="I30" s="4"/>
      <c r="J30" s="4"/>
      <c r="K30" s="4"/>
      <c r="L30" s="4"/>
      <c r="M30" s="4"/>
    </row>
    <row r="31" spans="1:15">
      <c r="G31" s="4"/>
      <c r="H31" s="4"/>
      <c r="I31" s="4"/>
      <c r="J31" s="4"/>
      <c r="K31" s="4"/>
      <c r="L31" s="4"/>
      <c r="M31" s="4"/>
    </row>
    <row r="32" spans="1:15">
      <c r="G32" s="4"/>
      <c r="H32" s="4"/>
      <c r="I32" s="4"/>
      <c r="J32" s="4"/>
      <c r="K32" s="4"/>
      <c r="L32" s="4"/>
      <c r="M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I8" sqref="I8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158</v>
      </c>
      <c r="H1" s="1" t="s">
        <v>177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6" t="s">
        <v>161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178</v>
      </c>
      <c r="I3">
        <f>$D$9*D11</f>
        <v>6.000000000000001E-6</v>
      </c>
      <c r="J3">
        <f>$E$9+E11</f>
        <v>2.1060174845083819</v>
      </c>
    </row>
    <row r="4" spans="1:10">
      <c r="A4" s="36" t="s">
        <v>166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179</v>
      </c>
      <c r="I4">
        <f>$D$9*D12</f>
        <v>1.8973665961010282E-5</v>
      </c>
      <c r="J4">
        <f>$E$9+E12</f>
        <v>1.9507603651809473</v>
      </c>
    </row>
    <row r="5" spans="1:10">
      <c r="A5" s="4" t="s">
        <v>167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180</v>
      </c>
      <c r="I5">
        <f>$D$9*D13</f>
        <v>1.4696938456699071E-5</v>
      </c>
      <c r="J5">
        <f>$E$9+E13</f>
        <v>2.0373151147442554</v>
      </c>
    </row>
    <row r="6" spans="1:10">
      <c r="A6" s="29" t="s">
        <v>164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181</v>
      </c>
      <c r="I6">
        <f>$D$9*D14</f>
        <v>1.4696938456699071E-5</v>
      </c>
      <c r="J6">
        <f>$E$9+E14</f>
        <v>2.0373151147442554</v>
      </c>
    </row>
    <row r="7" spans="1:10">
      <c r="A7" s="29" t="s">
        <v>165</v>
      </c>
      <c r="B7" s="15">
        <v>1000</v>
      </c>
      <c r="C7" s="15">
        <v>100000</v>
      </c>
    </row>
    <row r="8" spans="1:10">
      <c r="A8" t="s">
        <v>169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77</v>
      </c>
      <c r="I8">
        <f>VLOOKUP(H8,'EV of Far Future'!$K$3:$M$13,2,FALSE)</f>
        <v>1.5811388300841899E+46</v>
      </c>
      <c r="J8">
        <f>VLOOKUP(H8,'EV of Far Future'!$K$3:$M$13,3,FALSE)</f>
        <v>4.5113686573257059</v>
      </c>
    </row>
    <row r="9" spans="1:10">
      <c r="A9" t="s">
        <v>170</v>
      </c>
      <c r="D9">
        <f>PRODUCT(D3:D6)*D8</f>
        <v>2.6832815729997483E-5</v>
      </c>
      <c r="E9">
        <f>SUM(E3:E6)+E8</f>
        <v>1.8333128883265699</v>
      </c>
      <c r="H9" t="s">
        <v>72</v>
      </c>
      <c r="I9">
        <f>VLOOKUP(H9,'EV of Far Future'!$K$3:$M$13,2,FALSE)</f>
        <v>8.9599999999999976E+36</v>
      </c>
      <c r="J9">
        <f>VLOOKUP(H9,'EV of Far Future'!$K$3:$M$13,3,FALSE)</f>
        <v>3.4812165842895157</v>
      </c>
    </row>
    <row r="10" spans="1:10">
      <c r="H10" t="s">
        <v>73</v>
      </c>
      <c r="I10">
        <f>VLOOKUP(H10,'EV of Far Future'!$K$3:$M$13,2,FALSE)</f>
        <v>2.8334007835108666E+40</v>
      </c>
      <c r="J10">
        <f>VLOOKUP(H10,'EV of Far Future'!$K$3:$M$13,3,FALSE)</f>
        <v>4.1513686573257056</v>
      </c>
    </row>
    <row r="11" spans="1:10">
      <c r="A11" s="29" t="s">
        <v>163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74</v>
      </c>
      <c r="I11">
        <f>VLOOKUP(H11,'EV of Far Future'!$K$3:$M$13,2,FALSE)</f>
        <v>6.7199999999999966E+38</v>
      </c>
      <c r="J11">
        <f>VLOOKUP(H11,'EV of Far Future'!$K$3:$M$13,3,FALSE)</f>
        <v>5.3218248764342739</v>
      </c>
    </row>
    <row r="12" spans="1:10">
      <c r="A12" s="29" t="s">
        <v>171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172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95</v>
      </c>
      <c r="I13">
        <f>VLOOKUP(H13,'EV of Far Future'!O3:P13,2,FALSE)</f>
        <v>5.000000000000001E-3</v>
      </c>
      <c r="J13">
        <v>0</v>
      </c>
    </row>
    <row r="14" spans="1:10">
      <c r="A14" s="29" t="s">
        <v>162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90</v>
      </c>
      <c r="I14">
        <f>VLOOKUP(H14,'EV of Far Future'!O8:P18,2,FALSE)</f>
        <v>0.22399999999999998</v>
      </c>
      <c r="J14">
        <v>0</v>
      </c>
    </row>
    <row r="15" spans="1:10">
      <c r="H15" t="s">
        <v>91</v>
      </c>
      <c r="I15">
        <f>VLOOKUP(H15,'EV of Far Future'!O9:P19,2,FALSE)</f>
        <v>0.22399999999999998</v>
      </c>
      <c r="J15">
        <v>0</v>
      </c>
    </row>
    <row r="16" spans="1:10">
      <c r="H16" t="s">
        <v>92</v>
      </c>
      <c r="I16">
        <f>VLOOKUP(H16,'EV of Far Future'!O10:P20,2,FALSE)</f>
        <v>0.16799999999999998</v>
      </c>
      <c r="J16">
        <v>0</v>
      </c>
    </row>
    <row r="17" spans="1:12">
      <c r="K17" s="33" t="s">
        <v>108</v>
      </c>
      <c r="L17" s="33" t="s">
        <v>97</v>
      </c>
    </row>
    <row r="18" spans="1:12">
      <c r="H18" s="28" t="s">
        <v>173</v>
      </c>
      <c r="I18" s="26">
        <f>I3*I8*I13</f>
        <v>4.7434164902525711E+38</v>
      </c>
      <c r="J18" s="26">
        <f>J3+J8+J13</f>
        <v>6.6173861418340874</v>
      </c>
      <c r="K18" s="34" t="e">
        <f>LognormPosterior(mu,sigma,I18,J18)</f>
        <v>#VALUE!</v>
      </c>
      <c r="L18" s="34" t="e">
        <f>ParetoPosterior(median,alpha,I18,J18)</f>
        <v>#VALUE!</v>
      </c>
    </row>
    <row r="19" spans="1:12">
      <c r="H19" s="28" t="s">
        <v>174</v>
      </c>
      <c r="I19" s="26">
        <f>I4*I9*I14</f>
        <v>3.8080906530386058E+31</v>
      </c>
      <c r="J19" s="26">
        <f>J4+J9+J14</f>
        <v>5.4319769494704628</v>
      </c>
      <c r="K19" s="34" t="e">
        <f>LognormPosterior(mu,sigma,I19,J19)</f>
        <v>#VALUE!</v>
      </c>
      <c r="L19" s="34" t="e">
        <f>ParetoPosterior(median,alpha,I19,J19)</f>
        <v>#VALUE!</v>
      </c>
    </row>
    <row r="20" spans="1:12">
      <c r="H20" s="28" t="s">
        <v>175</v>
      </c>
      <c r="I20" s="26">
        <f>I5*I10*I15</f>
        <v>9.3278789942065578E+34</v>
      </c>
      <c r="J20" s="26">
        <f>J5+J10+J15</f>
        <v>6.188683772069961</v>
      </c>
      <c r="K20" s="34" t="e">
        <f>LognormPosterior(mu,sigma,I20,J20)</f>
        <v>#VALUE!</v>
      </c>
      <c r="L20" s="34" t="e">
        <f>ParetoPosterior(median,alpha,I20,J20)</f>
        <v>#VALUE!</v>
      </c>
    </row>
    <row r="21" spans="1:12">
      <c r="H21" s="28" t="s">
        <v>176</v>
      </c>
      <c r="I21" s="26">
        <f>I6*I11*I16</f>
        <v>1.6592255640074973E+33</v>
      </c>
      <c r="J21" s="26">
        <f>J6+J11+J16</f>
        <v>7.3591399911785293</v>
      </c>
      <c r="K21" s="34" t="e">
        <f>LognormPosterior(mu,sigma,I21,J21)</f>
        <v>#VALUE!</v>
      </c>
      <c r="L21" s="34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97</v>
      </c>
      <c r="C24" t="s">
        <v>108</v>
      </c>
      <c r="J24" t="s">
        <v>182</v>
      </c>
    </row>
    <row r="25" spans="1:12">
      <c r="A25" t="s">
        <v>184</v>
      </c>
      <c r="B25" t="e">
        <f>MAX(L18:L21)</f>
        <v>#VALUE!</v>
      </c>
      <c r="C25" t="e">
        <f>MAX(K18:K21)</f>
        <v>#VALUE!</v>
      </c>
    </row>
    <row r="28" spans="1:12">
      <c r="A28" t="s">
        <v>183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2016-04-07T00:10:40Z</dcterms:modified>
</cp:coreProperties>
</file>