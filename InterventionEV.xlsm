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-20" windowWidth="30400" windowHeight="2832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" l="1"/>
  <c r="B24" i="1"/>
  <c r="B25" i="1"/>
  <c r="B26" i="1"/>
  <c r="H6" i="1"/>
  <c r="H7" i="1"/>
  <c r="M10" i="1"/>
  <c r="H12" i="5"/>
  <c r="H10" i="5"/>
  <c r="H11" i="5"/>
  <c r="H13" i="5"/>
  <c r="G12" i="5"/>
  <c r="G10" i="5"/>
  <c r="G11" i="5"/>
  <c r="G13" i="5"/>
  <c r="I61" i="1"/>
  <c r="I60" i="1"/>
  <c r="I59" i="1"/>
  <c r="I58" i="1"/>
  <c r="F61" i="1"/>
  <c r="F60" i="1"/>
  <c r="F59" i="1"/>
  <c r="F58" i="1"/>
  <c r="H52" i="1"/>
  <c r="O54" i="1"/>
  <c r="O53" i="1"/>
  <c r="E5" i="1"/>
  <c r="I3" i="1"/>
  <c r="I5" i="1"/>
  <c r="G3" i="3"/>
  <c r="G4" i="3"/>
  <c r="G14" i="3"/>
  <c r="G16" i="3"/>
  <c r="L4" i="3"/>
  <c r="M5" i="1"/>
  <c r="M8" i="1"/>
  <c r="B14" i="1"/>
  <c r="G20" i="3"/>
  <c r="G22" i="3"/>
  <c r="L5" i="3"/>
  <c r="H17" i="1"/>
  <c r="H20" i="1"/>
  <c r="B15" i="1"/>
  <c r="G26" i="3"/>
  <c r="G28" i="3"/>
  <c r="L6" i="3"/>
  <c r="H27" i="1"/>
  <c r="H25" i="1"/>
  <c r="H30" i="1"/>
  <c r="B16" i="1"/>
  <c r="G32" i="3"/>
  <c r="G33" i="3"/>
  <c r="G35" i="3"/>
  <c r="L7" i="3"/>
  <c r="H37" i="1"/>
  <c r="H35" i="1"/>
  <c r="H40" i="1"/>
  <c r="B17" i="1"/>
  <c r="P30" i="2"/>
  <c r="H3" i="3"/>
  <c r="P31" i="2"/>
  <c r="H4" i="3"/>
  <c r="P33" i="2"/>
  <c r="H14" i="3"/>
  <c r="H16" i="3"/>
  <c r="M4" i="3"/>
  <c r="N5" i="1"/>
  <c r="E4" i="1"/>
  <c r="E6" i="1"/>
  <c r="E7" i="1"/>
  <c r="E8" i="1"/>
  <c r="N7" i="1"/>
  <c r="N8" i="1"/>
  <c r="C14" i="1"/>
  <c r="P34" i="2"/>
  <c r="H20" i="3"/>
  <c r="H22" i="3"/>
  <c r="M5" i="3"/>
  <c r="I17" i="1"/>
  <c r="I19" i="1"/>
  <c r="I20" i="1"/>
  <c r="C15" i="1"/>
  <c r="P35" i="2"/>
  <c r="H26" i="3"/>
  <c r="H28" i="3"/>
  <c r="M6" i="3"/>
  <c r="I27" i="1"/>
  <c r="I29" i="1"/>
  <c r="I30" i="1"/>
  <c r="C16" i="1"/>
  <c r="H32" i="3"/>
  <c r="P36" i="2"/>
  <c r="H33" i="3"/>
  <c r="H35" i="3"/>
  <c r="M7" i="3"/>
  <c r="I37" i="1"/>
  <c r="I39" i="1"/>
  <c r="I40" i="1"/>
  <c r="C17" i="1"/>
  <c r="M17" i="1"/>
  <c r="M20" i="1"/>
  <c r="M37" i="1"/>
  <c r="M35" i="1"/>
  <c r="M40" i="1"/>
  <c r="M27" i="1"/>
  <c r="M25" i="1"/>
  <c r="M30" i="1"/>
  <c r="M29" i="1"/>
  <c r="N29" i="1"/>
  <c r="K5" i="7"/>
  <c r="K6" i="7"/>
  <c r="K7" i="7"/>
  <c r="K4" i="7"/>
  <c r="I7" i="7"/>
  <c r="I5" i="7"/>
  <c r="J5" i="7"/>
  <c r="I6" i="7"/>
  <c r="H6" i="7"/>
  <c r="J6" i="7"/>
  <c r="J7" i="7"/>
  <c r="I4" i="7"/>
  <c r="H4" i="7"/>
  <c r="J4" i="7"/>
  <c r="K52" i="1"/>
  <c r="O52" i="1"/>
  <c r="G3" i="2"/>
  <c r="G15" i="3"/>
  <c r="P4" i="3"/>
  <c r="M3" i="1"/>
  <c r="M6" i="1"/>
  <c r="D8" i="1"/>
  <c r="M7" i="1"/>
  <c r="H15" i="3"/>
  <c r="I4" i="1"/>
  <c r="G5" i="5"/>
  <c r="M9" i="1"/>
  <c r="L30" i="2"/>
  <c r="C3" i="3"/>
  <c r="L31" i="2"/>
  <c r="C4" i="3"/>
  <c r="L32" i="2"/>
  <c r="C5" i="3"/>
  <c r="L33" i="2"/>
  <c r="C6" i="3"/>
  <c r="C10" i="3"/>
  <c r="C11" i="3"/>
  <c r="M8" i="3"/>
  <c r="C15" i="3"/>
  <c r="C16" i="3"/>
  <c r="M9" i="3"/>
  <c r="C20" i="3"/>
  <c r="C21" i="3"/>
  <c r="M10" i="3"/>
  <c r="P32" i="2"/>
  <c r="H8" i="3"/>
  <c r="H9" i="3"/>
  <c r="H10" i="3"/>
  <c r="M3" i="3"/>
  <c r="H21" i="3"/>
  <c r="H27" i="3"/>
  <c r="H34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9" i="3"/>
  <c r="G10" i="3"/>
  <c r="L3" i="3"/>
  <c r="G21" i="3"/>
  <c r="G27" i="3"/>
  <c r="G34" i="3"/>
  <c r="B3" i="3"/>
  <c r="B4" i="3"/>
  <c r="B5" i="3"/>
  <c r="B6" i="3"/>
  <c r="B10" i="3"/>
  <c r="B11" i="3"/>
  <c r="L8" i="3"/>
  <c r="B15" i="3"/>
  <c r="B16" i="3"/>
  <c r="L9" i="3"/>
  <c r="B20" i="3"/>
  <c r="B21" i="3"/>
  <c r="L10" i="3"/>
  <c r="P3" i="3"/>
  <c r="P5" i="3"/>
  <c r="P6" i="3"/>
  <c r="P7" i="3"/>
  <c r="P8" i="3"/>
  <c r="P9" i="3"/>
  <c r="P10" i="3"/>
  <c r="N3" i="6"/>
  <c r="N4" i="6"/>
  <c r="J3" i="2"/>
  <c r="B12" i="6"/>
  <c r="C8" i="7"/>
  <c r="O17" i="6"/>
  <c r="O18" i="6"/>
  <c r="N17" i="6"/>
  <c r="N18" i="6"/>
  <c r="N20" i="6"/>
  <c r="O9" i="6"/>
  <c r="O10" i="6"/>
  <c r="N9" i="6"/>
  <c r="N10" i="6"/>
  <c r="N12" i="6"/>
  <c r="B15" i="5"/>
  <c r="D21" i="2"/>
  <c r="N30" i="2"/>
  <c r="N31" i="2"/>
  <c r="N32" i="2"/>
  <c r="D20" i="2"/>
  <c r="O30" i="2"/>
  <c r="O32" i="2"/>
  <c r="O31" i="2"/>
  <c r="D18" i="2"/>
  <c r="D17" i="2"/>
  <c r="J30" i="2"/>
  <c r="J31" i="2"/>
  <c r="J32" i="2"/>
  <c r="J33" i="2"/>
  <c r="B24" i="2"/>
  <c r="D24" i="2"/>
  <c r="K32" i="2"/>
  <c r="K31" i="2"/>
  <c r="K30" i="2"/>
  <c r="K33" i="2"/>
  <c r="D23" i="2"/>
  <c r="C22" i="2"/>
  <c r="D22" i="2"/>
  <c r="H3" i="2"/>
  <c r="I3" i="2"/>
  <c r="J25" i="6"/>
  <c r="J26" i="6"/>
  <c r="J27" i="6"/>
  <c r="J28" i="6"/>
  <c r="J29" i="6"/>
  <c r="J30" i="6"/>
  <c r="J31" i="6"/>
  <c r="J32" i="6"/>
  <c r="K25" i="6"/>
  <c r="K26" i="6"/>
  <c r="K27" i="6"/>
  <c r="K28" i="6"/>
  <c r="K29" i="6"/>
  <c r="K30" i="6"/>
  <c r="K31" i="6"/>
  <c r="K32" i="6"/>
  <c r="N33" i="2"/>
  <c r="O33" i="2"/>
  <c r="H4" i="1"/>
  <c r="H5" i="1"/>
  <c r="I12" i="11"/>
  <c r="G4" i="5"/>
  <c r="N34" i="2"/>
  <c r="N35" i="2"/>
  <c r="N36" i="2"/>
  <c r="O35" i="2"/>
  <c r="O36" i="2"/>
  <c r="H38" i="1"/>
  <c r="H39" i="1"/>
  <c r="H28" i="1"/>
  <c r="H29" i="1"/>
  <c r="O34" i="2"/>
  <c r="H15" i="1"/>
  <c r="H18" i="1"/>
  <c r="H19" i="1"/>
  <c r="B13" i="1"/>
  <c r="M38" i="1"/>
  <c r="D4" i="1"/>
  <c r="B5" i="1"/>
  <c r="C5" i="1"/>
  <c r="D5" i="1"/>
  <c r="D6" i="1"/>
  <c r="D7" i="1"/>
  <c r="M39" i="1"/>
  <c r="N37" i="1"/>
  <c r="N39" i="1"/>
  <c r="N40" i="1"/>
  <c r="N17" i="1"/>
  <c r="N19" i="1"/>
  <c r="N20" i="1"/>
  <c r="M15" i="1"/>
  <c r="M18" i="1"/>
  <c r="M19" i="1"/>
  <c r="H3" i="1"/>
  <c r="C13" i="1"/>
  <c r="M28" i="1"/>
  <c r="N27" i="1"/>
  <c r="N30" i="1"/>
  <c r="G24" i="5"/>
  <c r="G22" i="5"/>
  <c r="B7" i="5"/>
  <c r="C7" i="5"/>
  <c r="G23" i="5"/>
  <c r="G21" i="5"/>
  <c r="G25" i="5"/>
  <c r="H21" i="5"/>
  <c r="H22" i="5"/>
  <c r="H23" i="5"/>
  <c r="K21" i="5"/>
  <c r="K22" i="5"/>
  <c r="O21" i="5"/>
  <c r="O22" i="5"/>
  <c r="O10" i="5"/>
  <c r="O11" i="5"/>
  <c r="K10" i="5"/>
  <c r="K11" i="5"/>
  <c r="J15" i="6"/>
  <c r="J14" i="6"/>
  <c r="J13" i="6"/>
  <c r="D4" i="6"/>
  <c r="J7" i="6"/>
  <c r="J6" i="6"/>
  <c r="J5" i="6"/>
  <c r="J3" i="6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32" i="1"/>
  <c r="C22" i="7"/>
  <c r="B14" i="5"/>
  <c r="B31" i="1"/>
  <c r="B22" i="7"/>
  <c r="I5" i="6"/>
  <c r="H5" i="6"/>
  <c r="C4" i="6"/>
  <c r="B4" i="6"/>
  <c r="I15" i="6"/>
  <c r="H15" i="6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<sst xmlns="http://schemas.openxmlformats.org/spreadsheetml/2006/main" count="524" uniqueCount="251">
  <si>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</si>
  <si>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</si>
  <si>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</si>
  <si>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</si>
  <si>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</si>
  <si>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</si>
  <si>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</si>
  <si>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</si>
  <si>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</si>
  <si>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</si>
  <si>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</si>
  <si>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</si>
  <si>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</si>
  <si>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</si>
  <si>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</si>
  <si>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</si>
  <si>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</si>
  <si>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</si>
  <si>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</si>
  <si>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</si>
  <si>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</si>
  <si>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</si>
  <si>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</si>
  <si>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</si>
  <si>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</si>
  <si>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</si>
  <si>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</si>
  <si>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</si>
  <si>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</si>
  <si>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</si>
  <si>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</si>
  <si>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</si>
  <si>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</si>
  <si>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</si>
  <si>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</si>
  <si>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</si>
  <si>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</si>
  <si>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</si>
  <si>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</si>
  <si>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</si>
  <si>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</si>
  <si>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</si>
  <si>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</si>
  <si>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</si>
  <si>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</si>
  <si>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</si>
  <si>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</si>
  <si>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</si>
  <si>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</si>
  <si>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</si>
  <si>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</si>
  <si>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</si>
  <si>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</si>
  <si>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</si>
  <si>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</si>
  <si>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</si>
  <si>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</si>
  <si>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</si>
  <si>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</si>
  <si>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</si>
  <si>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</si>
  <si>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</si>
  <si>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</si>
  <si>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</si>
  <si>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</si>
  <si>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</si>
  <si>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</si>
  <si>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</si>
  <si>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</si>
  <si>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</si>
  <si>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</si>
  <si>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</si>
  <si>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</si>
  <si>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</si>
  <si>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</si>
  <si>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</si>
  <si>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</si>
  <si>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</si>
  <si>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</si>
  <si>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</si>
  <si>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</si>
  <si>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</si>
  <si>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</si>
  <si>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</si>
  <si>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</si>
  <si>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</si>
  <si>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</si>
  <si>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</si>
  <si>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</si>
  <si>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</si>
  <si>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</si>
  <si>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</si>
  <si>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</si>
  <si>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</si>
  <si>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</si>
  <si>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</si>
  <si>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</si>
  <si>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</si>
  <si>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</si>
  <si>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</si>
  <si>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</si>
  <si>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</si>
  <si>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</si>
  <si>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</si>
  <si>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</si>
  <si>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</si>
  <si>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</si>
  <si>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</si>
  <si>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</si>
  <si>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</si>
  <si>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</si>
  <si>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</si>
  <si>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</si>
  <si>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</si>
  <si>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</si>
  <si>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</si>
  <si>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</si>
  <si>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</si>
  <si>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</si>
  <si>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</si>
  <si>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</si>
  <si>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</si>
  <si>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</si>
  <si>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</si>
  <si>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</si>
  <si>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</si>
  <si>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</si>
  <si>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</si>
  <si>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</si>
  <si>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</si>
  <si>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</si>
  <si>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</si>
  <si>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</si>
  <si>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</si>
  <si>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</si>
  <si>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</si>
  <si>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</si>
  <si>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</si>
  <si>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</si>
  <si>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</si>
  <si>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</si>
  <si>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</si>
  <si>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</si>
  <si>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</si>
  <si>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</si>
  <si>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</si>
  <si>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</si>
  <si>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</si>
  <si>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</si>
  <si>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</si>
  <si>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</si>
  <si>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</si>
  <si>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</si>
  <si>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</si>
  <si>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</si>
  <si>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</si>
  <si>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</si>
  <si>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</si>
  <si>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</si>
  <si>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</si>
  <si>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</si>
  <si>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</si>
  <si>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</si>
  <si>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</si>
  <si>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</si>
  <si>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</si>
  <si>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</si>
  <si>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</si>
  <si>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</si>
  <si>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</si>
  <si>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</si>
  <si>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</si>
  <si>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</si>
  <si>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</si>
  <si>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</si>
  <si>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</si>
  <si>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</si>
  <si>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</si>
  <si>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</si>
  <si>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</si>
  <si>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</si>
  <si>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</si>
  <si>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</si>
  <si>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</si>
  <si>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</si>
  <si>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</si>
  <si>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</si>
  <si>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</si>
  <si>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</si>
  <si>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</si>
  <si>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</si>
  <si>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</si>
  <si>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</si>
  <si>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</si>
  <si>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</si>
  <si>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</si>
  <si>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</si>
  <si>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</si>
  <si>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</si>
  <si>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</si>
  <si>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</si>
  <si>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</si>
  <si>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</si>
  <si>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</si>
  <si>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</si>
  <si>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</si>
  <si>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</si>
  <si>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</si>
  <si>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</si>
  <si>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</si>
  <si>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</si>
  <si>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</si>
  <si>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</si>
  <si>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</si>
  <si>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</si>
  <si>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</si>
  <si>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</si>
  <si>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</si>
  <si>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</si>
  <si>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</si>
  <si>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</si>
  <si>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</si>
  <si>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</si>
  <si>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</si>
  <si>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</si>
  <si>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</si>
  <si>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</si>
  <si>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</si>
  <si>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</si>
  <si>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</si>
  <si>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</si>
  <si>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</si>
  <si>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</si>
  <si>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</si>
  <si>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</si>
  <si>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</si>
  <si>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</si>
  <si>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global poverty</t>
  </si>
  <si>
    <t>factory farming</t>
  </si>
  <si>
    <t>wild animals</t>
  </si>
  <si>
    <t>sentient simulations</t>
  </si>
  <si>
    <t>far future</t>
  </si>
  <si>
    <t>should be 43.27</t>
  </si>
  <si>
    <t>should be 829.78</t>
  </si>
  <si>
    <t>Enable calculations?</t>
  </si>
  <si>
    <t>0 for false, 1 for true</t>
  </si>
  <si>
    <t>(positive)</t>
  </si>
  <si>
    <t>(negative)</t>
  </si>
  <si>
    <t>log 80% CI</t>
  </si>
  <si>
    <t>80% CI</t>
  </si>
  <si>
    <t>extinction averted per $1000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</si>
</sst>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4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</cellXfs>
  <cellStyles count="14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K4" sqref="K4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J2" t="s">
        <v>195</v>
      </c>
    </row>
    <row r="3" spans="1:12">
      <c r="A3" s="1" t="s">
        <v>153</v>
      </c>
      <c r="H3" t="s">
        <v>164</v>
      </c>
      <c r="I3" t="s">
        <v>34</v>
      </c>
      <c r="J3" s="30" t="s">
        <v>148</v>
      </c>
      <c r="K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45" t="s">
        <v>150</v>
      </c>
      <c r="H4" s="4">
        <f>GiveDirectly!G3</f>
        <v>1</v>
      </c>
      <c r="I4">
        <f>GiveDirectly!H3</f>
        <v>6.25E-2</v>
      </c>
      <c r="J4" s="5">
        <f>ParetoPosterior(median,alpha,H4:I4)</f>
        <v>0.99999999999999978</v>
      </c>
      <c r="K4" s="5" t="e">
        <f>LognormPosterior(mu,sigma,H4:I4)</f>
        <v>#VALUE!</v>
      </c>
    </row>
    <row r="5" spans="1:12">
      <c r="A5" s="30" t="s">
        <v>150</v>
      </c>
      <c r="B5" s="5">
        <f>GiveDirectly!B14</f>
        <v>0.99999999999999978</v>
      </c>
      <c r="C5" s="5">
        <f>GiveDirectly!B15</f>
        <v>1.2664806054928701</v>
      </c>
      <c r="D5" s="5">
        <f>C5/$C$5</f>
        <v>1</v>
      </c>
      <c r="G5" s="4" t="s">
        <v>162</v>
      </c>
      <c r="H5" s="4">
        <v>11</v>
      </c>
      <c r="I5">
        <f>0.5^2</f>
        <v>0.25</v>
      </c>
      <c r="J5" s="5">
        <f>ParetoPosterior(median,alpha,H5:I5)</f>
        <v>3.8986159354811023</v>
      </c>
      <c r="K5" s="5" t="e">
        <f>LognormPosterior(mu,sigma,H5:I5)</f>
        <v>#VALUE!</v>
      </c>
    </row>
    <row r="6" spans="1:12">
      <c r="A6" s="30" t="s">
        <v>151</v>
      </c>
      <c r="B6" s="5"/>
      <c r="C6" s="5">
        <f>MAX('Veg Ads'!H7,'Veg Ads'!M10,'Veg Ads'!H22,'Veg Ads'!H32,'Veg Ads'!H46)</f>
        <v>829.78600845562289</v>
      </c>
      <c r="D6" s="5">
        <f>C6/C5</f>
        <v>655.19045839055627</v>
      </c>
      <c r="E6" t="s">
        <v>229</v>
      </c>
      <c r="G6" s="4" t="s">
        <v>151</v>
      </c>
      <c r="H6" s="19">
        <f>'Veg Ads'!H5</f>
        <v>4524.9309386995064</v>
      </c>
      <c r="I6">
        <f>'Veg Ads'!I5</f>
        <v>0.59504262895320126</v>
      </c>
      <c r="J6" s="5">
        <f>ParetoPosterior(median,alpha,H6:I6)</f>
        <v>61.184929894216673</v>
      </c>
      <c r="K6" s="5" t="e">
        <f>LognormPosterior(mu,sigma,H6:I6)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4" t="s">
        <v>163</v>
      </c>
      <c r="H7" s="19">
        <v>22000</v>
      </c>
      <c r="I7">
        <f>1^2</f>
        <v>1</v>
      </c>
      <c r="J7" s="5">
        <f>ParetoPosterior(median,alpha,H7:I7)</f>
        <v>31.180318497090159</v>
      </c>
      <c r="K7" s="5" t="e">
        <f>LognormPosterior(mu,sigma,H7:I7)</f>
        <v>#VALUE!</v>
      </c>
    </row>
    <row r="8" spans="1:12">
      <c r="A8" s="30" t="s">
        <v>152</v>
      </c>
      <c r="B8" s="5" t="e">
        <f>'AI Safety'!B11</f>
        <v>#VALUE!</v>
      </c>
      <c r="C8" s="5" t="e">
        <f>'AI Safety'!B12</f>
        <v>#VALUE!</v>
      </c>
      <c r="D8" s="5" t="e">
        <f>C8/$C$5</f>
        <v>#VALUE!</v>
      </c>
      <c r="G8" s="4"/>
      <c r="H8" s="19"/>
      <c r="I8" s="4"/>
      <c r="K8" s="4"/>
      <c r="L8" s="4"/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0.99999999999999978</v>
      </c>
      <c r="C14" s="5">
        <f>GiveDirectly!B20</f>
        <v>1.2664806054928701</v>
      </c>
      <c r="D14" s="5">
        <f>C14/$C$14</f>
        <v>1</v>
      </c>
    </row>
    <row r="15" spans="1:12">
      <c r="A15" s="30" t="s">
        <v>151</v>
      </c>
      <c r="B15" s="5">
        <f>'Veg Ads'!B31</f>
        <v>551196598527200</v>
      </c>
      <c r="C15" s="5">
        <f>'Veg Ads'!B32</f>
        <v>873.05774042959376</v>
      </c>
      <c r="D15" s="5">
        <f>C15/$C$14</f>
        <v>689.35737084566733</v>
      </c>
    </row>
    <row r="16" spans="1:12">
      <c r="A16" s="30" t="s">
        <v>152</v>
      </c>
      <c r="B16" s="5" t="e">
        <f>'AI Safety'!B16</f>
        <v>#VALUE!</v>
      </c>
      <c r="C16" s="5" t="e">
        <f>'AI Safety'!B17</f>
        <v>#VALUE!</v>
      </c>
      <c r="D16" s="5" t="e">
        <f>C16/$C$14</f>
        <v>#VALUE!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Ads'!B31</f>
        <v>551196598527200</v>
      </c>
      <c r="C22" s="5">
        <f>'Veg Ads'!B32</f>
        <v>873.05774042959376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N3" sqref="N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100</v>
      </c>
      <c r="F1" t="s">
        <v>237</v>
      </c>
      <c r="G1" t="s">
        <v>238</v>
      </c>
      <c r="H1" t="s">
        <v>239</v>
      </c>
      <c r="I1" t="s">
        <v>240</v>
      </c>
      <c r="J1" t="s">
        <v>241</v>
      </c>
      <c r="M1" s="1"/>
      <c r="N1" s="7" t="s">
        <v>244</v>
      </c>
    </row>
    <row r="2" spans="1:15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0">
        <v>1</v>
      </c>
      <c r="I2" s="11">
        <v>1</v>
      </c>
      <c r="J2" s="11">
        <v>1</v>
      </c>
      <c r="N2" s="44">
        <v>1</v>
      </c>
      <c r="O2" t="s">
        <v>245</v>
      </c>
    </row>
    <row r="3" spans="1:15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113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115</v>
      </c>
    </row>
    <row r="7" spans="1:15">
      <c r="N7" s="33" t="s">
        <v>114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147</v>
      </c>
    </row>
    <row r="10" spans="1:15">
      <c r="E10" s="14" t="s">
        <v>10</v>
      </c>
      <c r="F10" s="13">
        <v>0.3</v>
      </c>
      <c r="N10" s="29" t="s">
        <v>177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P11" sqref="P11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4"/>
      <c r="L11" s="4"/>
      <c r="M11" s="4"/>
      <c r="Q11" s="4"/>
      <c r="R11" s="4"/>
    </row>
    <row r="12" spans="1:18" ht="15" customHeight="1">
      <c r="B12" s="4"/>
      <c r="K12" s="4"/>
      <c r="L12" s="4"/>
      <c r="M12" s="4"/>
      <c r="Q12" s="4"/>
      <c r="R12" s="4"/>
    </row>
    <row r="13" spans="1:18" ht="15" customHeight="1">
      <c r="F13" s="1" t="s">
        <v>61</v>
      </c>
      <c r="K13" s="45"/>
      <c r="L13" s="4"/>
      <c r="M13" s="4"/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  <c r="L15" t="s">
        <v>248</v>
      </c>
      <c r="N15" t="s">
        <v>249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1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2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F14" sqref="F14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29" t="s">
        <v>116</v>
      </c>
      <c r="B4" s="15">
        <v>0.1</v>
      </c>
      <c r="C4" s="15">
        <v>0.5</v>
      </c>
      <c r="F4" s="33" t="s">
        <v>99</v>
      </c>
      <c r="G4" s="34">
        <f>ParetoPosterior(median,alpha,G3:H3)</f>
        <v>0.99999999999999978</v>
      </c>
      <c r="H4" s="4"/>
    </row>
    <row r="5" spans="1:16">
      <c r="A5" s="29" t="s">
        <v>117</v>
      </c>
      <c r="B5" s="15">
        <v>1.7999999999999999E-2</v>
      </c>
      <c r="C5" s="15">
        <v>0.18</v>
      </c>
      <c r="F5" s="33" t="s">
        <v>110</v>
      </c>
      <c r="G5" s="34">
        <f>LognormPosterior(mu_global_poverty,sigma_global_poverty,G3:H3)</f>
        <v>1.2664806054928701</v>
      </c>
      <c r="H5" s="4"/>
    </row>
    <row r="6" spans="1:16">
      <c r="A6" s="29" t="s">
        <v>118</v>
      </c>
      <c r="B6" s="15">
        <v>0.02</v>
      </c>
      <c r="C6" s="15">
        <v>0.2</v>
      </c>
    </row>
    <row r="7" spans="1:16">
      <c r="A7" s="4" t="s">
        <v>112</v>
      </c>
      <c r="B7" s="19">
        <f>1000/C3*interest_rate</f>
        <v>5.0000000000000008E-11</v>
      </c>
      <c r="C7" s="19">
        <f>1000/B3*interest_rate</f>
        <v>1.0000000000000001E-9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GEOMEAN($B$4,$C$4)</f>
        <v>0.22360679774997896</v>
      </c>
      <c r="H10">
        <f>LogVariance($B$4,$C$4)</f>
        <v>0.27270459618181209</v>
      </c>
      <c r="J10" t="s">
        <v>137</v>
      </c>
      <c r="K10" t="e">
        <f>VLOOKUP(J10,'EV of Far Future'!$K$11:$M$13,2,FALSE)</f>
        <v>#N/A</v>
      </c>
      <c r="L10" t="e">
        <f>VLOOKUP(J10,'EV of Far Future'!$K$11:$M$13,3,FALSE)</f>
        <v>#N/A</v>
      </c>
      <c r="N10" t="s">
        <v>138</v>
      </c>
      <c r="O10" t="e">
        <f>VLOOKUP(N10,'EV of Far Future'!$K$11:$M$13,2,FALSE)</f>
        <v>#N/A</v>
      </c>
      <c r="P10" t="e">
        <f>VLOOKUP(N10,'EV of Far Future'!$K$11:$M$13,3,FALSE)</f>
        <v>#N/A</v>
      </c>
    </row>
    <row r="11" spans="1:16">
      <c r="F11" s="4" t="s">
        <v>117</v>
      </c>
      <c r="G11">
        <f>GEOMEAN($B$5,$C$5)</f>
        <v>5.6920997883030823E-2</v>
      </c>
      <c r="H11">
        <f>LogVariance($B$5,$C$5)</f>
        <v>0.39015207303618948</v>
      </c>
      <c r="J11" t="s">
        <v>154</v>
      </c>
      <c r="K11" t="e">
        <f>ABS(PRODUCT($G$10:$G$12)*K10)</f>
        <v>#N/A</v>
      </c>
      <c r="L11" t="e">
        <f>SUM($H$10:$H$12)+L10</f>
        <v>#N/A</v>
      </c>
      <c r="N11" t="s">
        <v>154</v>
      </c>
      <c r="O11" t="e">
        <f>ABS(PRODUCT($G$10:$G$12)*O10)</f>
        <v>#N/A</v>
      </c>
      <c r="P11" t="e">
        <f>SUM($H$10:$H$12)+P10</f>
        <v>#N/A</v>
      </c>
    </row>
    <row r="12" spans="1:16" ht="20">
      <c r="A12" s="7" t="s">
        <v>67</v>
      </c>
      <c r="F12" t="s">
        <v>112</v>
      </c>
      <c r="G12">
        <f>GEOMEAN($B$7,$C$7)</f>
        <v>2.2360679774997899E-10</v>
      </c>
      <c r="H12">
        <f>LogVariance($B$7,$C$7)</f>
        <v>0.50759954989056688</v>
      </c>
      <c r="J12" s="33" t="s">
        <v>99</v>
      </c>
      <c r="K12" s="34"/>
      <c r="N12" s="33" t="s">
        <v>99</v>
      </c>
      <c r="O12" s="34"/>
    </row>
    <row r="13" spans="1:16">
      <c r="A13" s="1" t="s">
        <v>156</v>
      </c>
      <c r="F13" s="4" t="s">
        <v>250</v>
      </c>
      <c r="G13" s="4">
        <f>PRODUCT(G10:G12)</f>
        <v>2.8460498941515414E-12</v>
      </c>
      <c r="H13" s="4">
        <f>SUM(H10:H12)</f>
        <v>1.1704562191085683</v>
      </c>
      <c r="J13" s="33" t="s">
        <v>110</v>
      </c>
      <c r="K13" s="34"/>
      <c r="N13" s="33" t="s">
        <v>110</v>
      </c>
      <c r="O13" s="34"/>
    </row>
    <row r="14" spans="1:16">
      <c r="A14" s="30" t="s">
        <v>107</v>
      </c>
      <c r="B14" s="5">
        <f>G15-G26+G4</f>
        <v>0.99999999999999978</v>
      </c>
      <c r="F14" s="4"/>
      <c r="G14" s="4"/>
      <c r="H14" s="4"/>
    </row>
    <row r="15" spans="1:16">
      <c r="A15" s="30" t="s">
        <v>108</v>
      </c>
      <c r="B15" s="5">
        <f>G16-G27+G5</f>
        <v>1.2664806054928701</v>
      </c>
      <c r="F15" s="4"/>
      <c r="G15" s="4"/>
      <c r="H15" s="4"/>
    </row>
    <row r="16" spans="1:16">
      <c r="F16" s="4"/>
      <c r="G16" s="4"/>
      <c r="H16" s="4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0.99999999999999978</v>
      </c>
      <c r="F19" s="1" t="s">
        <v>119</v>
      </c>
    </row>
    <row r="20" spans="1:16">
      <c r="A20" s="30" t="s">
        <v>108</v>
      </c>
      <c r="B20" s="5">
        <f>(O13-K13)-(O24-K24)+G5</f>
        <v>1.2664806054928701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GEOMEAN($B$4,$C$4)</f>
        <v>0.22360679774997896</v>
      </c>
      <c r="H21">
        <f>LogVariance($B$4,$C$4)</f>
        <v>0.27270459618181209</v>
      </c>
      <c r="J21" t="s">
        <v>137</v>
      </c>
      <c r="K21" t="e">
        <f>VLOOKUP(J21,'EV of Far Future'!$K$11:$M$13,2,FALSE)</f>
        <v>#N/A</v>
      </c>
      <c r="L21" t="e">
        <f>VLOOKUP(J21,'EV of Far Future'!$K$11:$M$13,3,FALSE)</f>
        <v>#N/A</v>
      </c>
      <c r="N21" t="s">
        <v>138</v>
      </c>
      <c r="O21" t="e">
        <f>VLOOKUP(N21,'EV of Far Future'!$K$11:$M$13,2,FALSE)</f>
        <v>#N/A</v>
      </c>
      <c r="P21" t="e">
        <f>VLOOKUP(N21,'EV of Far Future'!$K$11:$M$13,3,FALSE)</f>
        <v>#N/A</v>
      </c>
    </row>
    <row r="22" spans="1:16">
      <c r="F22" s="4" t="s">
        <v>118</v>
      </c>
      <c r="G22">
        <f>GEOMEAN($B$6,$C$6)</f>
        <v>6.3245553203367583E-2</v>
      </c>
      <c r="H22">
        <f>LogVariance($B$6,$C$6)</f>
        <v>0.39015207303618948</v>
      </c>
      <c r="J22" t="s">
        <v>154</v>
      </c>
      <c r="K22" t="e">
        <f>ABS(PRODUCT($G$10:$G$12)*K21)</f>
        <v>#N/A</v>
      </c>
      <c r="L22" t="e">
        <f>SUM($H$21:$H$23)+L21</f>
        <v>#N/A</v>
      </c>
      <c r="N22" t="s">
        <v>154</v>
      </c>
      <c r="O22" t="e">
        <f>ABS(PRODUCT($G$10:$G$12)*O21)</f>
        <v>#N/A</v>
      </c>
      <c r="P22" t="e">
        <f>SUM($H$21:$H$23)+P21</f>
        <v>#N/A</v>
      </c>
    </row>
    <row r="23" spans="1:16">
      <c r="A23" s="1" t="s">
        <v>205</v>
      </c>
      <c r="F23" t="s">
        <v>112</v>
      </c>
      <c r="G23">
        <f>GEOMEAN($B$7,$C$7)</f>
        <v>2.2360679774997899E-10</v>
      </c>
      <c r="H23">
        <f>LogVariance($B$7,$C$7)</f>
        <v>0.50759954989056688</v>
      </c>
      <c r="J23" s="33" t="s">
        <v>99</v>
      </c>
      <c r="K23" s="34"/>
      <c r="N23" s="33" t="s">
        <v>99</v>
      </c>
      <c r="O23" s="34"/>
    </row>
    <row r="24" spans="1:16">
      <c r="A24" t="s">
        <v>206</v>
      </c>
      <c r="F24" t="s">
        <v>136</v>
      </c>
      <c r="G24" t="e">
        <f>VLOOKUP(F24,'EV of Far Future'!$K$11:$M$13,2,FALSE)</f>
        <v>#N/A</v>
      </c>
      <c r="H24" t="e">
        <f>VLOOKUP(F24,'EV of Far Future'!$K$11:$M$13,3,FALSE)</f>
        <v>#N/A</v>
      </c>
      <c r="J24" s="33" t="s">
        <v>110</v>
      </c>
      <c r="K24" s="34"/>
      <c r="N24" s="33" t="s">
        <v>110</v>
      </c>
      <c r="O24" s="34"/>
    </row>
    <row r="25" spans="1:16">
      <c r="F25" s="28" t="s">
        <v>60</v>
      </c>
      <c r="G25" s="26" t="e">
        <f>PRODUCT(G21:G24)</f>
        <v>#N/A</v>
      </c>
      <c r="H25" s="26" t="e">
        <f>SUM(H21:H24)</f>
        <v>#N/A</v>
      </c>
    </row>
    <row r="26" spans="1:16">
      <c r="F26" s="33" t="s">
        <v>99</v>
      </c>
      <c r="G26" s="34"/>
    </row>
    <row r="27" spans="1:16">
      <c r="F27" s="33" t="s">
        <v>110</v>
      </c>
      <c r="G27" s="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1"/>
  <sheetViews>
    <sheetView tabSelected="1" workbookViewId="0">
      <selection activeCell="B24" sqref="B24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832031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3" t="s">
        <v>99</v>
      </c>
      <c r="H6" s="34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3" t="s">
        <v>87</v>
      </c>
      <c r="H7" s="35">
        <f>LognormPosterior(mu_factory_farming,sigma_factory_farming,H5:I5)</f>
        <v>43.271731973970823</v>
      </c>
      <c r="I7" t="s">
        <v>242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8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3" t="s">
        <v>99</v>
      </c>
      <c r="M9" s="34">
        <f>ParetoPosterior(median,alpha,M8:N8)</f>
        <v>551196598527138.81</v>
      </c>
    </row>
    <row r="10" spans="1:14">
      <c r="L10" s="33" t="s">
        <v>87</v>
      </c>
      <c r="M10" s="35">
        <f>LognormPosterior(mu_factory_farming,sigma_factory_farming,M8:N8)</f>
        <v>829.78600845562289</v>
      </c>
      <c r="N10" s="38" t="s">
        <v>243</v>
      </c>
    </row>
    <row r="11" spans="1:14" ht="20">
      <c r="A11" s="7" t="s">
        <v>67</v>
      </c>
      <c r="M11" s="39"/>
      <c r="N11" s="3"/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246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H30</f>
        <v>2.2206524446657558E+31</v>
      </c>
      <c r="C16">
        <f>I30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H40</f>
        <v>1.0533479425147227E+30</v>
      </c>
      <c r="C17">
        <f>I40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A18" t="s">
        <v>247</v>
      </c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-PRODUCT(M15:M19)</f>
        <v>-5.617855693411855E+27</v>
      </c>
      <c r="N20" s="26">
        <f>SUM(N15:N19)</f>
        <v>4.0650043203329673</v>
      </c>
    </row>
    <row r="21" spans="1:14">
      <c r="G21" s="4"/>
      <c r="H21" s="4"/>
      <c r="L21" s="4"/>
      <c r="M21" s="4"/>
    </row>
    <row r="22" spans="1:14">
      <c r="A22" s="30" t="s">
        <v>107</v>
      </c>
      <c r="B22" s="5"/>
      <c r="G22" s="4"/>
      <c r="H22" s="38"/>
      <c r="L22" s="4"/>
      <c r="M22" s="38"/>
    </row>
    <row r="23" spans="1:14">
      <c r="A23" s="30" t="s">
        <v>108</v>
      </c>
      <c r="B23" s="5">
        <f>LognormPosterior(mu_factory_farming,sigma_factory_farming,B14:C17)</f>
        <v>35040380.662418753</v>
      </c>
      <c r="G23" s="1" t="s">
        <v>103</v>
      </c>
      <c r="L23" s="1" t="s">
        <v>106</v>
      </c>
    </row>
    <row r="24" spans="1:14">
      <c r="B24" s="5">
        <f>LognormPosterior(mu_factory_farming,sigma_factory_farming,B15:C15)</f>
        <v>468.5013695023278</v>
      </c>
      <c r="H24" t="s">
        <v>2</v>
      </c>
      <c r="I24" t="s">
        <v>34</v>
      </c>
      <c r="M24" t="s">
        <v>2</v>
      </c>
      <c r="N24" t="s">
        <v>34</v>
      </c>
    </row>
    <row r="25" spans="1:14">
      <c r="B25" s="5">
        <f>LognormPosterior(mu_factory_farming,sigma_factory_farming,B16:C16)</f>
        <v>478.64538817778464</v>
      </c>
      <c r="G25" t="s">
        <v>93</v>
      </c>
      <c r="H25">
        <f>VLOOKUP($G25,'EV of Far Future'!$O$3:$P$10,2,FALSE)</f>
        <v>0.22399999999999998</v>
      </c>
      <c r="I25">
        <v>0</v>
      </c>
      <c r="L25" t="s">
        <v>93</v>
      </c>
      <c r="M25">
        <f>VLOOKUP($G25,'EV of Far Future'!$O$3:$P$10,2,FALSE)</f>
        <v>0.22399999999999998</v>
      </c>
      <c r="N25">
        <v>0</v>
      </c>
    </row>
    <row r="26" spans="1:14">
      <c r="B26" s="5">
        <f>LognormPosterior(mu_factory_farming,sigma_factory_farming,B17:C17)</f>
        <v>146.54129857110692</v>
      </c>
      <c r="C26" s="4"/>
      <c r="D26" s="4"/>
      <c r="G26" s="4" t="s">
        <v>88</v>
      </c>
      <c r="H26" s="2">
        <v>0.05</v>
      </c>
      <c r="I26">
        <v>0</v>
      </c>
      <c r="L26" s="4" t="s">
        <v>105</v>
      </c>
      <c r="M26" s="2">
        <v>0.01</v>
      </c>
      <c r="N26">
        <v>0</v>
      </c>
    </row>
    <row r="27" spans="1:14">
      <c r="B27" s="5"/>
      <c r="D27" s="4"/>
      <c r="G27" s="4" t="s">
        <v>75</v>
      </c>
      <c r="H27">
        <f>VLOOKUP($G27,'EV of Far Future'!$K$3:$N$10,2,FALSE)</f>
        <v>6.324555320336757E+40</v>
      </c>
      <c r="I27">
        <f>VLOOKUP($G27,'EV of Far Future'!$K$3:$N$10,3,FALSE)</f>
        <v>4.0113686573257059</v>
      </c>
      <c r="L27" s="4" t="s">
        <v>75</v>
      </c>
      <c r="M27">
        <f>VLOOKUP($G27,'EV of Far Future'!$K$3:$N$10,2,FALSE)</f>
        <v>6.324555320336757E+40</v>
      </c>
      <c r="N27">
        <f>VLOOKUP($G27,'EV of Far Future'!$K$3:$N$10,3,FALSE)</f>
        <v>4.0113686573257059</v>
      </c>
    </row>
    <row r="28" spans="1:14">
      <c r="B28" s="4"/>
      <c r="D28" s="4"/>
      <c r="G28" s="4" t="s">
        <v>84</v>
      </c>
      <c r="H28">
        <f>1/factory_farmed_animals</f>
        <v>5.0000000000000002E-11</v>
      </c>
      <c r="I28">
        <v>0</v>
      </c>
      <c r="L28" s="4" t="s">
        <v>84</v>
      </c>
      <c r="M28">
        <f>1/factory_farmed_animals</f>
        <v>5.0000000000000002E-11</v>
      </c>
      <c r="N28">
        <v>0</v>
      </c>
    </row>
    <row r="29" spans="1:14">
      <c r="D29" s="4"/>
      <c r="G29" s="4" t="s">
        <v>121</v>
      </c>
      <c r="H29">
        <f>$D$8</f>
        <v>626.99282292543035</v>
      </c>
      <c r="I29">
        <f>$E$8</f>
        <v>0.54378773604345199</v>
      </c>
      <c r="L29" s="4" t="s">
        <v>121</v>
      </c>
      <c r="M29">
        <f>$D$8</f>
        <v>626.99282292543035</v>
      </c>
      <c r="N29">
        <f>$E$8</f>
        <v>0.54378773604345199</v>
      </c>
    </row>
    <row r="30" spans="1:14">
      <c r="A30" s="1" t="s">
        <v>205</v>
      </c>
      <c r="G30" s="28" t="s">
        <v>60</v>
      </c>
      <c r="H30" s="26">
        <f>PRODUCT(H25:H29)</f>
        <v>2.2206524446657558E+31</v>
      </c>
      <c r="I30" s="26">
        <f>SUM(I25:I29)</f>
        <v>4.5551563933691579</v>
      </c>
      <c r="L30" s="28" t="s">
        <v>60</v>
      </c>
      <c r="M30" s="26">
        <f>-PRODUCT(M25:M29)</f>
        <v>-4.4413048893315115E+30</v>
      </c>
      <c r="N30" s="26">
        <f>SUM(N25:N29)</f>
        <v>4.5551563933691579</v>
      </c>
    </row>
    <row r="31" spans="1:14">
      <c r="A31" s="30" t="s">
        <v>107</v>
      </c>
      <c r="B31" s="5">
        <f>H6+M9+H21+H31+H45-(M21+M31+M45)</f>
        <v>551196598527200</v>
      </c>
      <c r="G31" s="4"/>
      <c r="H31" s="4"/>
      <c r="L31" s="4"/>
      <c r="M31" s="4"/>
    </row>
    <row r="32" spans="1:14">
      <c r="A32" s="30" t="s">
        <v>108</v>
      </c>
      <c r="B32" s="5">
        <f>H7+M10+H22+H32+H46-(M22+M32+M46)</f>
        <v>873.05774042959376</v>
      </c>
      <c r="G32" s="4"/>
      <c r="H32" s="38"/>
      <c r="L32" s="4"/>
      <c r="M32" s="38"/>
    </row>
    <row r="33" spans="7:14">
      <c r="G33" s="1" t="s">
        <v>98</v>
      </c>
      <c r="L33" s="1" t="s">
        <v>200</v>
      </c>
    </row>
    <row r="34" spans="7:14">
      <c r="H34" t="s">
        <v>2</v>
      </c>
      <c r="I34" t="s">
        <v>34</v>
      </c>
      <c r="M34" t="s">
        <v>2</v>
      </c>
      <c r="N34" t="s">
        <v>34</v>
      </c>
    </row>
    <row r="35" spans="7:14">
      <c r="G35" t="s">
        <v>94</v>
      </c>
      <c r="H35">
        <f>VLOOKUP($G35,'EV of Far Future'!$O$3:$P$10,2,FALSE)</f>
        <v>0.16799999999999998</v>
      </c>
      <c r="I35">
        <v>0</v>
      </c>
      <c r="L35" t="s">
        <v>94</v>
      </c>
      <c r="M35">
        <f>VLOOKUP($G35,'EV of Far Future'!$O$3:$P$10,2,FALSE)</f>
        <v>0.16799999999999998</v>
      </c>
      <c r="N35">
        <v>0</v>
      </c>
    </row>
    <row r="36" spans="7:14">
      <c r="G36" s="4" t="s">
        <v>88</v>
      </c>
      <c r="H36" s="2">
        <v>0.1</v>
      </c>
      <c r="I36">
        <v>0</v>
      </c>
      <c r="L36" s="4" t="s">
        <v>105</v>
      </c>
      <c r="M36" s="2">
        <v>0.01</v>
      </c>
      <c r="N36">
        <v>0</v>
      </c>
    </row>
    <row r="37" spans="7:14">
      <c r="G37" s="4" t="s">
        <v>76</v>
      </c>
      <c r="H37">
        <f>VLOOKUP($G37,'EV of Far Future'!$K$3:$N$10,2,FALSE)</f>
        <v>1.9999999999999993E+39</v>
      </c>
      <c r="I37">
        <f>VLOOKUP($G37,'EV of Far Future'!$K$3:$N$10,3,FALSE)</f>
        <v>5.1818248764342734</v>
      </c>
      <c r="L37" s="4" t="s">
        <v>76</v>
      </c>
      <c r="M37">
        <f>VLOOKUP($G37,'EV of Far Future'!$K$3:$N$10,2,FALSE)</f>
        <v>1.9999999999999993E+39</v>
      </c>
      <c r="N37">
        <f>VLOOKUP($G37,'EV of Far Future'!$K$3:$N$10,3,FALSE)</f>
        <v>5.1818248764342734</v>
      </c>
    </row>
    <row r="38" spans="7:14">
      <c r="G38" s="4" t="s">
        <v>84</v>
      </c>
      <c r="H38">
        <f>1/factory_farmed_animals</f>
        <v>5.0000000000000002E-11</v>
      </c>
      <c r="I38">
        <v>0</v>
      </c>
      <c r="L38" s="4" t="s">
        <v>84</v>
      </c>
      <c r="M38">
        <f>1/factory_farmed_animals</f>
        <v>5.0000000000000002E-11</v>
      </c>
      <c r="N38">
        <v>0</v>
      </c>
    </row>
    <row r="39" spans="7:14">
      <c r="G39" s="4" t="s">
        <v>121</v>
      </c>
      <c r="H39">
        <f>$D$8</f>
        <v>626.99282292543035</v>
      </c>
      <c r="I39">
        <f>$E$8</f>
        <v>0.54378773604345199</v>
      </c>
      <c r="L39" s="4" t="s">
        <v>121</v>
      </c>
      <c r="M39">
        <f>$D$8</f>
        <v>626.99282292543035</v>
      </c>
      <c r="N39">
        <f>$E$8</f>
        <v>0.54378773604345199</v>
      </c>
    </row>
    <row r="40" spans="7:14">
      <c r="G40" s="28" t="s">
        <v>60</v>
      </c>
      <c r="H40" s="26">
        <f>PRODUCT(H35:H39)</f>
        <v>1.0533479425147227E+30</v>
      </c>
      <c r="I40" s="26">
        <f>SUM(I35:I39)</f>
        <v>5.7256126124777253</v>
      </c>
      <c r="L40" s="28" t="s">
        <v>60</v>
      </c>
      <c r="M40" s="26">
        <f>-PRODUCT(M35:M39)</f>
        <v>-1.0533479425147224E+29</v>
      </c>
      <c r="N40" s="26">
        <f>SUM(N35:N39)</f>
        <v>5.7256126124777253</v>
      </c>
    </row>
    <row r="45" spans="7:14">
      <c r="G45" s="4"/>
      <c r="H45" s="4"/>
      <c r="L45" s="4"/>
      <c r="M45" s="4"/>
    </row>
    <row r="46" spans="7:14">
      <c r="G46" s="4"/>
      <c r="H46" s="38"/>
      <c r="L46" s="4"/>
      <c r="M46" s="38"/>
    </row>
    <row r="47" spans="7:14">
      <c r="H47" s="39"/>
      <c r="M47" s="39"/>
    </row>
    <row r="48" spans="7:14">
      <c r="M48" s="3"/>
    </row>
    <row r="50" spans="6:16">
      <c r="I50" s="3"/>
    </row>
    <row r="52" spans="6:16">
      <c r="F52">
        <v>4000</v>
      </c>
      <c r="G52">
        <v>1</v>
      </c>
      <c r="H52">
        <f>LognormPosterior(mu_factory_farming,sigma_factory_farming,F52:G52)</f>
        <v>18.481120690768698</v>
      </c>
      <c r="I52">
        <v>11</v>
      </c>
      <c r="J52">
        <v>0.5</v>
      </c>
      <c r="K52">
        <f>LognormPosterior(mu_factory_farming,sigma_factory_farming,I52:J52)</f>
        <v>4.6443134212412627</v>
      </c>
      <c r="M52">
        <v>4000</v>
      </c>
      <c r="N52">
        <v>1</v>
      </c>
      <c r="O52">
        <f>LognormPosterior(mu_factory_farming,sigma_factory_farming,M52:N52)</f>
        <v>18.481120690768698</v>
      </c>
    </row>
    <row r="53" spans="6:16">
      <c r="F53">
        <v>4000</v>
      </c>
      <c r="G53">
        <v>1</v>
      </c>
      <c r="I53" s="43">
        <v>11</v>
      </c>
      <c r="J53">
        <v>0.5</v>
      </c>
      <c r="M53">
        <v>8000</v>
      </c>
      <c r="N53">
        <v>1</v>
      </c>
      <c r="O53">
        <f>LognormPosterior(mu_factory_farming,sigma_factory_farming,M53:N53)</f>
        <v>22.064101907005046</v>
      </c>
      <c r="P53">
        <v>22.06</v>
      </c>
    </row>
    <row r="54" spans="6:16">
      <c r="F54">
        <v>4000</v>
      </c>
      <c r="G54">
        <v>1</v>
      </c>
      <c r="I54" s="43">
        <v>11</v>
      </c>
      <c r="J54">
        <v>0.5</v>
      </c>
      <c r="M54">
        <v>8000</v>
      </c>
      <c r="N54">
        <v>0.56999999999999995</v>
      </c>
      <c r="O54">
        <f>LognormPosterior(mu_factory_farming,sigma_factory_farming,M54:N54)</f>
        <v>59.337062581528883</v>
      </c>
      <c r="P54">
        <v>59.33</v>
      </c>
    </row>
    <row r="55" spans="6:16">
      <c r="F55">
        <v>4000</v>
      </c>
      <c r="G55">
        <v>1</v>
      </c>
      <c r="I55" s="43">
        <v>11</v>
      </c>
      <c r="J55">
        <v>0.5</v>
      </c>
    </row>
    <row r="56" spans="6:16">
      <c r="F56">
        <v>4000</v>
      </c>
      <c r="G56">
        <v>1</v>
      </c>
      <c r="I56" s="43">
        <v>11</v>
      </c>
      <c r="J56">
        <v>0.5</v>
      </c>
    </row>
    <row r="58" spans="6:16">
      <c r="F58">
        <f>LognormPosterior(mu_factory_farming,sigma_factory_farming,F52:G53)</f>
        <v>56.07990555321738</v>
      </c>
      <c r="G58">
        <v>58.93</v>
      </c>
      <c r="I58">
        <f>LognormPosterior(mu_factory_farming,sigma_factory_farming,I52:J53)</f>
        <v>6.0877279886251339</v>
      </c>
      <c r="J58">
        <v>6.0650000000000004</v>
      </c>
    </row>
    <row r="59" spans="6:16">
      <c r="F59">
        <f>LognormPosterior(mu_factory_farming,sigma_factory_farming,F52:G54)</f>
        <v>117.37147209555597</v>
      </c>
      <c r="G59">
        <v>131.93</v>
      </c>
      <c r="I59">
        <f>LognormPosterior(mu_factory_farming,sigma_factory_farming,I52:J54)</f>
        <v>6.966232231326746</v>
      </c>
      <c r="J59">
        <v>7.48</v>
      </c>
    </row>
    <row r="60" spans="6:16">
      <c r="F60">
        <f>LognormPosterior(mu_factory_farming,sigma_factory_farming,F52:G55)</f>
        <v>197.54622330928484</v>
      </c>
      <c r="G60">
        <v>218.87</v>
      </c>
      <c r="I60">
        <f>LognormPosterior(mu_factory_farming,sigma_factory_farming,I52:J55)</f>
        <v>7.5825182888805234</v>
      </c>
      <c r="J60">
        <v>7.9210000000000003</v>
      </c>
    </row>
    <row r="61" spans="6:16">
      <c r="F61">
        <f>LognormPosterior(mu_factory_farming,sigma_factory_farming,F52:G56)</f>
        <v>290.82606144067165</v>
      </c>
      <c r="G61">
        <v>335.84</v>
      </c>
      <c r="I61">
        <f>LognormPosterior(mu_factory_farming,sigma_factory_farming,I52:J56)</f>
        <v>8.0371879937430126</v>
      </c>
      <c r="J61">
        <v>8.7710000000000008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3" t="s">
        <v>215</v>
      </c>
      <c r="I12" s="34" t="e">
        <f>LognormPosterior(mu,sigma,I5,J5)</f>
        <v>#VALUE!</v>
      </c>
    </row>
    <row r="13" spans="1:12">
      <c r="H13" s="33" t="s">
        <v>220</v>
      </c>
      <c r="I13" s="34" t="e">
        <f>LognormPosterior(mu,sigma,I9,J9)</f>
        <v>#VALUE!</v>
      </c>
    </row>
    <row r="14" spans="1:12">
      <c r="H14" s="33" t="s">
        <v>221</v>
      </c>
      <c r="I14" s="34" t="e">
        <f>LognormPosterior(mu,sigma,I10,J10)</f>
        <v>#VALUE!</v>
      </c>
    </row>
    <row r="15" spans="1:12">
      <c r="H15" s="33" t="s">
        <v>222</v>
      </c>
      <c r="I15" s="34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7"/>
    </row>
    <row r="20" spans="8:9">
      <c r="H20" s="4"/>
      <c r="I20" s="37"/>
    </row>
    <row r="21" spans="8:9">
      <c r="H21" s="4"/>
      <c r="I21" s="3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 t="e">
        <f>ABS(VLOOKUP(M3,'EV of Far Future'!$K$11:$M$13,2,FALSE))</f>
        <v>#N/A</v>
      </c>
      <c r="O3" t="e">
        <f>VLOOKUP(M3,'EV of Far Future'!$K$11:$M$13,3,FALSE)</f>
        <v>#N/A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 t="e">
        <f>N3*$J$20</f>
        <v>#N/A</v>
      </c>
      <c r="O4" s="26" t="e">
        <f>O3+$K$20</f>
        <v>#N/A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 t="e">
        <f>ABS(VLOOKUP(M9,'EV of Far Future'!$K$11:$M$13,2,FALSE))</f>
        <v>#N/A</v>
      </c>
      <c r="O9" t="e">
        <f>VLOOKUP(M9,'EV of Far Future'!$K$11:$M$13,3,FALSE)</f>
        <v>#N/A</v>
      </c>
    </row>
    <row r="10" spans="1:15">
      <c r="A10" s="1" t="s">
        <v>153</v>
      </c>
      <c r="M10" s="28" t="s">
        <v>60</v>
      </c>
      <c r="N10" s="26" t="e">
        <f>N9*$J$20</f>
        <v>#N/A</v>
      </c>
      <c r="O10" s="26" t="e">
        <f>O9+$K$20</f>
        <v>#N/A</v>
      </c>
    </row>
    <row r="11" spans="1:15">
      <c r="A11" s="30" t="s">
        <v>99</v>
      </c>
      <c r="B11" s="5" t="e">
        <f>ParetoPosterior(median,alpha,N4:O4)</f>
        <v>#VALUE!</v>
      </c>
      <c r="G11" s="1" t="s">
        <v>135</v>
      </c>
      <c r="H11" s="8" t="s">
        <v>168</v>
      </c>
      <c r="M11" s="33" t="s">
        <v>99</v>
      </c>
      <c r="N11" s="34" t="e">
        <f>ParetoPosterior(median,alpha,N10:O10)</f>
        <v>#VALUE!</v>
      </c>
    </row>
    <row r="12" spans="1:15">
      <c r="A12" s="30" t="s">
        <v>110</v>
      </c>
      <c r="B12" s="5" t="e">
        <f>LognormPosterior(mu_far_future,sigma_far_future,N4:O4)</f>
        <v>#VALUE!</v>
      </c>
      <c r="H12" t="s">
        <v>0</v>
      </c>
      <c r="I12" t="s">
        <v>1</v>
      </c>
      <c r="J12" t="s">
        <v>2</v>
      </c>
      <c r="K12" t="s">
        <v>3</v>
      </c>
      <c r="M12" s="33" t="s">
        <v>110</v>
      </c>
      <c r="N12" s="34" t="e">
        <f>LognormPosterior(mu_far_future,sigma_far_future,N10:O10)</f>
        <v>#VALUE!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 t="e">
        <f>N19-N11</f>
        <v>#VALUE!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 t="e">
        <f>N20-N12</f>
        <v>#VALUE!</v>
      </c>
      <c r="M17" s="4" t="s">
        <v>138</v>
      </c>
      <c r="N17" t="e">
        <f>VLOOKUP(M17,'EV of Far Future'!$K$11:$M$13,2,FALSE)</f>
        <v>#N/A</v>
      </c>
      <c r="O17" t="e">
        <f>VLOOKUP(M17,'EV of Far Future'!$K$11:$M$13,3,FALSE)</f>
        <v>#N/A</v>
      </c>
    </row>
    <row r="18" spans="1:15">
      <c r="M18" s="28" t="s">
        <v>60</v>
      </c>
      <c r="N18" s="26" t="e">
        <f>N17*$J$20</f>
        <v>#N/A</v>
      </c>
      <c r="O18" s="26" t="e">
        <f>O17+$K$20</f>
        <v>#N/A</v>
      </c>
    </row>
    <row r="19" spans="1:15">
      <c r="G19" s="1" t="s">
        <v>146</v>
      </c>
      <c r="M19" s="33" t="s">
        <v>99</v>
      </c>
      <c r="N19" s="34" t="e">
        <f>ParetoPosterior(median,alpha,N18:O18)</f>
        <v>#VALUE!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3" t="s">
        <v>110</v>
      </c>
      <c r="N20" s="34" t="e">
        <f>LognormPosterior(mu_far_future,sigma_far_future,N18:O18)</f>
        <v>#VALUE!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3" t="s">
        <v>202</v>
      </c>
      <c r="K24" s="33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4" t="e">
        <f>ParetoPosterior(median,alpha,H25,I25)*VLOOKUP(G25,'EV of Far Future'!$K$2:$P$10,4,FALSE)*VLOOKUP(G25,'EV of Far Future'!$K$2:$P$10,6,FALSE)</f>
        <v>#VALUE!</v>
      </c>
      <c r="K25" s="34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4" t="e">
        <f>ParetoPosterior(median,alpha,H26,I26)*VLOOKUP(G26,'EV of Far Future'!$K$2:$P$10,4,FALSE)*VLOOKUP(G26,'EV of Far Future'!$K$2:$P$10,6,FALSE)</f>
        <v>#VALUE!</v>
      </c>
      <c r="K26" s="34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4" t="e">
        <f>ParetoPosterior(median,alpha,H27,I27)*VLOOKUP(G27,'EV of Far Future'!$K$2:$P$10,4,FALSE)*VLOOKUP(G27,'EV of Far Future'!$K$2:$P$10,6,FALSE)</f>
        <v>#VALUE!</v>
      </c>
      <c r="K27" s="34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4" t="e">
        <f>ParetoPosterior(median,alpha,H28,I28)*VLOOKUP(G28,'EV of Far Future'!$K$2:$P$10,4,FALSE)*VLOOKUP(G28,'EV of Far Future'!$K$2:$P$10,6,FALSE)</f>
        <v>#VALUE!</v>
      </c>
      <c r="K28" s="34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4" t="e">
        <f>ParetoPosterior(median,alpha,H29,I29)*VLOOKUP(G29,'EV of Far Future'!$K$2:$P$10,4,FALSE)*VLOOKUP(G29,'EV of Far Future'!$K$2:$P$10,6,FALSE)</f>
        <v>#VALUE!</v>
      </c>
      <c r="K29" s="34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4" t="e">
        <f>ParetoPosterior(median,alpha,H30,I30)*VLOOKUP(G30,'EV of Far Future'!$K$2:$P$10,4,FALSE)*VLOOKUP(G30,'EV of Far Future'!$K$2:$P$10,6,FALSE)</f>
        <v>#VALUE!</v>
      </c>
      <c r="K30" s="34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4" t="e">
        <f>ParetoPosterior(median,alpha,H31,I31)*VLOOKUP(G31,'EV of Far Future'!$K$2:$P$10,4,FALSE)*VLOOKUP(G31,'EV of Far Future'!$K$2:$P$10,6,FALSE)</f>
        <v>#VALUE!</v>
      </c>
      <c r="K31" s="34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4" t="e">
        <f>ParetoPosterior(median,alpha,H32,I32)*VLOOKUP(G32,'EV of Far Future'!$K$2:$P$10,4,FALSE)*VLOOKUP(G32,'EV of Far Future'!$K$2:$P$10,6,FALSE)</f>
        <v>#VALUE!</v>
      </c>
      <c r="K32" s="34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6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6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3" t="s">
        <v>110</v>
      </c>
      <c r="L17" s="33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4" t="e">
        <f>LognormPosterior(mu,sigma,I18,J18)</f>
        <v>#VALUE!</v>
      </c>
      <c r="L18" s="34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4" t="e">
        <f>LognormPosterior(mu,sigma,I19,J19)</f>
        <v>#VALUE!</v>
      </c>
      <c r="L19" s="34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4" t="e">
        <f>LognormPosterior(mu,sigma,I20,J20)</f>
        <v>#VALUE!</v>
      </c>
      <c r="L20" s="34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4" t="e">
        <f>LognormPosterior(mu,sigma,I21,J21)</f>
        <v>#VALUE!</v>
      </c>
      <c r="L21" s="34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2016-04-03T18:51:52Z</dcterms:modified>
</cp:coreProperties>
</file>