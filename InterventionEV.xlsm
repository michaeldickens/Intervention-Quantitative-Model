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4709" codeName="{00000000-0000-0000-0000-000000000000}"/>
  <workbookPr showInkAnnotation="0" codeName="ThisWorkbook" autoCompressPictures="0"/>
  <bookViews>
    <workbookView xWindow="0" yWindow="0" windowWidth="25600" windowHeight="28260" tabRatio="500" activeTab="4"/>
  </bookViews>
  <sheets>
    <sheet name="Summary" sheetId="7" r:id="rId1"/>
    <sheet name="Globals" sheetId="2" r:id="rId2"/>
    <sheet name="EV of Far Future" sheetId="3" r:id="rId3"/>
    <sheet name="GiveDirectly" sheetId="5" r:id="rId4"/>
    <sheet name="Veg Ads" sheetId="1" r:id="rId5"/>
    <sheet name="ACE" sheetId="11" r:id="rId6"/>
    <sheet name="AI Safety" sheetId="6" r:id="rId7"/>
    <sheet name="AI Targeted Values Spreading" sheetId="10" r:id="rId8"/>
  </sheets>
  <definedNames>
    <definedName name="alpha">Globals!$B$3</definedName>
    <definedName name="EV_far_future">'EV of Far Future'!$L$13</definedName>
    <definedName name="EV_far_future_biological">'EV of Far Future'!$L$11</definedName>
    <definedName name="EV_far_future_computronium">'EV of Far Future'!$L$12</definedName>
    <definedName name="factory_farmed_animals">Globals!$O$18</definedName>
    <definedName name="interest_rate">Globals!$O$19</definedName>
    <definedName name="measurement">Globals!$B$4</definedName>
    <definedName name="median">Globals!$B$2</definedName>
    <definedName name="mu_factory_farming">Globals!$G$2</definedName>
    <definedName name="mu_far_future">Globals!$J$2</definedName>
    <definedName name="mu_far_future_humans">Globals!$J$2</definedName>
    <definedName name="mu_global_poverty">Globals!$F$2</definedName>
    <definedName name="mu_sentient_simulations">Globals!$I$2</definedName>
    <definedName name="mu_wild_animals">Globals!$H$2</definedName>
    <definedName name="p_biological">Globals!$B$8</definedName>
    <definedName name="p_computronium">Globals!$B$11</definedName>
    <definedName name="p_dolorium">Globals!$D$13</definedName>
    <definedName name="p_factory_farming">Globals!$F$8</definedName>
    <definedName name="p_hedonium">Globals!$D$11</definedName>
    <definedName name="p_not_care_about_animals">Globals!$D$8</definedName>
    <definedName name="p_paperclip">Globals!$D$12</definedName>
    <definedName name="p_reduce_WAS">Globals!$D$6</definedName>
    <definedName name="p_society_does_not_care_about_animals">Globals!$D$8</definedName>
    <definedName name="p_spread_was">Globals!$F$9</definedName>
    <definedName name="p_stay_on_earth">Globals!$B$6</definedName>
    <definedName name="p_suffering_simulations">Globals!$F$10</definedName>
    <definedName name="sigma_factory_farming">Globals!$G$3</definedName>
    <definedName name="sigma_far_future">Globals!$J$3</definedName>
    <definedName name="sigma_far_future_humans">Globals!$J$3</definedName>
    <definedName name="sigma_global_poverty">Globals!$F$3</definedName>
    <definedName name="sigma_sentient_simulations">Globals!$I$3</definedName>
    <definedName name="sigma_wild_animals">Globals!$H$3</definedName>
    <definedName name="stay_on_earth">Globals!$B$6</definedName>
    <definedName name="stdev_base10">Globals!#REF!</definedName>
    <definedName name="utility_per_dolorium">Globals!$D$24</definedName>
    <definedName name="utility_per_factory_farmed_animal">Globals!$D$18</definedName>
    <definedName name="utility_per_hedonium">Globals!$D$22</definedName>
    <definedName name="utility_per_human">Globals!$D$17</definedName>
    <definedName name="utility_per_insect">Globals!$D$21</definedName>
    <definedName name="utility_per_paperclip">Globals!$D$23</definedName>
    <definedName name="utility_per_wild_vertebrate">Globals!$D$20</definedName>
    <definedName name="x_m">Globals!#REF!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7" i="1" l="1"/>
  <c r="M10" i="1"/>
  <c r="K52" i="1"/>
  <c r="E5" i="1"/>
  <c r="I3" i="1"/>
  <c r="I5" i="1"/>
  <c r="K53" i="1"/>
  <c r="I56" i="1"/>
  <c r="G3" i="3"/>
  <c r="G4" i="3"/>
  <c r="G14" i="3"/>
  <c r="G16" i="3"/>
  <c r="L4" i="3"/>
  <c r="M5" i="1"/>
  <c r="M8" i="1"/>
  <c r="P30" i="2"/>
  <c r="H3" i="3"/>
  <c r="P31" i="2"/>
  <c r="H4" i="3"/>
  <c r="P33" i="2"/>
  <c r="H14" i="3"/>
  <c r="H16" i="3"/>
  <c r="M4" i="3"/>
  <c r="N5" i="1"/>
  <c r="E4" i="1"/>
  <c r="E6" i="1"/>
  <c r="E7" i="1"/>
  <c r="E8" i="1"/>
  <c r="N7" i="1"/>
  <c r="N8" i="1"/>
  <c r="M9" i="1"/>
  <c r="L30" i="2"/>
  <c r="C3" i="3"/>
  <c r="L31" i="2"/>
  <c r="C4" i="3"/>
  <c r="L32" i="2"/>
  <c r="C5" i="3"/>
  <c r="L33" i="2"/>
  <c r="C6" i="3"/>
  <c r="C11" i="3"/>
  <c r="M8" i="3"/>
  <c r="C16" i="3"/>
  <c r="M9" i="3"/>
  <c r="C21" i="3"/>
  <c r="M10" i="3"/>
  <c r="M12" i="3"/>
  <c r="P32" i="2"/>
  <c r="H8" i="3"/>
  <c r="H10" i="3"/>
  <c r="M3" i="3"/>
  <c r="P34" i="2"/>
  <c r="H20" i="3"/>
  <c r="H22" i="3"/>
  <c r="M5" i="3"/>
  <c r="P35" i="2"/>
  <c r="H26" i="3"/>
  <c r="H28" i="3"/>
  <c r="M6" i="3"/>
  <c r="H32" i="3"/>
  <c r="P36" i="2"/>
  <c r="H33" i="3"/>
  <c r="H35" i="3"/>
  <c r="M7" i="3"/>
  <c r="M11" i="3"/>
  <c r="M13" i="3"/>
  <c r="O3" i="6"/>
  <c r="K3" i="6"/>
  <c r="K5" i="6"/>
  <c r="K6" i="6"/>
  <c r="K7" i="6"/>
  <c r="E4" i="6"/>
  <c r="K8" i="6"/>
  <c r="K14" i="6"/>
  <c r="K15" i="6"/>
  <c r="K16" i="6"/>
  <c r="K20" i="6"/>
  <c r="O4" i="6"/>
  <c r="G8" i="3"/>
  <c r="G10" i="3"/>
  <c r="L3" i="3"/>
  <c r="G20" i="3"/>
  <c r="G22" i="3"/>
  <c r="L5" i="3"/>
  <c r="G26" i="3"/>
  <c r="G28" i="3"/>
  <c r="L6" i="3"/>
  <c r="G32" i="3"/>
  <c r="G33" i="3"/>
  <c r="G35" i="3"/>
  <c r="L7" i="3"/>
  <c r="B3" i="3"/>
  <c r="B4" i="3"/>
  <c r="B5" i="3"/>
  <c r="B6" i="3"/>
  <c r="B11" i="3"/>
  <c r="L8" i="3"/>
  <c r="B16" i="3"/>
  <c r="L9" i="3"/>
  <c r="B21" i="3"/>
  <c r="L10" i="3"/>
  <c r="L13" i="3"/>
  <c r="N3" i="6"/>
  <c r="N4" i="6"/>
  <c r="B12" i="6"/>
  <c r="C8" i="7"/>
  <c r="O17" i="6"/>
  <c r="O18" i="6"/>
  <c r="L12" i="3"/>
  <c r="N17" i="6"/>
  <c r="N18" i="6"/>
  <c r="N20" i="6"/>
  <c r="O9" i="6"/>
  <c r="O10" i="6"/>
  <c r="L11" i="3"/>
  <c r="N9" i="6"/>
  <c r="N10" i="6"/>
  <c r="N12" i="6"/>
  <c r="G5" i="5"/>
  <c r="B15" i="5"/>
  <c r="G34" i="3"/>
  <c r="H34" i="3"/>
  <c r="H27" i="3"/>
  <c r="G27" i="3"/>
  <c r="H21" i="3"/>
  <c r="G21" i="3"/>
  <c r="H15" i="3"/>
  <c r="G15" i="3"/>
  <c r="H9" i="3"/>
  <c r="G9" i="3"/>
  <c r="D21" i="2"/>
  <c r="N30" i="2"/>
  <c r="N31" i="2"/>
  <c r="N32" i="2"/>
  <c r="D20" i="2"/>
  <c r="O30" i="2"/>
  <c r="O32" i="2"/>
  <c r="O31" i="2"/>
  <c r="D18" i="2"/>
  <c r="D17" i="2"/>
  <c r="C20" i="3"/>
  <c r="J30" i="2"/>
  <c r="J31" i="2"/>
  <c r="J32" i="2"/>
  <c r="J33" i="2"/>
  <c r="B24" i="2"/>
  <c r="D24" i="2"/>
  <c r="B20" i="3"/>
  <c r="K32" i="2"/>
  <c r="K31" i="2"/>
  <c r="K30" i="2"/>
  <c r="K33" i="2"/>
  <c r="C15" i="3"/>
  <c r="D23" i="2"/>
  <c r="B15" i="3"/>
  <c r="C22" i="2"/>
  <c r="D22" i="2"/>
  <c r="B10" i="3"/>
  <c r="C10" i="3"/>
  <c r="J3" i="2"/>
  <c r="H3" i="2"/>
  <c r="I3" i="2"/>
  <c r="G3" i="2"/>
  <c r="P3" i="3"/>
  <c r="J25" i="6"/>
  <c r="P4" i="3"/>
  <c r="J26" i="6"/>
  <c r="P5" i="3"/>
  <c r="J27" i="6"/>
  <c r="P6" i="3"/>
  <c r="J28" i="6"/>
  <c r="P7" i="3"/>
  <c r="J29" i="6"/>
  <c r="P8" i="3"/>
  <c r="J30" i="6"/>
  <c r="P9" i="3"/>
  <c r="J31" i="6"/>
  <c r="P10" i="3"/>
  <c r="J32" i="6"/>
  <c r="K25" i="6"/>
  <c r="K26" i="6"/>
  <c r="K27" i="6"/>
  <c r="K28" i="6"/>
  <c r="K29" i="6"/>
  <c r="K30" i="6"/>
  <c r="K31" i="6"/>
  <c r="K32" i="6"/>
  <c r="N33" i="2"/>
  <c r="M3" i="1"/>
  <c r="O33" i="2"/>
  <c r="M6" i="1"/>
  <c r="D8" i="1"/>
  <c r="M7" i="1"/>
  <c r="I4" i="1"/>
  <c r="H4" i="1"/>
  <c r="H5" i="1"/>
  <c r="H6" i="1"/>
  <c r="I12" i="11"/>
  <c r="G4" i="5"/>
  <c r="C14" i="1"/>
  <c r="N34" i="2"/>
  <c r="I17" i="1"/>
  <c r="I19" i="1"/>
  <c r="I20" i="1"/>
  <c r="C15" i="1"/>
  <c r="N35" i="2"/>
  <c r="I29" i="1"/>
  <c r="I31" i="1"/>
  <c r="I32" i="1"/>
  <c r="C16" i="1"/>
  <c r="N36" i="2"/>
  <c r="I41" i="1"/>
  <c r="I43" i="1"/>
  <c r="I44" i="1"/>
  <c r="C17" i="1"/>
  <c r="O35" i="2"/>
  <c r="O36" i="2"/>
  <c r="H41" i="1"/>
  <c r="H39" i="1"/>
  <c r="H42" i="1"/>
  <c r="H43" i="1"/>
  <c r="H44" i="1"/>
  <c r="B17" i="1"/>
  <c r="H29" i="1"/>
  <c r="H27" i="1"/>
  <c r="H30" i="1"/>
  <c r="H31" i="1"/>
  <c r="H32" i="1"/>
  <c r="B16" i="1"/>
  <c r="O34" i="2"/>
  <c r="H17" i="1"/>
  <c r="H15" i="1"/>
  <c r="H18" i="1"/>
  <c r="H19" i="1"/>
  <c r="H20" i="1"/>
  <c r="B15" i="1"/>
  <c r="B14" i="1"/>
  <c r="B13" i="1"/>
  <c r="M39" i="1"/>
  <c r="M41" i="1"/>
  <c r="M42" i="1"/>
  <c r="D4" i="1"/>
  <c r="B5" i="1"/>
  <c r="C5" i="1"/>
  <c r="D5" i="1"/>
  <c r="D6" i="1"/>
  <c r="D7" i="1"/>
  <c r="M43" i="1"/>
  <c r="M44" i="1"/>
  <c r="N41" i="1"/>
  <c r="N43" i="1"/>
  <c r="N44" i="1"/>
  <c r="N17" i="1"/>
  <c r="N19" i="1"/>
  <c r="N20" i="1"/>
  <c r="M15" i="1"/>
  <c r="M17" i="1"/>
  <c r="M18" i="1"/>
  <c r="M19" i="1"/>
  <c r="M20" i="1"/>
  <c r="H3" i="1"/>
  <c r="C13" i="1"/>
  <c r="M27" i="1"/>
  <c r="M29" i="1"/>
  <c r="M30" i="1"/>
  <c r="M31" i="1"/>
  <c r="M32" i="1"/>
  <c r="N29" i="1"/>
  <c r="N31" i="1"/>
  <c r="N32" i="1"/>
  <c r="G24" i="5"/>
  <c r="G22" i="5"/>
  <c r="B4" i="5"/>
  <c r="C4" i="5"/>
  <c r="G23" i="5"/>
  <c r="G25" i="5"/>
  <c r="H21" i="5"/>
  <c r="H22" i="5"/>
  <c r="H23" i="5"/>
  <c r="K21" i="5"/>
  <c r="G12" i="5"/>
  <c r="G11" i="5"/>
  <c r="K22" i="5"/>
  <c r="O21" i="5"/>
  <c r="O22" i="5"/>
  <c r="O10" i="5"/>
  <c r="O11" i="5"/>
  <c r="H10" i="5"/>
  <c r="H11" i="5"/>
  <c r="H12" i="5"/>
  <c r="K10" i="5"/>
  <c r="K11" i="5"/>
  <c r="G13" i="5"/>
  <c r="G14" i="5"/>
  <c r="J15" i="6"/>
  <c r="J14" i="6"/>
  <c r="J13" i="6"/>
  <c r="D4" i="6"/>
  <c r="J7" i="6"/>
  <c r="J6" i="6"/>
  <c r="J5" i="6"/>
  <c r="J3" i="6"/>
  <c r="G10" i="5"/>
  <c r="P16" i="3"/>
  <c r="M16" i="3"/>
  <c r="O16" i="3"/>
  <c r="M17" i="3"/>
  <c r="O17" i="3"/>
  <c r="M18" i="3"/>
  <c r="O18" i="3"/>
  <c r="M19" i="3"/>
  <c r="O19" i="3"/>
  <c r="M20" i="3"/>
  <c r="O20" i="3"/>
  <c r="M21" i="3"/>
  <c r="O21" i="3"/>
  <c r="M22" i="3"/>
  <c r="O22" i="3"/>
  <c r="M23" i="3"/>
  <c r="O23" i="3"/>
  <c r="L17" i="3"/>
  <c r="N17" i="3"/>
  <c r="L18" i="3"/>
  <c r="N18" i="3"/>
  <c r="L19" i="3"/>
  <c r="N19" i="3"/>
  <c r="L20" i="3"/>
  <c r="N20" i="3"/>
  <c r="L21" i="3"/>
  <c r="N21" i="3"/>
  <c r="L22" i="3"/>
  <c r="N22" i="3"/>
  <c r="L23" i="3"/>
  <c r="N23" i="3"/>
  <c r="L16" i="3"/>
  <c r="N16" i="3"/>
  <c r="J5" i="11"/>
  <c r="C8" i="11"/>
  <c r="B8" i="11"/>
  <c r="D8" i="11"/>
  <c r="D4" i="11"/>
  <c r="B9" i="11"/>
  <c r="C9" i="11"/>
  <c r="D9" i="11"/>
  <c r="I4" i="11"/>
  <c r="J7" i="11"/>
  <c r="E7" i="11"/>
  <c r="J10" i="11"/>
  <c r="I5" i="11"/>
  <c r="D3" i="11"/>
  <c r="I3" i="11"/>
  <c r="I7" i="11"/>
  <c r="D7" i="11"/>
  <c r="I10" i="11"/>
  <c r="I14" i="11"/>
  <c r="I17" i="11"/>
  <c r="C7" i="7"/>
  <c r="G21" i="5"/>
  <c r="H3" i="5"/>
  <c r="C5" i="7"/>
  <c r="D7" i="7"/>
  <c r="C6" i="7"/>
  <c r="D6" i="7"/>
  <c r="E8" i="11"/>
  <c r="E4" i="11"/>
  <c r="E9" i="11"/>
  <c r="J4" i="11"/>
  <c r="L4" i="11"/>
  <c r="J8" i="11"/>
  <c r="J11" i="11"/>
  <c r="E3" i="11"/>
  <c r="J3" i="11"/>
  <c r="L3" i="11"/>
  <c r="I8" i="11"/>
  <c r="I11" i="11"/>
  <c r="I15" i="11"/>
  <c r="K4" i="11"/>
  <c r="J6" i="11"/>
  <c r="J9" i="11"/>
  <c r="K3" i="11"/>
  <c r="I6" i="11"/>
  <c r="I9" i="11"/>
  <c r="I13" i="11"/>
  <c r="I18" i="11"/>
  <c r="I16" i="11"/>
  <c r="I25" i="6"/>
  <c r="J8" i="6"/>
  <c r="J16" i="6"/>
  <c r="J20" i="6"/>
  <c r="H25" i="6"/>
  <c r="I26" i="6"/>
  <c r="H26" i="6"/>
  <c r="I27" i="6"/>
  <c r="H27" i="6"/>
  <c r="I28" i="6"/>
  <c r="H28" i="6"/>
  <c r="I29" i="6"/>
  <c r="H29" i="6"/>
  <c r="I30" i="6"/>
  <c r="H30" i="6"/>
  <c r="I31" i="6"/>
  <c r="H31" i="6"/>
  <c r="I32" i="6"/>
  <c r="H32" i="6"/>
  <c r="B22" i="6"/>
  <c r="C23" i="7"/>
  <c r="B21" i="6"/>
  <c r="B23" i="7"/>
  <c r="B28" i="1"/>
  <c r="C22" i="7"/>
  <c r="B14" i="5"/>
  <c r="B27" i="1"/>
  <c r="B22" i="7"/>
  <c r="I5" i="6"/>
  <c r="H5" i="6"/>
  <c r="C4" i="6"/>
  <c r="B4" i="6"/>
  <c r="I15" i="6"/>
  <c r="H15" i="6"/>
  <c r="H8" i="7"/>
  <c r="J6" i="7"/>
  <c r="H6" i="7"/>
  <c r="L6" i="7"/>
  <c r="K6" i="7"/>
  <c r="C15" i="7"/>
  <c r="B15" i="7"/>
  <c r="J8" i="10"/>
  <c r="C5" i="10"/>
  <c r="B5" i="10"/>
  <c r="E5" i="10"/>
  <c r="E3" i="10"/>
  <c r="E4" i="10"/>
  <c r="E6" i="10"/>
  <c r="E8" i="10"/>
  <c r="E9" i="10"/>
  <c r="E11" i="10"/>
  <c r="J3" i="10"/>
  <c r="J18" i="10"/>
  <c r="I8" i="10"/>
  <c r="I13" i="10"/>
  <c r="D5" i="10"/>
  <c r="D9" i="10"/>
  <c r="I3" i="10"/>
  <c r="I18" i="10"/>
  <c r="K18" i="10"/>
  <c r="J9" i="10"/>
  <c r="E12" i="10"/>
  <c r="J4" i="10"/>
  <c r="J19" i="10"/>
  <c r="I9" i="10"/>
  <c r="I14" i="10"/>
  <c r="I4" i="10"/>
  <c r="I19" i="10"/>
  <c r="K19" i="10"/>
  <c r="J10" i="10"/>
  <c r="E13" i="10"/>
  <c r="J5" i="10"/>
  <c r="J20" i="10"/>
  <c r="I10" i="10"/>
  <c r="I15" i="10"/>
  <c r="I5" i="10"/>
  <c r="I20" i="10"/>
  <c r="K20" i="10"/>
  <c r="J11" i="10"/>
  <c r="E14" i="10"/>
  <c r="J6" i="10"/>
  <c r="J21" i="10"/>
  <c r="I11" i="10"/>
  <c r="I16" i="10"/>
  <c r="I6" i="10"/>
  <c r="I21" i="10"/>
  <c r="K21" i="10"/>
  <c r="C25" i="10"/>
  <c r="C9" i="7"/>
  <c r="D9" i="7"/>
  <c r="D5" i="7"/>
  <c r="L18" i="10"/>
  <c r="L19" i="10"/>
  <c r="L20" i="10"/>
  <c r="L21" i="10"/>
  <c r="B25" i="10"/>
  <c r="B9" i="7"/>
  <c r="B5" i="7"/>
  <c r="D13" i="10"/>
  <c r="D14" i="10"/>
  <c r="D12" i="10"/>
  <c r="D11" i="10"/>
  <c r="C8" i="10"/>
  <c r="B8" i="10"/>
  <c r="D8" i="10"/>
  <c r="D6" i="10"/>
  <c r="D4" i="10"/>
  <c r="D3" i="10"/>
  <c r="J5" i="7"/>
  <c r="K5" i="7"/>
  <c r="J7" i="7"/>
  <c r="K7" i="7"/>
  <c r="K8" i="7"/>
  <c r="J4" i="7"/>
  <c r="K4" i="7"/>
  <c r="L5" i="7"/>
  <c r="L7" i="7"/>
  <c r="L8" i="7"/>
  <c r="L4" i="7"/>
  <c r="D19" i="2"/>
  <c r="K13" i="6"/>
  <c r="B19" i="5"/>
  <c r="B14" i="7"/>
  <c r="B20" i="5"/>
  <c r="C14" i="7"/>
  <c r="D14" i="7"/>
  <c r="D15" i="7"/>
  <c r="B17" i="6"/>
  <c r="C16" i="7"/>
  <c r="D16" i="7"/>
  <c r="N19" i="6"/>
  <c r="N11" i="6"/>
  <c r="B16" i="6"/>
  <c r="B16" i="7"/>
  <c r="B11" i="6"/>
  <c r="B8" i="7"/>
  <c r="D8" i="7"/>
  <c r="J8" i="7"/>
  <c r="H13" i="5"/>
  <c r="H14" i="5"/>
  <c r="L10" i="5"/>
  <c r="L11" i="5"/>
  <c r="P10" i="5"/>
  <c r="P11" i="5"/>
  <c r="P21" i="5"/>
  <c r="P22" i="5"/>
  <c r="L21" i="5"/>
  <c r="L22" i="5"/>
  <c r="H24" i="5"/>
  <c r="H25" i="5"/>
</calcChain>
</file>

<file path=xl/sharedStrings.xml><?xml version="1.0" encoding="utf-8"?>
<sst xmlns="http://schemas.openxmlformats.org/spreadsheetml/2006/main" count="528" uniqueCount="246">
  <si>
    <t>Low CI</t>
  </si>
  <si>
    <t>High CI</t>
  </si>
  <si>
    <t>Mean</t>
  </si>
  <si>
    <t>Variance (orders of magnitude)</t>
  </si>
  <si>
    <t>alpha</t>
  </si>
  <si>
    <t>median</t>
  </si>
  <si>
    <t>Prior (Pareto)</t>
  </si>
  <si>
    <t>stay on earth</t>
  </si>
  <si>
    <t>biological</t>
  </si>
  <si>
    <t>society doesn't care about animals</t>
  </si>
  <si>
    <t>we make suffering simulations</t>
  </si>
  <si>
    <t>we spread WAS</t>
  </si>
  <si>
    <t>hedonium</t>
  </si>
  <si>
    <t>computronium</t>
  </si>
  <si>
    <t>paperclip</t>
  </si>
  <si>
    <t>dolorium</t>
  </si>
  <si>
    <t>we reduce WAS on balance</t>
  </si>
  <si>
    <t>Far future outcome probabilities</t>
  </si>
  <si>
    <t>accessible stars</t>
  </si>
  <si>
    <t>usable wattage</t>
  </si>
  <si>
    <t>years of future</t>
  </si>
  <si>
    <t>humans per star</t>
  </si>
  <si>
    <t>factory farmed animals per star</t>
  </si>
  <si>
    <t>wild vertebrates per star</t>
  </si>
  <si>
    <t>Sources</t>
  </si>
  <si>
    <t>http://reducing-suffering.org/how-many-wild-animals-are-there/</t>
  </si>
  <si>
    <t>https://en.wikipedia.org/wiki/Timeline_of_the_far_future</t>
  </si>
  <si>
    <t>Bradbury, "Matrioshka Brains"</t>
  </si>
  <si>
    <t>https://www.gwern.net/docs/1999-bradbury-matrioshkabrains.pdf</t>
  </si>
  <si>
    <t>Tomasik, "How Many Wild Animals Are There?"</t>
  </si>
  <si>
    <t>factory farmed animals</t>
  </si>
  <si>
    <t>Notes</t>
  </si>
  <si>
    <t>Biological condition</t>
  </si>
  <si>
    <t>Size of far future (80% CI)</t>
  </si>
  <si>
    <t>Variance</t>
  </si>
  <si>
    <t>Size of far future (mean/variance)</t>
  </si>
  <si>
    <t>[2]</t>
  </si>
  <si>
    <t>[3]</t>
  </si>
  <si>
    <t>[1]; assumes 1-10 planets per star</t>
  </si>
  <si>
    <t>[1]</t>
  </si>
  <si>
    <t>Computronium condition</t>
  </si>
  <si>
    <t>Utility for different types of beings</t>
  </si>
  <si>
    <t>utility per human</t>
  </si>
  <si>
    <t>utility per factory farmed animal</t>
  </si>
  <si>
    <t>utility per wild vertebrate</t>
  </si>
  <si>
    <t>utility per insect</t>
  </si>
  <si>
    <t>brains per watt</t>
  </si>
  <si>
    <t>utility per hedonium</t>
  </si>
  <si>
    <t>utility per paperclip</t>
  </si>
  <si>
    <t>utility per dolorium</t>
  </si>
  <si>
    <t>Well-being</t>
  </si>
  <si>
    <t>Sentience adjustment</t>
  </si>
  <si>
    <t>for same energy requirements as human brain</t>
  </si>
  <si>
    <t>Utility (absolute value so we can combine log-normals)</t>
  </si>
  <si>
    <t>Biological Condition</t>
  </si>
  <si>
    <t>Hedonium utility</t>
  </si>
  <si>
    <t>Paperclip neg utility</t>
  </si>
  <si>
    <t>Dolorium neg utility</t>
  </si>
  <si>
    <t>Human utility</t>
  </si>
  <si>
    <t>Computronium Condition</t>
  </si>
  <si>
    <t>utility estimate</t>
  </si>
  <si>
    <t>Factory farming neg utility</t>
  </si>
  <si>
    <t>insects per star</t>
  </si>
  <si>
    <t>Wild vertebrate neg utility</t>
  </si>
  <si>
    <t>Insect neg utility</t>
  </si>
  <si>
    <t>Simulation neg utility</t>
  </si>
  <si>
    <t>simulations per insect</t>
  </si>
  <si>
    <t>Results</t>
  </si>
  <si>
    <t>Utility estimate</t>
  </si>
  <si>
    <t>Sign</t>
  </si>
  <si>
    <t>Probability</t>
  </si>
  <si>
    <t>we have factory farming</t>
  </si>
  <si>
    <t>factory farming total utility</t>
  </si>
  <si>
    <t>human total utility</t>
  </si>
  <si>
    <t>wild vertebrate total utility</t>
  </si>
  <si>
    <t>insect total utility</t>
  </si>
  <si>
    <t>simulation total utility</t>
  </si>
  <si>
    <t>hedonium total utility</t>
  </si>
  <si>
    <t>paperclip total utility</t>
  </si>
  <si>
    <t>dolorium total utility</t>
  </si>
  <si>
    <t>P(factory farming exists)</t>
  </si>
  <si>
    <t>Direct effect</t>
  </si>
  <si>
    <t>Far-future effect on factory farming</t>
  </si>
  <si>
    <t>Basic facts</t>
  </si>
  <si>
    <t>1/factory farmed animals</t>
  </si>
  <si>
    <t>animals spared per $1000</t>
  </si>
  <si>
    <t>years factory farming prevented per $1000</t>
  </si>
  <si>
    <t>log-normal posterior</t>
  </si>
  <si>
    <t>P(stopping this if we stop factory farming)</t>
  </si>
  <si>
    <t>This is the probability increase of stopping WAS conditional on stopping factory farming.</t>
  </si>
  <si>
    <t>Far-future effect on wild vertebrates</t>
  </si>
  <si>
    <t>P(humans exist)</t>
  </si>
  <si>
    <t>P(wild vertebrates exist)</t>
  </si>
  <si>
    <t>P(insects exist)</t>
  </si>
  <si>
    <t>P(simulations exist)</t>
  </si>
  <si>
    <t>P(hedonium exists)</t>
  </si>
  <si>
    <t>P(paperclips exist)</t>
  </si>
  <si>
    <t>P(dolorium exists)</t>
  </si>
  <si>
    <t>Far-future effect on suffering simulations</t>
  </si>
  <si>
    <t>Pareto posterior</t>
  </si>
  <si>
    <t>Prior (log-normal)</t>
  </si>
  <si>
    <t>mu</t>
  </si>
  <si>
    <t>sigma</t>
  </si>
  <si>
    <t>Far-future effect on insects</t>
  </si>
  <si>
    <t>Negative effect on wild vertebrates</t>
  </si>
  <si>
    <t>P(making this worse if we stop factory farming)</t>
  </si>
  <si>
    <t>Negative effect on insects</t>
  </si>
  <si>
    <t>Total (Pareto)</t>
  </si>
  <si>
    <t>Total (log-normal)</t>
  </si>
  <si>
    <t>Stdev</t>
  </si>
  <si>
    <t>Log-normal posterior</t>
  </si>
  <si>
    <t>Extinction risk reduction</t>
  </si>
  <si>
    <t>poverty ended per $1000</t>
  </si>
  <si>
    <t>Color guide</t>
  </si>
  <si>
    <t>intermediate result</t>
  </si>
  <si>
    <t>final result</t>
  </si>
  <si>
    <t>P(extinction)</t>
  </si>
  <si>
    <t>extinction scenarios averted by ending poverty</t>
  </si>
  <si>
    <t>extinction scenarios caused by ending poverty</t>
  </si>
  <si>
    <t>Extinction risk increase</t>
  </si>
  <si>
    <t>interest rate</t>
  </si>
  <si>
    <t>animals permanently spared per $1000</t>
  </si>
  <si>
    <t>cost per year to end poverty ($)</t>
  </si>
  <si>
    <t>P(AI-related extinction)</t>
  </si>
  <si>
    <t>AI researcher multiplicative effect</t>
  </si>
  <si>
    <t>bad scenarios averted by doubling research</t>
  </si>
  <si>
    <t>hours to solve AI safety</t>
  </si>
  <si>
    <t>size of FAI community when AGI created</t>
  </si>
  <si>
    <t>hours per AI researcher</t>
  </si>
  <si>
    <t>cost per AI researcher</t>
  </si>
  <si>
    <t>1/cost per AI researcher</t>
  </si>
  <si>
    <t>center of distribution</t>
  </si>
  <si>
    <t>annual rate at which vegetarians convert new vegetarians</t>
  </si>
  <si>
    <t>I made the variance 0 because this should only improve the results, but making the variance nontrivial causes the results to get worse. I kept the number low to compensate.</t>
  </si>
  <si>
    <t>Model 1 (GPP)</t>
  </si>
  <si>
    <t>Model 2</t>
  </si>
  <si>
    <t>EV far future</t>
  </si>
  <si>
    <t>EV biological</t>
  </si>
  <si>
    <t>EV computronium</t>
  </si>
  <si>
    <t>General</t>
  </si>
  <si>
    <t>x-risk averted per $1000</t>
  </si>
  <si>
    <t>1/hours to solve</t>
  </si>
  <si>
    <t>TODO: don't know how to calculate this variance</t>
  </si>
  <si>
    <t>Biological</t>
  </si>
  <si>
    <t>Biological condition (negative)</t>
  </si>
  <si>
    <t>Unified condition</t>
  </si>
  <si>
    <t>Model average</t>
  </si>
  <si>
    <t>calculations you should ignore (no color)</t>
  </si>
  <si>
    <t>Pareto</t>
  </si>
  <si>
    <t>Log-normal</t>
  </si>
  <si>
    <t>GiveDirectly</t>
  </si>
  <si>
    <t>Veg Ads</t>
  </si>
  <si>
    <t>AI Safety</t>
  </si>
  <si>
    <t>Unified model</t>
  </si>
  <si>
    <t>utiliy estimate</t>
  </si>
  <si>
    <t>Computronium</t>
  </si>
  <si>
    <t>Unified</t>
  </si>
  <si>
    <t>Biological/Computronium</t>
  </si>
  <si>
    <t>Split biological/computronium model</t>
  </si>
  <si>
    <t>utility per cage removed</t>
  </si>
  <si>
    <t>years factory farming prevented per $1</t>
  </si>
  <si>
    <t>animals per year</t>
  </si>
  <si>
    <t>AMF</t>
  </si>
  <si>
    <t>Corporate Campaigns</t>
  </si>
  <si>
    <t xml:space="preserve">Mean </t>
  </si>
  <si>
    <t>Estimated by doubling the 80% CI given by http://www.animalcharityevaluators.org/research/interventions/impact-calculator/</t>
  </si>
  <si>
    <t>Estimated from FHI x-risk survey</t>
  </si>
  <si>
    <t>Inputs (80% CI)</t>
  </si>
  <si>
    <t>(80% CI)</t>
  </si>
  <si>
    <t>Wikipedia, "Timeline of the Far Future"</t>
  </si>
  <si>
    <t>P(friendly AI gets built)</t>
  </si>
  <si>
    <t>suffering simulations prevented</t>
  </si>
  <si>
    <t>dolorium scenarios prevented by making the FAI animal-friendly</t>
  </si>
  <si>
    <t>values propagation multiplier</t>
  </si>
  <si>
    <t>cost to convince one AI researcher to care about animals</t>
  </si>
  <si>
    <t>P(FAI is bad for animals by default)</t>
  </si>
  <si>
    <t>1/size of FAI community when AGI created</t>
  </si>
  <si>
    <t>user input (or any other color)</t>
  </si>
  <si>
    <t>$1000/cost</t>
  </si>
  <si>
    <t>Increased probability AGI is good for animals per $1000 spent</t>
  </si>
  <si>
    <t>wild vertebrate suffering prevented</t>
  </si>
  <si>
    <t>insect suffering prevented</t>
  </si>
  <si>
    <t>dolorium utility estimate</t>
  </si>
  <si>
    <t>wild vertebrate utility estimate</t>
  </si>
  <si>
    <t>insect utility estimate</t>
  </si>
  <si>
    <t>simulation utility estimate</t>
  </si>
  <si>
    <t>Model</t>
  </si>
  <si>
    <t>dolorium scenarios prevented per $1000</t>
  </si>
  <si>
    <t>wild vertebrate scenarios prevented per $1000</t>
  </si>
  <si>
    <t>insect scenarios prevented per $1000</t>
  </si>
  <si>
    <t>simulation scenarios prevented per $1000</t>
  </si>
  <si>
    <t>TODO: find better way to compute variance for combined estimate</t>
  </si>
  <si>
    <t>*just gives lower bound right now since I can't compute this without knowing how to find the sum of lognormals</t>
  </si>
  <si>
    <t>Unified*</t>
  </si>
  <si>
    <t>AI Targeted Values Spreading</t>
  </si>
  <si>
    <t>Posterior</t>
  </si>
  <si>
    <t>Total utility</t>
  </si>
  <si>
    <t>Ratio vs. GD</t>
  </si>
  <si>
    <t>Utility from direct effects only</t>
  </si>
  <si>
    <t>Fully split condition</t>
  </si>
  <si>
    <t>Negative effect on suffering simulations</t>
  </si>
  <si>
    <t>from looking at random articles I found on Google, adjusting for overconfidence</t>
  </si>
  <si>
    <t>Pareto posterior (weighted)</t>
  </si>
  <si>
    <t>Log-normal posterior (weighted)</t>
  </si>
  <si>
    <t>weighted by sign and probability from "EV of Far Future"</t>
  </si>
  <si>
    <t>Fully split model</t>
  </si>
  <si>
    <t>TODO</t>
  </si>
  <si>
    <t>Inputs</t>
  </si>
  <si>
    <t>Mean increase by big effort</t>
  </si>
  <si>
    <t>Variance decrease by big effort</t>
  </si>
  <si>
    <t>Researcher-years per big effort</t>
  </si>
  <si>
    <t>Cost per researcher-year</t>
  </si>
  <si>
    <t>Mean increase per $1000</t>
  </si>
  <si>
    <t>Variance decrease per $1000</t>
  </si>
  <si>
    <t>1/researcher-years</t>
  </si>
  <si>
    <t>Baseline posterior</t>
  </si>
  <si>
    <t>Baseline utility estimate</t>
  </si>
  <si>
    <t>Low updated utility estimate</t>
  </si>
  <si>
    <t>Mean updated utility estimate</t>
  </si>
  <si>
    <t>High updated utility estimate</t>
  </si>
  <si>
    <t>Low posterior</t>
  </si>
  <si>
    <t>Mean posterior</t>
  </si>
  <si>
    <t>High posterior</t>
  </si>
  <si>
    <t>Low delta</t>
  </si>
  <si>
    <t>Mean delta</t>
  </si>
  <si>
    <t>High delta</t>
  </si>
  <si>
    <t>Low utility post-ACE</t>
  </si>
  <si>
    <t>High utility post-ACE</t>
  </si>
  <si>
    <t>Mean utility post-ACE</t>
  </si>
  <si>
    <t>TODO: just takes max of individual split values</t>
  </si>
  <si>
    <t>ACE</t>
  </si>
  <si>
    <t>high variance b/c unclear how bad/good wild vertebrate lives actually are</t>
  </si>
  <si>
    <t>sentience adjustment lower than for just chickens b/c includes fish</t>
  </si>
  <si>
    <t>for just chickens; higher variance than factory farming b/c there's disagreement about welfare difference for caged vs. cage-free</t>
  </si>
  <si>
    <t xml:space="preserve"> </t>
  </si>
  <si>
    <t>$1000s influenced by ACE per big effort</t>
  </si>
  <si>
    <t>scale (logarithmic base 10); this is the equivalent of standard deviation, not variance</t>
  </si>
  <si>
    <t>(positive only for now)</t>
  </si>
  <si>
    <t>global poverty</t>
  </si>
  <si>
    <t>factory farming</t>
  </si>
  <si>
    <t>wild animals</t>
  </si>
  <si>
    <t>sentient simulations</t>
  </si>
  <si>
    <t>far future</t>
  </si>
  <si>
    <t>TODO: I don't know what's a reasonable way to calculate variance here, should use something like Metropolis-Hastings</t>
  </si>
  <si>
    <t>should be 43.27</t>
  </si>
  <si>
    <t>should be 829.78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</si>
</sst>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scheme val="minor"/>
    </font>
    <font>
      <sz val="12"/>
      <color rgb="FF000000"/>
      <name val="Calibri"/>
      <family val="2"/>
      <scheme val="minor"/>
    </font>
    <font>
      <sz val="12"/>
      <name val="Calibri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4BD97"/>
        <bgColor rgb="FF000000"/>
      </patternFill>
    </fill>
    <fill>
      <patternFill patternType="solid">
        <fgColor rgb="FFDDD9C4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36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46">
    <xf numFmtId="0" fontId="0" fillId="0" borderId="0" xfId="0"/>
    <xf numFmtId="0" fontId="3" fillId="0" borderId="0" xfId="0" applyFont="1"/>
    <xf numFmtId="0" fontId="0" fillId="0" borderId="0" xfId="0" applyFont="1"/>
    <xf numFmtId="11" fontId="0" fillId="0" borderId="0" xfId="0" applyNumberFormat="1"/>
    <xf numFmtId="0" fontId="0" fillId="0" borderId="0" xfId="0" applyFill="1"/>
    <xf numFmtId="0" fontId="0" fillId="2" borderId="0" xfId="0" applyFill="1"/>
    <xf numFmtId="0" fontId="0" fillId="0" borderId="0" xfId="0" applyAlignment="1">
      <alignment wrapText="1"/>
    </xf>
    <xf numFmtId="0" fontId="4" fillId="0" borderId="0" xfId="0" applyFont="1"/>
    <xf numFmtId="0" fontId="5" fillId="0" borderId="0" xfId="0" applyFont="1"/>
    <xf numFmtId="11" fontId="0" fillId="3" borderId="0" xfId="0" applyNumberFormat="1" applyFill="1"/>
    <xf numFmtId="0" fontId="0" fillId="4" borderId="0" xfId="0" applyFill="1" applyAlignment="1">
      <alignment wrapText="1"/>
    </xf>
    <xf numFmtId="0" fontId="0" fillId="5" borderId="0" xfId="0" applyFill="1"/>
    <xf numFmtId="0" fontId="0" fillId="6" borderId="0" xfId="0" applyFill="1"/>
    <xf numFmtId="11" fontId="0" fillId="6" borderId="0" xfId="0" applyNumberFormat="1" applyFill="1"/>
    <xf numFmtId="0" fontId="0" fillId="7" borderId="0" xfId="0" applyFill="1"/>
    <xf numFmtId="0" fontId="0" fillId="8" borderId="0" xfId="0" applyFill="1"/>
    <xf numFmtId="0" fontId="0" fillId="0" borderId="0" xfId="0" applyFill="1" applyAlignment="1">
      <alignment wrapText="1"/>
    </xf>
    <xf numFmtId="0" fontId="5" fillId="9" borderId="0" xfId="0" applyFont="1" applyFill="1" applyAlignment="1">
      <alignment wrapText="1"/>
    </xf>
    <xf numFmtId="11" fontId="5" fillId="10" borderId="0" xfId="0" applyNumberFormat="1" applyFont="1" applyFill="1"/>
    <xf numFmtId="11" fontId="0" fillId="0" borderId="0" xfId="0" applyNumberFormat="1" applyFill="1"/>
    <xf numFmtId="0" fontId="0" fillId="11" borderId="0" xfId="0" applyFill="1" applyAlignment="1">
      <alignment wrapText="1"/>
    </xf>
    <xf numFmtId="0" fontId="3" fillId="0" borderId="0" xfId="0" applyFont="1" applyAlignment="1">
      <alignment wrapText="1"/>
    </xf>
    <xf numFmtId="0" fontId="4" fillId="0" borderId="0" xfId="0" applyFont="1" applyAlignment="1"/>
    <xf numFmtId="0" fontId="0" fillId="0" borderId="0" xfId="0" applyAlignment="1"/>
    <xf numFmtId="11" fontId="0" fillId="5" borderId="0" xfId="0" applyNumberFormat="1" applyFill="1"/>
    <xf numFmtId="0" fontId="3" fillId="0" borderId="0" xfId="0" applyFont="1" applyFill="1"/>
    <xf numFmtId="0" fontId="0" fillId="12" borderId="0" xfId="0" applyFill="1"/>
    <xf numFmtId="11" fontId="0" fillId="8" borderId="0" xfId="0" applyNumberFormat="1" applyFill="1"/>
    <xf numFmtId="0" fontId="0" fillId="13" borderId="0" xfId="0" applyFill="1"/>
    <xf numFmtId="0" fontId="0" fillId="11" borderId="0" xfId="0" applyFill="1"/>
    <xf numFmtId="0" fontId="0" fillId="14" borderId="0" xfId="0" applyFill="1"/>
    <xf numFmtId="0" fontId="0" fillId="13" borderId="0" xfId="0" applyFill="1" applyAlignment="1">
      <alignment wrapText="1"/>
    </xf>
    <xf numFmtId="0" fontId="0" fillId="13" borderId="0" xfId="0" applyFont="1" applyFill="1" applyAlignment="1">
      <alignment wrapText="1"/>
    </xf>
    <xf numFmtId="0" fontId="0" fillId="14" borderId="0" xfId="0" applyFont="1" applyFill="1"/>
    <xf numFmtId="0" fontId="0" fillId="15" borderId="0" xfId="0" applyFill="1"/>
    <xf numFmtId="0" fontId="0" fillId="16" borderId="0" xfId="0" applyFill="1"/>
    <xf numFmtId="0" fontId="0" fillId="16" borderId="0" xfId="0" applyFill="1" applyAlignment="1">
      <alignment horizontal="right"/>
    </xf>
    <xf numFmtId="0" fontId="0" fillId="11" borderId="0" xfId="0" applyFont="1" applyFill="1"/>
    <xf numFmtId="0" fontId="6" fillId="0" borderId="0" xfId="0" applyFont="1" applyFill="1"/>
    <xf numFmtId="0" fontId="0" fillId="0" borderId="0" xfId="0" applyFill="1" applyAlignment="1">
      <alignment horizontal="right"/>
    </xf>
    <xf numFmtId="2" fontId="0" fillId="0" borderId="0" xfId="0" applyNumberFormat="1" applyFont="1"/>
    <xf numFmtId="2" fontId="5" fillId="0" borderId="0" xfId="0" applyNumberFormat="1" applyFont="1"/>
    <xf numFmtId="0" fontId="0" fillId="5" borderId="0" xfId="0" applyNumberFormat="1" applyFill="1"/>
    <xf numFmtId="0" fontId="3" fillId="0" borderId="0" xfId="0" applyFont="1" applyFill="1" applyAlignment="1">
      <alignment wrapText="1"/>
    </xf>
    <xf numFmtId="0" fontId="0" fillId="0" borderId="0" xfId="0" applyFont="1" applyFill="1" applyAlignment="1">
      <alignment wrapText="1"/>
    </xf>
    <xf numFmtId="0" fontId="0" fillId="0" borderId="0" xfId="0" applyNumberFormat="1"/>
  </cellXfs>
  <cellStyles count="136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Followed Hyperlink" xfId="1002" builtinId="9" hidden="1"/>
    <cellStyle name="Followed Hyperlink" xfId="1004" builtinId="9" hidden="1"/>
    <cellStyle name="Followed Hyperlink" xfId="1006" builtinId="9" hidden="1"/>
    <cellStyle name="Followed Hyperlink" xfId="1008" builtinId="9" hidden="1"/>
    <cellStyle name="Followed Hyperlink" xfId="1010" builtinId="9" hidden="1"/>
    <cellStyle name="Followed Hyperlink" xfId="1012" builtinId="9" hidden="1"/>
    <cellStyle name="Followed Hyperlink" xfId="1014" builtinId="9" hidden="1"/>
    <cellStyle name="Followed Hyperlink" xfId="1016" builtinId="9" hidden="1"/>
    <cellStyle name="Followed Hyperlink" xfId="1018" builtinId="9" hidden="1"/>
    <cellStyle name="Followed Hyperlink" xfId="1020" builtinId="9" hidden="1"/>
    <cellStyle name="Followed Hyperlink" xfId="1022" builtinId="9" hidden="1"/>
    <cellStyle name="Followed Hyperlink" xfId="1024" builtinId="9" hidden="1"/>
    <cellStyle name="Followed Hyperlink" xfId="1026" builtinId="9" hidden="1"/>
    <cellStyle name="Followed Hyperlink" xfId="1028" builtinId="9" hidden="1"/>
    <cellStyle name="Followed Hyperlink" xfId="1030" builtinId="9" hidden="1"/>
    <cellStyle name="Followed Hyperlink" xfId="1032" builtinId="9" hidden="1"/>
    <cellStyle name="Followed Hyperlink" xfId="1034" builtinId="9" hidden="1"/>
    <cellStyle name="Followed Hyperlink" xfId="1036" builtinId="9" hidden="1"/>
    <cellStyle name="Followed Hyperlink" xfId="1038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052" builtinId="9" hidden="1"/>
    <cellStyle name="Followed Hyperlink" xfId="1054" builtinId="9" hidden="1"/>
    <cellStyle name="Followed Hyperlink" xfId="1056" builtinId="9" hidden="1"/>
    <cellStyle name="Followed Hyperlink" xfId="1058" builtinId="9" hidden="1"/>
    <cellStyle name="Followed Hyperlink" xfId="1060" builtinId="9" hidden="1"/>
    <cellStyle name="Followed Hyperlink" xfId="1062" builtinId="9" hidden="1"/>
    <cellStyle name="Followed Hyperlink" xfId="1064" builtinId="9" hidden="1"/>
    <cellStyle name="Followed Hyperlink" xfId="1066" builtinId="9" hidden="1"/>
    <cellStyle name="Followed Hyperlink" xfId="1068" builtinId="9" hidden="1"/>
    <cellStyle name="Followed Hyperlink" xfId="1070" builtinId="9" hidden="1"/>
    <cellStyle name="Followed Hyperlink" xfId="1072" builtinId="9" hidden="1"/>
    <cellStyle name="Followed Hyperlink" xfId="1074" builtinId="9" hidden="1"/>
    <cellStyle name="Followed Hyperlink" xfId="1076" builtinId="9" hidden="1"/>
    <cellStyle name="Followed Hyperlink" xfId="1078" builtinId="9" hidden="1"/>
    <cellStyle name="Followed Hyperlink" xfId="1080" builtinId="9" hidden="1"/>
    <cellStyle name="Followed Hyperlink" xfId="1082" builtinId="9" hidden="1"/>
    <cellStyle name="Followed Hyperlink" xfId="1084" builtinId="9" hidden="1"/>
    <cellStyle name="Followed Hyperlink" xfId="1086" builtinId="9" hidden="1"/>
    <cellStyle name="Followed Hyperlink" xfId="1088" builtinId="9" hidden="1"/>
    <cellStyle name="Followed Hyperlink" xfId="1090" builtinId="9" hidden="1"/>
    <cellStyle name="Followed Hyperlink" xfId="1092" builtinId="9" hidden="1"/>
    <cellStyle name="Followed Hyperlink" xfId="1094" builtinId="9" hidden="1"/>
    <cellStyle name="Followed Hyperlink" xfId="1096" builtinId="9" hidden="1"/>
    <cellStyle name="Followed Hyperlink" xfId="1098" builtinId="9" hidden="1"/>
    <cellStyle name="Followed Hyperlink" xfId="1100" builtinId="9" hidden="1"/>
    <cellStyle name="Followed Hyperlink" xfId="1102" builtinId="9" hidden="1"/>
    <cellStyle name="Followed Hyperlink" xfId="1104" builtinId="9" hidden="1"/>
    <cellStyle name="Followed Hyperlink" xfId="1106" builtinId="9" hidden="1"/>
    <cellStyle name="Followed Hyperlink" xfId="1108" builtinId="9" hidden="1"/>
    <cellStyle name="Followed Hyperlink" xfId="1110" builtinId="9" hidden="1"/>
    <cellStyle name="Followed Hyperlink" xfId="1112" builtinId="9" hidden="1"/>
    <cellStyle name="Followed Hyperlink" xfId="1114" builtinId="9" hidden="1"/>
    <cellStyle name="Followed Hyperlink" xfId="1116" builtinId="9" hidden="1"/>
    <cellStyle name="Followed Hyperlink" xfId="1118" builtinId="9" hidden="1"/>
    <cellStyle name="Followed Hyperlink" xfId="1120" builtinId="9" hidden="1"/>
    <cellStyle name="Followed Hyperlink" xfId="1122" builtinId="9" hidden="1"/>
    <cellStyle name="Followed Hyperlink" xfId="1124" builtinId="9" hidden="1"/>
    <cellStyle name="Followed Hyperlink" xfId="1126" builtinId="9" hidden="1"/>
    <cellStyle name="Followed Hyperlink" xfId="1128" builtinId="9" hidden="1"/>
    <cellStyle name="Followed Hyperlink" xfId="1130" builtinId="9" hidden="1"/>
    <cellStyle name="Followed Hyperlink" xfId="1132" builtinId="9" hidden="1"/>
    <cellStyle name="Followed Hyperlink" xfId="1134" builtinId="9" hidden="1"/>
    <cellStyle name="Followed Hyperlink" xfId="1136" builtinId="9" hidden="1"/>
    <cellStyle name="Followed Hyperlink" xfId="1138" builtinId="9" hidden="1"/>
    <cellStyle name="Followed Hyperlink" xfId="1140" builtinId="9" hidden="1"/>
    <cellStyle name="Followed Hyperlink" xfId="1142" builtinId="9" hidden="1"/>
    <cellStyle name="Followed Hyperlink" xfId="1144" builtinId="9" hidden="1"/>
    <cellStyle name="Followed Hyperlink" xfId="1146" builtinId="9" hidden="1"/>
    <cellStyle name="Followed Hyperlink" xfId="1148" builtinId="9" hidden="1"/>
    <cellStyle name="Followed Hyperlink" xfId="1150" builtinId="9" hidden="1"/>
    <cellStyle name="Followed Hyperlink" xfId="1152" builtinId="9" hidden="1"/>
    <cellStyle name="Followed Hyperlink" xfId="1154" builtinId="9" hidden="1"/>
    <cellStyle name="Followed Hyperlink" xfId="1156" builtinId="9" hidden="1"/>
    <cellStyle name="Followed Hyperlink" xfId="1158" builtinId="9" hidden="1"/>
    <cellStyle name="Followed Hyperlink" xfId="1160" builtinId="9" hidden="1"/>
    <cellStyle name="Followed Hyperlink" xfId="1162" builtinId="9" hidden="1"/>
    <cellStyle name="Followed Hyperlink" xfId="1164" builtinId="9" hidden="1"/>
    <cellStyle name="Followed Hyperlink" xfId="1166" builtinId="9" hidden="1"/>
    <cellStyle name="Followed Hyperlink" xfId="1168" builtinId="9" hidden="1"/>
    <cellStyle name="Followed Hyperlink" xfId="1170" builtinId="9" hidden="1"/>
    <cellStyle name="Followed Hyperlink" xfId="1172" builtinId="9" hidden="1"/>
    <cellStyle name="Followed Hyperlink" xfId="1174" builtinId="9" hidden="1"/>
    <cellStyle name="Followed Hyperlink" xfId="1176" builtinId="9" hidden="1"/>
    <cellStyle name="Followed Hyperlink" xfId="1178" builtinId="9" hidden="1"/>
    <cellStyle name="Followed Hyperlink" xfId="1180" builtinId="9" hidden="1"/>
    <cellStyle name="Followed Hyperlink" xfId="1182" builtinId="9" hidden="1"/>
    <cellStyle name="Followed Hyperlink" xfId="1184" builtinId="9" hidden="1"/>
    <cellStyle name="Followed Hyperlink" xfId="1186" builtinId="9" hidden="1"/>
    <cellStyle name="Followed Hyperlink" xfId="1188" builtinId="9" hidden="1"/>
    <cellStyle name="Followed Hyperlink" xfId="1190" builtinId="9" hidden="1"/>
    <cellStyle name="Followed Hyperlink" xfId="1192" builtinId="9" hidden="1"/>
    <cellStyle name="Followed Hyperlink" xfId="1194" builtinId="9" hidden="1"/>
    <cellStyle name="Followed Hyperlink" xfId="1196" builtinId="9" hidden="1"/>
    <cellStyle name="Followed Hyperlink" xfId="1198" builtinId="9" hidden="1"/>
    <cellStyle name="Followed Hyperlink" xfId="1200" builtinId="9" hidden="1"/>
    <cellStyle name="Followed Hyperlink" xfId="1202" builtinId="9" hidden="1"/>
    <cellStyle name="Followed Hyperlink" xfId="1204" builtinId="9" hidden="1"/>
    <cellStyle name="Followed Hyperlink" xfId="1206" builtinId="9" hidden="1"/>
    <cellStyle name="Followed Hyperlink" xfId="1208" builtinId="9" hidden="1"/>
    <cellStyle name="Followed Hyperlink" xfId="1210" builtinId="9" hidden="1"/>
    <cellStyle name="Followed Hyperlink" xfId="1212" builtinId="9" hidden="1"/>
    <cellStyle name="Followed Hyperlink" xfId="1214" builtinId="9" hidden="1"/>
    <cellStyle name="Followed Hyperlink" xfId="1216" builtinId="9" hidden="1"/>
    <cellStyle name="Followed Hyperlink" xfId="1218" builtinId="9" hidden="1"/>
    <cellStyle name="Followed Hyperlink" xfId="1220" builtinId="9" hidden="1"/>
    <cellStyle name="Followed Hyperlink" xfId="1222" builtinId="9" hidden="1"/>
    <cellStyle name="Followed Hyperlink" xfId="1224" builtinId="9" hidden="1"/>
    <cellStyle name="Followed Hyperlink" xfId="1226" builtinId="9" hidden="1"/>
    <cellStyle name="Followed Hyperlink" xfId="1228" builtinId="9" hidden="1"/>
    <cellStyle name="Followed Hyperlink" xfId="1230" builtinId="9" hidden="1"/>
    <cellStyle name="Followed Hyperlink" xfId="1232" builtinId="9" hidden="1"/>
    <cellStyle name="Followed Hyperlink" xfId="1234" builtinId="9" hidden="1"/>
    <cellStyle name="Followed Hyperlink" xfId="1236" builtinId="9" hidden="1"/>
    <cellStyle name="Followed Hyperlink" xfId="1238" builtinId="9" hidden="1"/>
    <cellStyle name="Followed Hyperlink" xfId="1240" builtinId="9" hidden="1"/>
    <cellStyle name="Followed Hyperlink" xfId="1242" builtinId="9" hidden="1"/>
    <cellStyle name="Followed Hyperlink" xfId="1244" builtinId="9" hidden="1"/>
    <cellStyle name="Followed Hyperlink" xfId="1246" builtinId="9" hidden="1"/>
    <cellStyle name="Followed Hyperlink" xfId="1248" builtinId="9" hidden="1"/>
    <cellStyle name="Followed Hyperlink" xfId="1250" builtinId="9" hidden="1"/>
    <cellStyle name="Followed Hyperlink" xfId="1252" builtinId="9" hidden="1"/>
    <cellStyle name="Followed Hyperlink" xfId="1254" builtinId="9" hidden="1"/>
    <cellStyle name="Followed Hyperlink" xfId="1256" builtinId="9" hidden="1"/>
    <cellStyle name="Followed Hyperlink" xfId="1258" builtinId="9" hidden="1"/>
    <cellStyle name="Followed Hyperlink" xfId="1260" builtinId="9" hidden="1"/>
    <cellStyle name="Followed Hyperlink" xfId="1262" builtinId="9" hidden="1"/>
    <cellStyle name="Followed Hyperlink" xfId="1264" builtinId="9" hidden="1"/>
    <cellStyle name="Followed Hyperlink" xfId="1266" builtinId="9" hidden="1"/>
    <cellStyle name="Followed Hyperlink" xfId="1268" builtinId="9" hidden="1"/>
    <cellStyle name="Followed Hyperlink" xfId="1270" builtinId="9" hidden="1"/>
    <cellStyle name="Followed Hyperlink" xfId="1272" builtinId="9" hidden="1"/>
    <cellStyle name="Followed Hyperlink" xfId="1274" builtinId="9" hidden="1"/>
    <cellStyle name="Followed Hyperlink" xfId="1276" builtinId="9" hidden="1"/>
    <cellStyle name="Followed Hyperlink" xfId="1278" builtinId="9" hidden="1"/>
    <cellStyle name="Followed Hyperlink" xfId="1280" builtinId="9" hidden="1"/>
    <cellStyle name="Followed Hyperlink" xfId="1282" builtinId="9" hidden="1"/>
    <cellStyle name="Followed Hyperlink" xfId="1284" builtinId="9" hidden="1"/>
    <cellStyle name="Followed Hyperlink" xfId="1286" builtinId="9" hidden="1"/>
    <cellStyle name="Followed Hyperlink" xfId="1288" builtinId="9" hidden="1"/>
    <cellStyle name="Followed Hyperlink" xfId="1290" builtinId="9" hidden="1"/>
    <cellStyle name="Followed Hyperlink" xfId="1292" builtinId="9" hidden="1"/>
    <cellStyle name="Followed Hyperlink" xfId="1294" builtinId="9" hidden="1"/>
    <cellStyle name="Followed Hyperlink" xfId="1296" builtinId="9" hidden="1"/>
    <cellStyle name="Followed Hyperlink" xfId="1298" builtinId="9" hidden="1"/>
    <cellStyle name="Followed Hyperlink" xfId="1300" builtinId="9" hidden="1"/>
    <cellStyle name="Followed Hyperlink" xfId="1302" builtinId="9" hidden="1"/>
    <cellStyle name="Followed Hyperlink" xfId="1304" builtinId="9" hidden="1"/>
    <cellStyle name="Followed Hyperlink" xfId="1306" builtinId="9" hidden="1"/>
    <cellStyle name="Followed Hyperlink" xfId="1308" builtinId="9" hidden="1"/>
    <cellStyle name="Followed Hyperlink" xfId="1310" builtinId="9" hidden="1"/>
    <cellStyle name="Followed Hyperlink" xfId="1312" builtinId="9" hidden="1"/>
    <cellStyle name="Followed Hyperlink" xfId="1314" builtinId="9" hidden="1"/>
    <cellStyle name="Followed Hyperlink" xfId="1316" builtinId="9" hidden="1"/>
    <cellStyle name="Followed Hyperlink" xfId="1318" builtinId="9" hidden="1"/>
    <cellStyle name="Followed Hyperlink" xfId="1320" builtinId="9" hidden="1"/>
    <cellStyle name="Followed Hyperlink" xfId="1322" builtinId="9" hidden="1"/>
    <cellStyle name="Followed Hyperlink" xfId="1324" builtinId="9" hidden="1"/>
    <cellStyle name="Followed Hyperlink" xfId="1326" builtinId="9" hidden="1"/>
    <cellStyle name="Followed Hyperlink" xfId="1328" builtinId="9" hidden="1"/>
    <cellStyle name="Followed Hyperlink" xfId="1330" builtinId="9" hidden="1"/>
    <cellStyle name="Followed Hyperlink" xfId="1332" builtinId="9" hidden="1"/>
    <cellStyle name="Followed Hyperlink" xfId="1334" builtinId="9" hidden="1"/>
    <cellStyle name="Followed Hyperlink" xfId="1336" builtinId="9" hidden="1"/>
    <cellStyle name="Followed Hyperlink" xfId="1338" builtinId="9" hidden="1"/>
    <cellStyle name="Followed Hyperlink" xfId="1340" builtinId="9" hidden="1"/>
    <cellStyle name="Followed Hyperlink" xfId="1342" builtinId="9" hidden="1"/>
    <cellStyle name="Followed Hyperlink" xfId="1344" builtinId="9" hidden="1"/>
    <cellStyle name="Followed Hyperlink" xfId="1346" builtinId="9" hidden="1"/>
    <cellStyle name="Followed Hyperlink" xfId="1348" builtinId="9" hidden="1"/>
    <cellStyle name="Followed Hyperlink" xfId="1350" builtinId="9" hidden="1"/>
    <cellStyle name="Followed Hyperlink" xfId="1352" builtinId="9" hidden="1"/>
    <cellStyle name="Followed Hyperlink" xfId="1354" builtinId="9" hidden="1"/>
    <cellStyle name="Followed Hyperlink" xfId="1356" builtinId="9" hidden="1"/>
    <cellStyle name="Followed Hyperlink" xfId="1358" builtinId="9" hidden="1"/>
    <cellStyle name="Followed Hyperlink" xfId="1360" builtinId="9" hidden="1"/>
    <cellStyle name="Followed Hyperlink" xfId="1362" builtinId="9" hidden="1"/>
    <cellStyle name="Followed Hyperlink" xfId="136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1203" builtinId="8" hidden="1"/>
    <cellStyle name="Hyperlink" xfId="1205" builtinId="8" hidden="1"/>
    <cellStyle name="Hyperlink" xfId="1207" builtinId="8" hidden="1"/>
    <cellStyle name="Hyperlink" xfId="1209" builtinId="8" hidden="1"/>
    <cellStyle name="Hyperlink" xfId="1211" builtinId="8" hidden="1"/>
    <cellStyle name="Hyperlink" xfId="1213" builtinId="8" hidden="1"/>
    <cellStyle name="Hyperlink" xfId="1215" builtinId="8" hidden="1"/>
    <cellStyle name="Hyperlink" xfId="1217" builtinId="8" hidden="1"/>
    <cellStyle name="Hyperlink" xfId="1219" builtinId="8" hidden="1"/>
    <cellStyle name="Hyperlink" xfId="1221" builtinId="8" hidden="1"/>
    <cellStyle name="Hyperlink" xfId="1223" builtinId="8" hidden="1"/>
    <cellStyle name="Hyperlink" xfId="1225" builtinId="8" hidden="1"/>
    <cellStyle name="Hyperlink" xfId="1227" builtinId="8" hidden="1"/>
    <cellStyle name="Hyperlink" xfId="1229" builtinId="8" hidden="1"/>
    <cellStyle name="Hyperlink" xfId="1231" builtinId="8" hidden="1"/>
    <cellStyle name="Hyperlink" xfId="1233" builtinId="8" hidden="1"/>
    <cellStyle name="Hyperlink" xfId="1235" builtinId="8" hidden="1"/>
    <cellStyle name="Hyperlink" xfId="1237" builtinId="8" hidden="1"/>
    <cellStyle name="Hyperlink" xfId="1239" builtinId="8" hidden="1"/>
    <cellStyle name="Hyperlink" xfId="1241" builtinId="8" hidden="1"/>
    <cellStyle name="Hyperlink" xfId="1243" builtinId="8" hidden="1"/>
    <cellStyle name="Hyperlink" xfId="1245" builtinId="8" hidden="1"/>
    <cellStyle name="Hyperlink" xfId="1247" builtinId="8" hidden="1"/>
    <cellStyle name="Hyperlink" xfId="1249" builtinId="8" hidden="1"/>
    <cellStyle name="Hyperlink" xfId="1251" builtinId="8" hidden="1"/>
    <cellStyle name="Hyperlink" xfId="1253" builtinId="8" hidden="1"/>
    <cellStyle name="Hyperlink" xfId="1255" builtinId="8" hidden="1"/>
    <cellStyle name="Hyperlink" xfId="1257" builtinId="8" hidden="1"/>
    <cellStyle name="Hyperlink" xfId="1259" builtinId="8" hidden="1"/>
    <cellStyle name="Hyperlink" xfId="1261" builtinId="8" hidden="1"/>
    <cellStyle name="Hyperlink" xfId="1263" builtinId="8" hidden="1"/>
    <cellStyle name="Hyperlink" xfId="1265" builtinId="8" hidden="1"/>
    <cellStyle name="Hyperlink" xfId="1267" builtinId="8" hidden="1"/>
    <cellStyle name="Hyperlink" xfId="1269" builtinId="8" hidden="1"/>
    <cellStyle name="Hyperlink" xfId="1271" builtinId="8" hidden="1"/>
    <cellStyle name="Hyperlink" xfId="1273" builtinId="8" hidden="1"/>
    <cellStyle name="Hyperlink" xfId="1275" builtinId="8" hidden="1"/>
    <cellStyle name="Hyperlink" xfId="1277" builtinId="8" hidden="1"/>
    <cellStyle name="Hyperlink" xfId="1279" builtinId="8" hidden="1"/>
    <cellStyle name="Hyperlink" xfId="1281" builtinId="8" hidden="1"/>
    <cellStyle name="Hyperlink" xfId="1283" builtinId="8" hidden="1"/>
    <cellStyle name="Hyperlink" xfId="1285" builtinId="8" hidden="1"/>
    <cellStyle name="Hyperlink" xfId="1287" builtinId="8" hidden="1"/>
    <cellStyle name="Hyperlink" xfId="1289" builtinId="8" hidden="1"/>
    <cellStyle name="Hyperlink" xfId="1291" builtinId="8" hidden="1"/>
    <cellStyle name="Hyperlink" xfId="1293" builtinId="8" hidden="1"/>
    <cellStyle name="Hyperlink" xfId="1295" builtinId="8" hidden="1"/>
    <cellStyle name="Hyperlink" xfId="1297" builtinId="8" hidden="1"/>
    <cellStyle name="Hyperlink" xfId="1299" builtinId="8" hidden="1"/>
    <cellStyle name="Hyperlink" xfId="1301" builtinId="8" hidden="1"/>
    <cellStyle name="Hyperlink" xfId="1303" builtinId="8" hidden="1"/>
    <cellStyle name="Hyperlink" xfId="1305" builtinId="8" hidden="1"/>
    <cellStyle name="Hyperlink" xfId="1307" builtinId="8" hidden="1"/>
    <cellStyle name="Hyperlink" xfId="1309" builtinId="8" hidden="1"/>
    <cellStyle name="Hyperlink" xfId="1311" builtinId="8" hidden="1"/>
    <cellStyle name="Hyperlink" xfId="1313" builtinId="8" hidden="1"/>
    <cellStyle name="Hyperlink" xfId="1315" builtinId="8" hidden="1"/>
    <cellStyle name="Hyperlink" xfId="1317" builtinId="8" hidden="1"/>
    <cellStyle name="Hyperlink" xfId="1319" builtinId="8" hidden="1"/>
    <cellStyle name="Hyperlink" xfId="1321" builtinId="8" hidden="1"/>
    <cellStyle name="Hyperlink" xfId="1323" builtinId="8" hidden="1"/>
    <cellStyle name="Hyperlink" xfId="1325" builtinId="8" hidden="1"/>
    <cellStyle name="Hyperlink" xfId="1327" builtinId="8" hidden="1"/>
    <cellStyle name="Hyperlink" xfId="1329" builtinId="8" hidden="1"/>
    <cellStyle name="Hyperlink" xfId="1331" builtinId="8" hidden="1"/>
    <cellStyle name="Hyperlink" xfId="1333" builtinId="8" hidden="1"/>
    <cellStyle name="Hyperlink" xfId="1335" builtinId="8" hidden="1"/>
    <cellStyle name="Hyperlink" xfId="1337" builtinId="8" hidden="1"/>
    <cellStyle name="Hyperlink" xfId="1339" builtinId="8" hidden="1"/>
    <cellStyle name="Hyperlink" xfId="1341" builtinId="8" hidden="1"/>
    <cellStyle name="Hyperlink" xfId="1343" builtinId="8" hidden="1"/>
    <cellStyle name="Hyperlink" xfId="1345" builtinId="8" hidden="1"/>
    <cellStyle name="Hyperlink" xfId="1347" builtinId="8" hidden="1"/>
    <cellStyle name="Hyperlink" xfId="1349" builtinId="8" hidden="1"/>
    <cellStyle name="Hyperlink" xfId="1351" builtinId="8" hidden="1"/>
    <cellStyle name="Hyperlink" xfId="1353" builtinId="8" hidden="1"/>
    <cellStyle name="Hyperlink" xfId="1355" builtinId="8" hidden="1"/>
    <cellStyle name="Hyperlink" xfId="1357" builtinId="8" hidden="1"/>
    <cellStyle name="Hyperlink" xfId="1359" builtinId="8" hidden="1"/>
    <cellStyle name="Hyperlink" xfId="1361" builtinId="8" hidden="1"/>
    <cellStyle name="Hyperlink" xfId="1363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15</xdr:row>
      <xdr:rowOff>152400</xdr:rowOff>
    </xdr:from>
    <xdr:to>
      <xdr:col>3</xdr:col>
      <xdr:colOff>241300</xdr:colOff>
      <xdr:row>30</xdr:row>
      <xdr:rowOff>0</xdr:rowOff>
    </xdr:to>
    <xdr:sp macro="" textlink="">
      <xdr:nvSpPr>
        <xdr:cNvPr id="2" name="TextBox 1"/>
        <xdr:cNvSpPr txBox="1"/>
      </xdr:nvSpPr>
      <xdr:spPr>
        <a:xfrm>
          <a:off x="215900" y="3073400"/>
          <a:ext cx="3327400" cy="2705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The normal prior doesn’t apply here so instead of adjusting with a prior, just</a:t>
          </a:r>
          <a:r>
            <a:rPr lang="en-US" sz="1100" baseline="0"/>
            <a:t> use get answers for Low CI/Mean/High CI.</a:t>
          </a:r>
        </a:p>
        <a:p>
          <a:endParaRPr lang="en-US" sz="1100"/>
        </a:p>
        <a:p>
          <a:r>
            <a:rPr lang="en-US" sz="1100"/>
            <a:t>TODO: Right</a:t>
          </a:r>
          <a:r>
            <a:rPr lang="en-US" sz="1100" baseline="0"/>
            <a:t> now this only looks at the far-future effect on factory farming. Fix this after you figure out how to handle the Veg Ads model.</a:t>
          </a:r>
        </a:p>
        <a:p>
          <a:endParaRPr lang="en-US" sz="1100" baseline="0"/>
        </a:p>
        <a:p>
          <a:r>
            <a:rPr lang="en-US" sz="1100" baseline="0"/>
            <a:t>TODO: somehow account for future growth increasing money moved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L23"/>
  <sheetViews>
    <sheetView workbookViewId="0">
      <selection activeCell="J62" sqref="J62"/>
    </sheetView>
  </sheetViews>
  <sheetFormatPr baseColWidth="10" defaultRowHeight="15" x14ac:dyDescent="0"/>
  <cols>
    <col min="1" max="1" width="21.6640625" customWidth="1"/>
    <col min="2" max="5" width="12.1640625" bestFit="1" customWidth="1"/>
  </cols>
  <sheetData>
    <row r="1" spans="1:12" ht="20">
      <c r="A1" s="7" t="s">
        <v>196</v>
      </c>
      <c r="G1" s="7" t="s">
        <v>198</v>
      </c>
    </row>
    <row r="2" spans="1:12">
      <c r="K2" t="s">
        <v>195</v>
      </c>
    </row>
    <row r="3" spans="1:12">
      <c r="A3" s="1" t="s">
        <v>153</v>
      </c>
      <c r="H3" t="s">
        <v>164</v>
      </c>
      <c r="I3" t="s">
        <v>109</v>
      </c>
      <c r="J3" t="s">
        <v>34</v>
      </c>
      <c r="K3" s="30" t="s">
        <v>148</v>
      </c>
      <c r="L3" s="30" t="s">
        <v>149</v>
      </c>
    </row>
    <row r="4" spans="1:12">
      <c r="B4" s="30" t="s">
        <v>148</v>
      </c>
      <c r="C4" s="30" t="s">
        <v>149</v>
      </c>
      <c r="D4" s="30" t="s">
        <v>197</v>
      </c>
      <c r="G4" s="37" t="s">
        <v>150</v>
      </c>
      <c r="H4" s="15">
        <v>1</v>
      </c>
      <c r="I4" s="15">
        <v>0.1</v>
      </c>
      <c r="J4">
        <f>I4^2</f>
        <v>1.0000000000000002E-2</v>
      </c>
      <c r="K4" s="5" t="e">
        <f>ParetoPosterior(median,alpha,H4,J4)</f>
        <v>#VALUE!</v>
      </c>
      <c r="L4" s="5" t="e">
        <f>LognormPosterior(mu,sigma,H4,J4)</f>
        <v>#VALUE!</v>
      </c>
    </row>
    <row r="5" spans="1:12">
      <c r="A5" s="30" t="s">
        <v>150</v>
      </c>
      <c r="B5" s="5">
        <f>GiveDirectly!B14</f>
        <v>0.99999999999999978</v>
      </c>
      <c r="C5" s="5">
        <f>GiveDirectly!B15</f>
        <v>0.99212027722732632</v>
      </c>
      <c r="D5" s="5">
        <f>C5/$C$5</f>
        <v>1</v>
      </c>
      <c r="G5" s="29" t="s">
        <v>162</v>
      </c>
      <c r="H5" s="15">
        <v>11</v>
      </c>
      <c r="I5" s="15">
        <v>0.3</v>
      </c>
      <c r="J5">
        <f t="shared" ref="J5" si="0">I5^2</f>
        <v>0.09</v>
      </c>
      <c r="K5" s="5" t="e">
        <f>ParetoPosterior(median,alpha,H5,J5)</f>
        <v>#VALUE!</v>
      </c>
      <c r="L5" s="5" t="e">
        <f>LognormPosterior(mu,sigma,H5,J5)</f>
        <v>#VALUE!</v>
      </c>
    </row>
    <row r="6" spans="1:12">
      <c r="A6" s="30" t="s">
        <v>151</v>
      </c>
      <c r="B6" s="5"/>
      <c r="C6" s="5" t="e">
        <f>MAX('Veg Ads'!H7,'Veg Ads'!M10,'Veg Ads'!H22,'Veg Ads'!H34,'Veg Ads'!H46)</f>
        <v>#VALUE!</v>
      </c>
      <c r="D6" s="5" t="e">
        <f>C6/C5</f>
        <v>#VALUE!</v>
      </c>
      <c r="E6" t="s">
        <v>229</v>
      </c>
      <c r="G6" s="29" t="s">
        <v>151</v>
      </c>
      <c r="H6" s="19">
        <f>'Veg Ads'!H5</f>
        <v>4524.9309386995064</v>
      </c>
      <c r="I6" s="4"/>
      <c r="J6">
        <f>'Veg Ads'!I5</f>
        <v>0.59504262895320126</v>
      </c>
      <c r="K6" s="5" t="e">
        <f>ParetoPosterior(median,alpha,H6,J6)</f>
        <v>#VALUE!</v>
      </c>
      <c r="L6" s="5" t="e">
        <f>LognormPosterior(mu,sigma,H6,J6)</f>
        <v>#VALUE!</v>
      </c>
    </row>
    <row r="7" spans="1:12">
      <c r="A7" s="30" t="s">
        <v>230</v>
      </c>
      <c r="B7" s="5"/>
      <c r="C7" s="5" t="e">
        <f>ACE!I17</f>
        <v>#VALUE!</v>
      </c>
      <c r="D7" s="5" t="e">
        <f>C7/$C$5</f>
        <v>#VALUE!</v>
      </c>
      <c r="G7" s="29" t="s">
        <v>163</v>
      </c>
      <c r="H7" s="27">
        <v>22000</v>
      </c>
      <c r="I7" s="15">
        <v>0.7</v>
      </c>
      <c r="J7">
        <f>I7^2</f>
        <v>0.48999999999999994</v>
      </c>
      <c r="K7" s="5" t="e">
        <f>ParetoPosterior(median,alpha,H7,J7)</f>
        <v>#VALUE!</v>
      </c>
      <c r="L7" s="5" t="e">
        <f>LognormPosterior(mu,sigma,H7,J7)</f>
        <v>#VALUE!</v>
      </c>
    </row>
    <row r="8" spans="1:12">
      <c r="A8" s="30" t="s">
        <v>152</v>
      </c>
      <c r="B8" s="5">
        <f>'AI Safety'!B11</f>
        <v>1.1699032688722896E+16</v>
      </c>
      <c r="C8" s="5" t="e">
        <f>'AI Safety'!B12</f>
        <v>#VALUE!</v>
      </c>
      <c r="D8" s="5" t="e">
        <f>C8/$C$5</f>
        <v>#VALUE!</v>
      </c>
      <c r="G8" s="29" t="s">
        <v>152</v>
      </c>
      <c r="H8" s="19">
        <f>'AI Safety'!N4</f>
        <v>1.7155158151574772E+40</v>
      </c>
      <c r="I8" s="4"/>
      <c r="J8">
        <f>'AI Safety'!O4</f>
        <v>6.9972853849616623</v>
      </c>
      <c r="K8" s="5" t="e">
        <f>ParetoPosterior(median,alpha,H8,J8)</f>
        <v>#VALUE!</v>
      </c>
      <c r="L8" s="5" t="e">
        <f>LognormPosterior(mu,sigma,H8,J8)</f>
        <v>#VALUE!</v>
      </c>
    </row>
    <row r="9" spans="1:12">
      <c r="A9" s="30" t="s">
        <v>194</v>
      </c>
      <c r="B9" s="5" t="e">
        <f>'AI Targeted Values Spreading'!B25</f>
        <v>#VALUE!</v>
      </c>
      <c r="C9" s="5" t="e">
        <f>'AI Targeted Values Spreading'!C25</f>
        <v>#VALUE!</v>
      </c>
      <c r="D9" s="5" t="e">
        <f>C9/$C$5</f>
        <v>#VALUE!</v>
      </c>
    </row>
    <row r="12" spans="1:12">
      <c r="A12" s="1" t="s">
        <v>158</v>
      </c>
    </row>
    <row r="13" spans="1:12">
      <c r="B13" s="30" t="s">
        <v>148</v>
      </c>
      <c r="C13" s="30" t="s">
        <v>149</v>
      </c>
      <c r="D13" s="30" t="s">
        <v>197</v>
      </c>
    </row>
    <row r="14" spans="1:12">
      <c r="A14" s="30" t="s">
        <v>150</v>
      </c>
      <c r="B14" s="5">
        <f>GiveDirectly!B19</f>
        <v>0.99999999999999978</v>
      </c>
      <c r="C14" s="5">
        <f>GiveDirectly!B20</f>
        <v>0.99212027722732632</v>
      </c>
      <c r="D14" s="5">
        <f>C14/$C$14</f>
        <v>1</v>
      </c>
    </row>
    <row r="15" spans="1:12">
      <c r="A15" s="30" t="s">
        <v>151</v>
      </c>
      <c r="B15" s="5">
        <f>'Veg Ads'!B27</f>
        <v>551196598527200</v>
      </c>
      <c r="C15" s="5" t="e">
        <f>'Veg Ads'!B28</f>
        <v>#VALUE!</v>
      </c>
      <c r="D15" s="5" t="e">
        <f>C15/$C$14</f>
        <v>#VALUE!</v>
      </c>
    </row>
    <row r="16" spans="1:12">
      <c r="A16" s="30" t="s">
        <v>152</v>
      </c>
      <c r="B16" s="5">
        <f>'AI Safety'!B16</f>
        <v>2.4116564674346573E+18</v>
      </c>
      <c r="C16" s="5" t="e">
        <f>'AI Safety'!B17</f>
        <v>#VALUE!</v>
      </c>
      <c r="D16" s="5" t="e">
        <f>C16/$C$14</f>
        <v>#VALUE!</v>
      </c>
    </row>
    <row r="19" spans="1:4">
      <c r="A19" s="1" t="s">
        <v>205</v>
      </c>
    </row>
    <row r="20" spans="1:4">
      <c r="B20" s="30" t="s">
        <v>148</v>
      </c>
      <c r="C20" s="30" t="s">
        <v>149</v>
      </c>
      <c r="D20" s="30" t="s">
        <v>197</v>
      </c>
    </row>
    <row r="21" spans="1:4">
      <c r="A21" s="30" t="s">
        <v>150</v>
      </c>
      <c r="B21" s="5"/>
      <c r="C21" s="5"/>
      <c r="D21" s="5"/>
    </row>
    <row r="22" spans="1:4">
      <c r="A22" s="30" t="s">
        <v>151</v>
      </c>
      <c r="B22" s="5">
        <f>'Veg Ads'!B27</f>
        <v>551196598527200</v>
      </c>
      <c r="C22" s="5" t="e">
        <f>'Veg Ads'!B28</f>
        <v>#VALUE!</v>
      </c>
      <c r="D22" s="5"/>
    </row>
    <row r="23" spans="1:4">
      <c r="A23" s="30" t="s">
        <v>152</v>
      </c>
      <c r="B23" s="5" t="e">
        <f>'AI Safety'!B21</f>
        <v>#VALUE!</v>
      </c>
      <c r="C23" s="5" t="e">
        <f>'AI Safety'!B22</f>
        <v>#VALUE!</v>
      </c>
      <c r="D23" s="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P42"/>
  <sheetViews>
    <sheetView workbookViewId="0">
      <selection activeCell="F3" sqref="F3"/>
    </sheetView>
  </sheetViews>
  <sheetFormatPr baseColWidth="10" defaultRowHeight="15" x14ac:dyDescent="0"/>
  <cols>
    <col min="1" max="1" width="21.6640625" customWidth="1"/>
    <col min="2" max="2" width="12.1640625" bestFit="1" customWidth="1"/>
    <col min="4" max="5" width="10.83203125" customWidth="1"/>
    <col min="7" max="8" width="10.83203125" customWidth="1"/>
    <col min="10" max="10" width="10.83203125" customWidth="1"/>
    <col min="13" max="13" width="10.83203125" customWidth="1"/>
    <col min="14" max="14" width="21.6640625" customWidth="1"/>
  </cols>
  <sheetData>
    <row r="1" spans="1:14" ht="20">
      <c r="A1" s="7" t="s">
        <v>6</v>
      </c>
      <c r="E1" s="7" t="s">
        <v>100</v>
      </c>
      <c r="F1" t="s">
        <v>238</v>
      </c>
      <c r="G1" t="s">
        <v>239</v>
      </c>
      <c r="H1" t="s">
        <v>240</v>
      </c>
      <c r="I1" t="s">
        <v>241</v>
      </c>
      <c r="J1" t="s">
        <v>242</v>
      </c>
      <c r="N1" s="7" t="s">
        <v>113</v>
      </c>
    </row>
    <row r="2" spans="1:14">
      <c r="A2" s="5" t="s">
        <v>5</v>
      </c>
      <c r="B2" s="24">
        <v>1</v>
      </c>
      <c r="D2" t="s">
        <v>131</v>
      </c>
      <c r="E2" s="5" t="s">
        <v>101</v>
      </c>
      <c r="F2" s="11">
        <v>1</v>
      </c>
      <c r="G2" s="11">
        <v>1</v>
      </c>
      <c r="H2" s="42">
        <v>1</v>
      </c>
      <c r="I2" s="11">
        <v>1</v>
      </c>
      <c r="J2" s="11">
        <v>1</v>
      </c>
      <c r="N2" s="30" t="s">
        <v>115</v>
      </c>
    </row>
    <row r="3" spans="1:14">
      <c r="A3" s="5" t="s">
        <v>4</v>
      </c>
      <c r="B3" s="11">
        <v>2</v>
      </c>
      <c r="D3" t="s">
        <v>236</v>
      </c>
      <c r="E3" s="5" t="s">
        <v>102</v>
      </c>
      <c r="F3" s="11">
        <v>0.6</v>
      </c>
      <c r="G3" s="11">
        <f>sigma_global_poverty</f>
        <v>0.6</v>
      </c>
      <c r="H3" s="11">
        <f>sigma_global_poverty</f>
        <v>0.6</v>
      </c>
      <c r="I3" s="11">
        <f>sigma_global_poverty</f>
        <v>0.6</v>
      </c>
      <c r="J3" s="11">
        <f>sigma_global_poverty</f>
        <v>0.6</v>
      </c>
      <c r="N3" s="34" t="s">
        <v>114</v>
      </c>
    </row>
    <row r="4" spans="1:14">
      <c r="N4" s="28" t="s">
        <v>60</v>
      </c>
    </row>
    <row r="5" spans="1:14" ht="20">
      <c r="A5" s="7" t="s">
        <v>17</v>
      </c>
      <c r="N5" t="s">
        <v>147</v>
      </c>
    </row>
    <row r="6" spans="1:14">
      <c r="A6" s="14" t="s">
        <v>7</v>
      </c>
      <c r="B6" s="12">
        <v>0.2</v>
      </c>
      <c r="C6" s="14" t="s">
        <v>16</v>
      </c>
      <c r="D6" s="12">
        <v>0.7</v>
      </c>
      <c r="N6" s="29" t="s">
        <v>177</v>
      </c>
    </row>
    <row r="8" spans="1:14">
      <c r="A8" s="14" t="s">
        <v>8</v>
      </c>
      <c r="B8" s="12">
        <v>0.7</v>
      </c>
      <c r="C8" s="14" t="s">
        <v>9</v>
      </c>
      <c r="D8" s="12">
        <v>0.8</v>
      </c>
      <c r="E8" s="14" t="s">
        <v>71</v>
      </c>
      <c r="F8" s="12">
        <v>0.3</v>
      </c>
    </row>
    <row r="9" spans="1:14">
      <c r="A9" s="14"/>
      <c r="B9" s="12"/>
      <c r="C9" s="14"/>
      <c r="D9" s="12"/>
      <c r="E9" s="14" t="s">
        <v>11</v>
      </c>
      <c r="F9" s="13">
        <v>0.4</v>
      </c>
    </row>
    <row r="10" spans="1:14">
      <c r="E10" s="14" t="s">
        <v>10</v>
      </c>
      <c r="F10" s="13">
        <v>0.3</v>
      </c>
    </row>
    <row r="11" spans="1:14">
      <c r="A11" s="14" t="s">
        <v>13</v>
      </c>
      <c r="B11" s="12">
        <v>0.1</v>
      </c>
      <c r="C11" s="14" t="s">
        <v>12</v>
      </c>
      <c r="D11" s="12">
        <v>0.2</v>
      </c>
      <c r="E11" s="4"/>
    </row>
    <row r="12" spans="1:14">
      <c r="C12" s="14" t="s">
        <v>14</v>
      </c>
      <c r="D12" s="12">
        <v>0.75</v>
      </c>
    </row>
    <row r="13" spans="1:14">
      <c r="C13" s="14" t="s">
        <v>15</v>
      </c>
      <c r="D13" s="12">
        <v>0.05</v>
      </c>
    </row>
    <row r="15" spans="1:14" ht="20">
      <c r="A15" s="7" t="s">
        <v>41</v>
      </c>
    </row>
    <row r="16" spans="1:14" ht="20">
      <c r="B16" t="s">
        <v>50</v>
      </c>
      <c r="C16" s="4" t="s">
        <v>51</v>
      </c>
      <c r="D16" t="s">
        <v>53</v>
      </c>
      <c r="E16" t="s">
        <v>34</v>
      </c>
      <c r="F16" t="s">
        <v>31</v>
      </c>
      <c r="N16" s="7" t="s">
        <v>83</v>
      </c>
    </row>
    <row r="17" spans="1:16">
      <c r="A17" s="20" t="s">
        <v>42</v>
      </c>
      <c r="B17" s="15">
        <v>1</v>
      </c>
      <c r="C17" s="15">
        <v>1</v>
      </c>
      <c r="D17">
        <f>B17*C17</f>
        <v>1</v>
      </c>
      <c r="E17" s="15">
        <v>0</v>
      </c>
      <c r="O17" t="s">
        <v>2</v>
      </c>
    </row>
    <row r="18" spans="1:16" ht="30">
      <c r="A18" s="20" t="s">
        <v>43</v>
      </c>
      <c r="B18" s="15">
        <v>-5</v>
      </c>
      <c r="C18" s="15">
        <v>0.3</v>
      </c>
      <c r="D18">
        <f t="shared" ref="D18:D24" si="0">ABS(B18)*C18</f>
        <v>1.5</v>
      </c>
      <c r="E18" s="15">
        <v>0.1</v>
      </c>
      <c r="F18" t="s">
        <v>232</v>
      </c>
      <c r="L18" s="3"/>
      <c r="N18" s="29" t="s">
        <v>30</v>
      </c>
      <c r="O18" s="27">
        <v>20000000000</v>
      </c>
      <c r="P18" s="3"/>
    </row>
    <row r="19" spans="1:16">
      <c r="A19" s="29" t="s">
        <v>159</v>
      </c>
      <c r="B19" s="15">
        <v>1</v>
      </c>
      <c r="C19" s="15">
        <v>0.5</v>
      </c>
      <c r="D19">
        <f t="shared" si="0"/>
        <v>0.5</v>
      </c>
      <c r="E19" s="15">
        <v>0.2</v>
      </c>
      <c r="F19" t="s">
        <v>233</v>
      </c>
      <c r="L19" s="3"/>
      <c r="N19" s="29" t="s">
        <v>120</v>
      </c>
      <c r="O19" s="15">
        <v>0.05</v>
      </c>
      <c r="P19" s="3"/>
    </row>
    <row r="20" spans="1:16" ht="30">
      <c r="A20" s="20" t="s">
        <v>44</v>
      </c>
      <c r="B20" s="15">
        <v>-1</v>
      </c>
      <c r="C20" s="15">
        <v>0.2</v>
      </c>
      <c r="D20">
        <f t="shared" si="0"/>
        <v>0.2</v>
      </c>
      <c r="E20" s="15">
        <v>0.4</v>
      </c>
      <c r="F20" t="s">
        <v>231</v>
      </c>
      <c r="L20" s="3"/>
      <c r="N20" s="3"/>
      <c r="P20" s="3"/>
    </row>
    <row r="21" spans="1:16">
      <c r="A21" s="20" t="s">
        <v>45</v>
      </c>
      <c r="B21" s="15">
        <v>-2</v>
      </c>
      <c r="C21" s="15">
        <v>0.01</v>
      </c>
      <c r="D21">
        <f t="shared" si="0"/>
        <v>0.02</v>
      </c>
      <c r="E21" s="15">
        <v>0.5</v>
      </c>
      <c r="F21" t="s">
        <v>234</v>
      </c>
      <c r="L21" s="3"/>
      <c r="N21" s="3"/>
      <c r="P21" s="3"/>
    </row>
    <row r="22" spans="1:16">
      <c r="A22" s="20" t="s">
        <v>47</v>
      </c>
      <c r="B22" s="15">
        <v>1000</v>
      </c>
      <c r="C22" s="15">
        <f>C17</f>
        <v>1</v>
      </c>
      <c r="D22">
        <f t="shared" si="0"/>
        <v>1000</v>
      </c>
      <c r="E22" s="15">
        <v>0.8</v>
      </c>
      <c r="F22" t="s">
        <v>52</v>
      </c>
    </row>
    <row r="23" spans="1:16">
      <c r="A23" s="20" t="s">
        <v>48</v>
      </c>
      <c r="B23" s="15">
        <v>-1</v>
      </c>
      <c r="C23" s="15">
        <v>0.1</v>
      </c>
      <c r="D23">
        <f t="shared" si="0"/>
        <v>0.1</v>
      </c>
      <c r="E23" s="15">
        <v>1</v>
      </c>
      <c r="F23" t="s">
        <v>52</v>
      </c>
    </row>
    <row r="24" spans="1:16">
      <c r="A24" s="20" t="s">
        <v>49</v>
      </c>
      <c r="B24" s="15">
        <f>-B22</f>
        <v>-1000</v>
      </c>
      <c r="C24" s="15">
        <v>1</v>
      </c>
      <c r="D24">
        <f t="shared" si="0"/>
        <v>1000</v>
      </c>
      <c r="E24" s="15">
        <v>0.8</v>
      </c>
      <c r="F24" t="s">
        <v>52</v>
      </c>
    </row>
    <row r="27" spans="1:16" ht="20">
      <c r="A27" s="7" t="s">
        <v>33</v>
      </c>
      <c r="J27" s="7" t="s">
        <v>35</v>
      </c>
    </row>
    <row r="28" spans="1:16">
      <c r="A28" s="1" t="s">
        <v>40</v>
      </c>
      <c r="E28" s="1" t="s">
        <v>32</v>
      </c>
    </row>
    <row r="29" spans="1:16">
      <c r="B29" t="s">
        <v>0</v>
      </c>
      <c r="C29" t="s">
        <v>1</v>
      </c>
      <c r="D29" t="s">
        <v>31</v>
      </c>
      <c r="F29" t="s">
        <v>0</v>
      </c>
      <c r="G29" t="s">
        <v>1</v>
      </c>
      <c r="H29" t="s">
        <v>31</v>
      </c>
      <c r="K29" t="s">
        <v>2</v>
      </c>
      <c r="L29" t="s">
        <v>34</v>
      </c>
      <c r="O29" t="s">
        <v>2</v>
      </c>
      <c r="P29" t="s">
        <v>34</v>
      </c>
    </row>
    <row r="30" spans="1:16" ht="30">
      <c r="A30" s="10" t="s">
        <v>18</v>
      </c>
      <c r="B30" s="9">
        <v>100000000000</v>
      </c>
      <c r="C30" s="9">
        <v>100000000000000</v>
      </c>
      <c r="D30" t="s">
        <v>37</v>
      </c>
      <c r="E30" s="10" t="s">
        <v>18</v>
      </c>
      <c r="F30" s="9">
        <v>10000000000</v>
      </c>
      <c r="G30" s="9">
        <v>100000000000000</v>
      </c>
      <c r="H30" t="s">
        <v>37</v>
      </c>
      <c r="J30" s="16" t="str">
        <f>A30</f>
        <v>accessible stars</v>
      </c>
      <c r="K30">
        <f>SQRT(B30*C30)</f>
        <v>3162277660168.3794</v>
      </c>
      <c r="L30" s="3">
        <f>LogVariance(B30,C30)</f>
        <v>1.1704562191085683</v>
      </c>
      <c r="N30" s="16" t="str">
        <f>E30</f>
        <v>accessible stars</v>
      </c>
      <c r="O30">
        <f>SQRT(F30*G30)</f>
        <v>1000000000000</v>
      </c>
      <c r="P30" s="3">
        <f>LogVariance(F30,G30)</f>
        <v>1.5606082921447579</v>
      </c>
    </row>
    <row r="31" spans="1:16" ht="30">
      <c r="A31" s="10" t="s">
        <v>20</v>
      </c>
      <c r="B31" s="9">
        <v>100000000000</v>
      </c>
      <c r="C31" s="9">
        <v>1000000000000</v>
      </c>
      <c r="D31" t="s">
        <v>36</v>
      </c>
      <c r="E31" s="17" t="s">
        <v>20</v>
      </c>
      <c r="F31" s="18">
        <v>100000000000</v>
      </c>
      <c r="G31" s="18">
        <v>1000000000000</v>
      </c>
      <c r="H31" s="8" t="s">
        <v>36</v>
      </c>
      <c r="J31" s="16" t="str">
        <f t="shared" ref="J31:J32" si="1">A31</f>
        <v>years of future</v>
      </c>
      <c r="K31">
        <f t="shared" ref="K31:K33" si="2">SQRT(B31*C31)</f>
        <v>316227766016.83789</v>
      </c>
      <c r="L31" s="3">
        <f t="shared" ref="L31:L33" si="3">LogVariance(B31,C31)</f>
        <v>0.39015207303618948</v>
      </c>
      <c r="M31" s="3"/>
      <c r="N31" s="16" t="str">
        <f t="shared" ref="N31:N35" si="4">E31</f>
        <v>years of future</v>
      </c>
      <c r="O31">
        <f t="shared" ref="O31:O35" si="5">SQRT(F31*G31)</f>
        <v>316227766016.83789</v>
      </c>
      <c r="P31" s="3">
        <f t="shared" ref="P31:P36" si="6">LogVariance(F31,G31)</f>
        <v>0.39015207303618948</v>
      </c>
    </row>
    <row r="32" spans="1:16" ht="30">
      <c r="A32" s="10" t="s">
        <v>19</v>
      </c>
      <c r="B32" s="9">
        <v>1E+20</v>
      </c>
      <c r="C32" s="9">
        <v>1.0000000000000001E+25</v>
      </c>
      <c r="D32" t="s">
        <v>37</v>
      </c>
      <c r="E32" s="10" t="s">
        <v>21</v>
      </c>
      <c r="F32" s="9">
        <v>10000000000</v>
      </c>
      <c r="G32" s="9">
        <v>1000000000000</v>
      </c>
      <c r="J32" s="16" t="str">
        <f t="shared" si="1"/>
        <v>usable wattage</v>
      </c>
      <c r="K32">
        <f t="shared" si="2"/>
        <v>3.1622776601683796E+22</v>
      </c>
      <c r="L32" s="3">
        <f t="shared" si="3"/>
        <v>1.9507603651809475</v>
      </c>
      <c r="N32" s="16" t="str">
        <f t="shared" si="4"/>
        <v>humans per star</v>
      </c>
      <c r="O32">
        <f t="shared" si="5"/>
        <v>100000000000</v>
      </c>
      <c r="P32" s="3">
        <f t="shared" si="6"/>
        <v>0.78030414607237897</v>
      </c>
    </row>
    <row r="33" spans="1:16" ht="60">
      <c r="A33" s="10" t="s">
        <v>46</v>
      </c>
      <c r="B33" s="9">
        <v>0.1</v>
      </c>
      <c r="C33" s="9">
        <v>0.1</v>
      </c>
      <c r="D33" t="s">
        <v>37</v>
      </c>
      <c r="E33" s="10" t="s">
        <v>22</v>
      </c>
      <c r="F33" s="9">
        <v>10000000000</v>
      </c>
      <c r="G33" s="9">
        <v>1000000000000</v>
      </c>
      <c r="J33" s="16" t="str">
        <f>A33</f>
        <v>brains per watt</v>
      </c>
      <c r="K33">
        <f t="shared" si="2"/>
        <v>0.1</v>
      </c>
      <c r="L33" s="3">
        <f t="shared" si="3"/>
        <v>0</v>
      </c>
      <c r="N33" s="16" t="str">
        <f t="shared" si="4"/>
        <v>factory farmed animals per star</v>
      </c>
      <c r="O33">
        <f t="shared" si="5"/>
        <v>100000000000</v>
      </c>
      <c r="P33" s="3">
        <f t="shared" si="6"/>
        <v>0.78030414607237897</v>
      </c>
    </row>
    <row r="34" spans="1:16" ht="45">
      <c r="A34" s="16"/>
      <c r="B34" s="19"/>
      <c r="C34" s="19"/>
      <c r="E34" s="10" t="s">
        <v>23</v>
      </c>
      <c r="F34" s="9">
        <v>10000000000000</v>
      </c>
      <c r="G34" s="9">
        <v>1E+16</v>
      </c>
      <c r="H34" t="s">
        <v>38</v>
      </c>
      <c r="J34" s="16"/>
      <c r="L34" s="3"/>
      <c r="N34" s="16" t="str">
        <f t="shared" si="4"/>
        <v>wild vertebrates per star</v>
      </c>
      <c r="O34">
        <f t="shared" si="5"/>
        <v>316227766016837.94</v>
      </c>
      <c r="P34" s="3">
        <f t="shared" si="6"/>
        <v>1.1704562191085683</v>
      </c>
    </row>
    <row r="35" spans="1:16" ht="30">
      <c r="A35" s="16"/>
      <c r="B35" s="19"/>
      <c r="C35" s="19"/>
      <c r="E35" s="10" t="s">
        <v>62</v>
      </c>
      <c r="F35" s="9">
        <v>1E+17</v>
      </c>
      <c r="G35" s="9">
        <v>1E+21</v>
      </c>
      <c r="H35" t="s">
        <v>39</v>
      </c>
      <c r="J35" s="16"/>
      <c r="L35" s="3"/>
      <c r="N35" s="16" t="str">
        <f t="shared" si="4"/>
        <v>insects per star</v>
      </c>
      <c r="O35">
        <f t="shared" si="5"/>
        <v>1E+19</v>
      </c>
      <c r="P35" s="3">
        <f t="shared" si="6"/>
        <v>1.5606082921447579</v>
      </c>
    </row>
    <row r="36" spans="1:16" ht="30">
      <c r="E36" s="10" t="s">
        <v>66</v>
      </c>
      <c r="F36" s="9">
        <v>1E-3</v>
      </c>
      <c r="G36" s="9">
        <v>1</v>
      </c>
      <c r="N36" s="16" t="str">
        <f>E36</f>
        <v>simulations per insect</v>
      </c>
      <c r="O36">
        <f>SQRT(F36*G36)</f>
        <v>3.1622776601683791E-2</v>
      </c>
      <c r="P36" s="3">
        <f t="shared" si="6"/>
        <v>1.1704562191085683</v>
      </c>
    </row>
    <row r="39" spans="1:16" ht="20">
      <c r="A39" s="7" t="s">
        <v>24</v>
      </c>
    </row>
    <row r="40" spans="1:16">
      <c r="A40">
        <v>1</v>
      </c>
      <c r="B40" t="s">
        <v>29</v>
      </c>
      <c r="C40" t="s">
        <v>25</v>
      </c>
    </row>
    <row r="41" spans="1:16">
      <c r="A41">
        <v>2</v>
      </c>
      <c r="B41" t="s">
        <v>169</v>
      </c>
      <c r="C41" t="s">
        <v>26</v>
      </c>
    </row>
    <row r="42" spans="1:16">
      <c r="A42">
        <v>3</v>
      </c>
      <c r="B42" t="s">
        <v>27</v>
      </c>
      <c r="C42" t="s">
        <v>28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W63"/>
  <sheetViews>
    <sheetView workbookViewId="0">
      <selection activeCell="L10" sqref="L10"/>
    </sheetView>
  </sheetViews>
  <sheetFormatPr baseColWidth="10" defaultRowHeight="15" customHeight="1" x14ac:dyDescent="0"/>
  <cols>
    <col min="1" max="1" width="21.6640625" style="6" customWidth="1"/>
    <col min="2" max="2" width="12.1640625" bestFit="1" customWidth="1"/>
    <col min="5" max="5" width="10.83203125" customWidth="1"/>
    <col min="6" max="6" width="21.6640625" customWidth="1"/>
    <col min="7" max="7" width="12.1640625" bestFit="1" customWidth="1"/>
    <col min="11" max="11" width="21.6640625" customWidth="1"/>
    <col min="12" max="12" width="12.83203125" bestFit="1" customWidth="1"/>
    <col min="13" max="14" width="12.1640625" bestFit="1" customWidth="1"/>
    <col min="17" max="17" width="12.83203125" bestFit="1" customWidth="1"/>
    <col min="18" max="18" width="12.1640625" bestFit="1" customWidth="1"/>
  </cols>
  <sheetData>
    <row r="1" spans="1:18" s="23" customFormat="1" ht="30" customHeight="1">
      <c r="A1" s="22" t="s">
        <v>59</v>
      </c>
      <c r="F1" s="22" t="s">
        <v>54</v>
      </c>
      <c r="K1" s="22" t="s">
        <v>67</v>
      </c>
    </row>
    <row r="2" spans="1:18" ht="15" customHeight="1">
      <c r="B2" t="s">
        <v>2</v>
      </c>
      <c r="C2" t="s">
        <v>3</v>
      </c>
      <c r="F2" s="6"/>
      <c r="G2" t="s">
        <v>2</v>
      </c>
      <c r="H2" t="s">
        <v>3</v>
      </c>
      <c r="L2" s="28" t="s">
        <v>68</v>
      </c>
      <c r="M2" s="28" t="s">
        <v>34</v>
      </c>
      <c r="N2" t="s">
        <v>69</v>
      </c>
      <c r="P2" t="s">
        <v>70</v>
      </c>
      <c r="Q2" s="4"/>
      <c r="R2" s="4"/>
    </row>
    <row r="3" spans="1:18" ht="15" customHeight="1">
      <c r="A3" s="6" t="s">
        <v>18</v>
      </c>
      <c r="B3" s="4">
        <f>VLOOKUP($A3,Globals!$J$30:$L$34,2,FALSE)</f>
        <v>3162277660168.3794</v>
      </c>
      <c r="C3" s="4">
        <f>VLOOKUP($A3,Globals!$J$30:$L$34,3,FALSE)</f>
        <v>1.1704562191085683</v>
      </c>
      <c r="F3" s="6" t="s">
        <v>18</v>
      </c>
      <c r="G3">
        <f>VLOOKUP($F3,Globals!$N$30:$P$36,2,FALSE)</f>
        <v>1000000000000</v>
      </c>
      <c r="H3">
        <f>VLOOKUP($F3,Globals!$N$30:$P$36,3,FALSE)</f>
        <v>1.5606082921447579</v>
      </c>
      <c r="K3" t="s">
        <v>73</v>
      </c>
      <c r="L3" s="26">
        <f>G10</f>
        <v>3.1622776601683788E+34</v>
      </c>
      <c r="M3" s="26">
        <f>H10</f>
        <v>2.7310645112533267</v>
      </c>
      <c r="N3">
        <v>1</v>
      </c>
      <c r="O3" t="s">
        <v>91</v>
      </c>
      <c r="P3">
        <f>p_biological</f>
        <v>0.7</v>
      </c>
      <c r="Q3" s="4"/>
      <c r="R3" s="4"/>
    </row>
    <row r="4" spans="1:18" ht="15" customHeight="1">
      <c r="A4" s="6" t="s">
        <v>20</v>
      </c>
      <c r="B4" s="4">
        <f>VLOOKUP($A4,Globals!$J$30:$L$34,2,FALSE)</f>
        <v>316227766016.83789</v>
      </c>
      <c r="C4" s="4">
        <f>VLOOKUP($A4,Globals!$J$30:$L$34,3,FALSE)</f>
        <v>0.39015207303618948</v>
      </c>
      <c r="F4" s="6" t="s">
        <v>20</v>
      </c>
      <c r="G4">
        <f>VLOOKUP($F4,Globals!$N$30:$P$36,2,FALSE)</f>
        <v>316227766016.83789</v>
      </c>
      <c r="H4">
        <f>VLOOKUP($F4,Globals!$N$30:$P$36,3,FALSE)</f>
        <v>0.39015207303618948</v>
      </c>
      <c r="K4" t="s">
        <v>72</v>
      </c>
      <c r="L4" s="26">
        <f>G16</f>
        <v>4.7434164902525682E+34</v>
      </c>
      <c r="M4" s="26">
        <f>H16</f>
        <v>2.8310645112533264</v>
      </c>
      <c r="N4">
        <v>-1</v>
      </c>
      <c r="O4" t="s">
        <v>80</v>
      </c>
      <c r="P4">
        <f>p_biological*p_not_care_about_animals*p_factory_farming</f>
        <v>0.16799999999999998</v>
      </c>
      <c r="Q4" s="4"/>
      <c r="R4" s="4"/>
    </row>
    <row r="5" spans="1:18" ht="15" customHeight="1">
      <c r="A5" s="6" t="s">
        <v>19</v>
      </c>
      <c r="B5" s="4">
        <f>VLOOKUP($A5,Globals!$J$30:$L$34,2,FALSE)</f>
        <v>3.1622776601683796E+22</v>
      </c>
      <c r="C5" s="4">
        <f>VLOOKUP($A5,Globals!$J$30:$L$34,3,FALSE)</f>
        <v>1.9507603651809475</v>
      </c>
      <c r="K5" t="s">
        <v>74</v>
      </c>
      <c r="L5" s="26">
        <f>G22</f>
        <v>1.9999999999999997E+37</v>
      </c>
      <c r="M5" s="26">
        <f>H22</f>
        <v>3.5212165842895158</v>
      </c>
      <c r="N5">
        <v>-1</v>
      </c>
      <c r="O5" t="s">
        <v>92</v>
      </c>
      <c r="P5">
        <f>p_biological*p_not_care_about_animals*p_spread_was</f>
        <v>0.22399999999999998</v>
      </c>
      <c r="Q5" s="4"/>
      <c r="R5" s="4"/>
    </row>
    <row r="6" spans="1:18" ht="15" customHeight="1">
      <c r="A6" s="6" t="s">
        <v>46</v>
      </c>
      <c r="B6" s="4">
        <f>VLOOKUP($A6,Globals!$J$30:$L$34,2,FALSE)</f>
        <v>0.1</v>
      </c>
      <c r="C6" s="4">
        <f>VLOOKUP($A6,Globals!$J$30:$L$34,3,FALSE)</f>
        <v>0</v>
      </c>
      <c r="K6" t="s">
        <v>75</v>
      </c>
      <c r="L6" s="26">
        <f>G28</f>
        <v>6.324555320336757E+40</v>
      </c>
      <c r="M6" s="26">
        <f>H28</f>
        <v>4.0113686573257059</v>
      </c>
      <c r="N6">
        <v>-1</v>
      </c>
      <c r="O6" t="s">
        <v>93</v>
      </c>
      <c r="P6">
        <f>p_biological*p_not_care_about_animals*p_spread_was</f>
        <v>0.22399999999999998</v>
      </c>
      <c r="Q6" s="4"/>
      <c r="R6" s="4"/>
    </row>
    <row r="7" spans="1:18" ht="15" customHeight="1">
      <c r="F7" s="21" t="s">
        <v>58</v>
      </c>
      <c r="K7" t="s">
        <v>76</v>
      </c>
      <c r="L7" s="26">
        <f>G35</f>
        <v>1.9999999999999993E+39</v>
      </c>
      <c r="M7" s="26">
        <f>H35</f>
        <v>5.1818248764342734</v>
      </c>
      <c r="N7">
        <v>-1</v>
      </c>
      <c r="O7" t="s">
        <v>94</v>
      </c>
      <c r="P7">
        <f>p_biological*p_not_care_about_animals*p_suffering_simulations</f>
        <v>0.16799999999999998</v>
      </c>
      <c r="Q7" s="4"/>
      <c r="R7" s="4"/>
    </row>
    <row r="8" spans="1:18" ht="15" customHeight="1">
      <c r="F8" s="6" t="s">
        <v>21</v>
      </c>
      <c r="G8">
        <f>VLOOKUP($F8,Globals!$N$30:$P$36,2,FALSE)</f>
        <v>100000000000</v>
      </c>
      <c r="H8">
        <f>VLOOKUP($F8,Globals!$N$30:$P$36,3,FALSE)</f>
        <v>0.78030414607237897</v>
      </c>
      <c r="K8" t="s">
        <v>77</v>
      </c>
      <c r="L8" s="26">
        <f>B11</f>
        <v>3.1622776601683793E+48</v>
      </c>
      <c r="M8" s="26">
        <f>C11</f>
        <v>4.3113686573257057</v>
      </c>
      <c r="N8">
        <v>1</v>
      </c>
      <c r="O8" t="s">
        <v>95</v>
      </c>
      <c r="P8">
        <f>p_computronium*p_hedonium</f>
        <v>2.0000000000000004E-2</v>
      </c>
      <c r="Q8" s="4"/>
      <c r="R8" s="4"/>
    </row>
    <row r="9" spans="1:18" ht="15" customHeight="1">
      <c r="A9" s="21" t="s">
        <v>55</v>
      </c>
      <c r="F9" s="6" t="s">
        <v>42</v>
      </c>
      <c r="G9">
        <f>VLOOKUP($F9,Globals!$A$17:$E$24,4,FALSE)</f>
        <v>1</v>
      </c>
      <c r="H9">
        <f>VLOOKUP($F9,Globals!$A$17:$E$24,5,FALSE)</f>
        <v>0</v>
      </c>
      <c r="K9" t="s">
        <v>78</v>
      </c>
      <c r="L9" s="26">
        <f>B16</f>
        <v>3.1622776601683798E+44</v>
      </c>
      <c r="M9" s="26">
        <f>C16</f>
        <v>4.5113686573257059</v>
      </c>
      <c r="N9">
        <v>-1</v>
      </c>
      <c r="O9" t="s">
        <v>96</v>
      </c>
      <c r="P9">
        <f>p_computronium*p_paperclip</f>
        <v>7.5000000000000011E-2</v>
      </c>
      <c r="Q9" s="4"/>
      <c r="R9" s="4"/>
    </row>
    <row r="10" spans="1:18" ht="15" customHeight="1">
      <c r="A10" s="6" t="s">
        <v>47</v>
      </c>
      <c r="B10" s="4">
        <f>VLOOKUP($A10,Globals!$A$17:$E$24,4,FALSE)</f>
        <v>1000</v>
      </c>
      <c r="C10" s="4">
        <f>VLOOKUP($A10,Globals!$A$17:$E$24,5,FALSE)</f>
        <v>0.8</v>
      </c>
      <c r="F10" s="32" t="s">
        <v>60</v>
      </c>
      <c r="G10" s="26">
        <f>PRODUCT(G$3:G$4)*PRODUCT(G8:G9)</f>
        <v>3.1622776601683788E+34</v>
      </c>
      <c r="H10" s="26">
        <f>SUM(H$3:H$4)+SUM(H8:H9)</f>
        <v>2.7310645112533267</v>
      </c>
      <c r="K10" t="s">
        <v>79</v>
      </c>
      <c r="L10" s="26">
        <f>B21</f>
        <v>3.1622776601683793E+48</v>
      </c>
      <c r="M10" s="26">
        <f>C21</f>
        <v>4.3113686573257057</v>
      </c>
      <c r="N10">
        <v>-1</v>
      </c>
      <c r="O10" t="s">
        <v>97</v>
      </c>
      <c r="P10">
        <f>p_computronium*p_dolorium</f>
        <v>5.000000000000001E-3</v>
      </c>
      <c r="Q10" s="4"/>
      <c r="R10" s="4"/>
    </row>
    <row r="11" spans="1:18" ht="15" customHeight="1">
      <c r="A11" s="31" t="s">
        <v>60</v>
      </c>
      <c r="B11" s="26">
        <f>PRODUCT($B$3:$B$6)*B10</f>
        <v>3.1622776601683793E+48</v>
      </c>
      <c r="C11" s="26">
        <f>SUM(C$3:C$6)+C10</f>
        <v>4.3113686573257057</v>
      </c>
      <c r="K11" s="30" t="s">
        <v>137</v>
      </c>
      <c r="L11" s="5">
        <f>SUMPRODUCT(L3:L7,N3:N7,P3:P7)</f>
        <v>-1.4507469750550415E+40</v>
      </c>
      <c r="M11" s="5">
        <f>MAX(M3:M7)</f>
        <v>5.1818248764342734</v>
      </c>
      <c r="Q11" s="4"/>
      <c r="R11" s="4"/>
    </row>
    <row r="12" spans="1:18" ht="15" customHeight="1">
      <c r="B12" s="4"/>
      <c r="K12" s="30" t="s">
        <v>138</v>
      </c>
      <c r="L12" s="5">
        <f>SUMPRODUCT(L8:L10,N8:N10,P8:P10)</f>
        <v>4.7410447820074434E+46</v>
      </c>
      <c r="M12" s="5">
        <f>MAX(M8:M10)</f>
        <v>4.5113686573257059</v>
      </c>
      <c r="Q12" s="4"/>
      <c r="R12" s="4"/>
    </row>
    <row r="13" spans="1:18" ht="15" customHeight="1">
      <c r="F13" s="1" t="s">
        <v>61</v>
      </c>
      <c r="K13" s="33" t="s">
        <v>136</v>
      </c>
      <c r="L13" s="5">
        <f>SUMPRODUCT(L3:L10,P3:P10,N3:N10)</f>
        <v>4.7410433312604684E+46</v>
      </c>
      <c r="M13" s="5">
        <f>MAX(M3:M10)</f>
        <v>5.1818248764342734</v>
      </c>
      <c r="Q13" s="4"/>
      <c r="R13" s="4"/>
    </row>
    <row r="14" spans="1:18" ht="15" customHeight="1">
      <c r="A14" s="21" t="s">
        <v>56</v>
      </c>
      <c r="F14" t="s">
        <v>22</v>
      </c>
      <c r="G14">
        <f>VLOOKUP($F14,Globals!$N$30:$P$36,2,FALSE)</f>
        <v>100000000000</v>
      </c>
      <c r="H14">
        <f>VLOOKUP($F14,Globals!$N$30:$P$36,3,FALSE)</f>
        <v>0.78030414607237897</v>
      </c>
      <c r="M14" t="s">
        <v>243</v>
      </c>
    </row>
    <row r="15" spans="1:18" ht="15" customHeight="1">
      <c r="A15" s="6" t="s">
        <v>48</v>
      </c>
      <c r="B15" s="4">
        <f>VLOOKUP($A15,Globals!$A$17:$E$24,4,FALSE)</f>
        <v>0.1</v>
      </c>
      <c r="C15" s="4">
        <f>VLOOKUP($A15,Globals!$A$17:$E$24,5,FALSE)</f>
        <v>1</v>
      </c>
      <c r="F15" s="6" t="s">
        <v>43</v>
      </c>
      <c r="G15">
        <f>VLOOKUP($F15,Globals!$A$17:$E$24,4,FALSE)</f>
        <v>1.5</v>
      </c>
      <c r="H15">
        <f>VLOOKUP($F15,Globals!$A$17:$E$24,5,FALSE)</f>
        <v>0.1</v>
      </c>
    </row>
    <row r="16" spans="1:18" ht="15" customHeight="1">
      <c r="A16" s="31" t="s">
        <v>60</v>
      </c>
      <c r="B16" s="26">
        <f>PRODUCT($B$3:$B$6)*B15</f>
        <v>3.1622776601683798E+44</v>
      </c>
      <c r="C16" s="26">
        <f>SUM(C$3:C$6)+C15</f>
        <v>4.5113686573257059</v>
      </c>
      <c r="F16" s="32" t="s">
        <v>60</v>
      </c>
      <c r="G16" s="26">
        <f>PRODUCT(G$3:G$4)*PRODUCT(G14:G15)</f>
        <v>4.7434164902525682E+34</v>
      </c>
      <c r="H16" s="26">
        <f>SUM(H$3:H$4)+SUM(H14:H15)</f>
        <v>2.8310645112533264</v>
      </c>
      <c r="K16" t="s">
        <v>73</v>
      </c>
      <c r="L16">
        <f>_xlfn.NORM.INV(0.05,LOG10(L3),M3)</f>
        <v>30.007798633226514</v>
      </c>
      <c r="M16">
        <f>_xlfn.NORM.INV(0.95,LOG10(L3),M3)</f>
        <v>38.992201366773486</v>
      </c>
      <c r="N16">
        <f>10^L16</f>
        <v>1.0181192132372111E+30</v>
      </c>
      <c r="O16">
        <f>10^M16</f>
        <v>9.822032498732871E+38</v>
      </c>
      <c r="P16">
        <f>SQRT(M3)</f>
        <v>1.6525932685489575</v>
      </c>
    </row>
    <row r="17" spans="1:23" ht="15" customHeight="1">
      <c r="K17" t="s">
        <v>72</v>
      </c>
      <c r="L17">
        <f t="shared" ref="L17:L23" si="0">_xlfn.NORM.INV(0.05,LOG10(L4),M4)</f>
        <v>30.01940452958705</v>
      </c>
      <c r="M17">
        <f t="shared" ref="M17:M23" si="1">_xlfn.NORM.INV(0.95,LOG10(L4),M4)</f>
        <v>39.332777988524313</v>
      </c>
      <c r="N17">
        <f t="shared" ref="N17:O23" si="2">10^L17</f>
        <v>1.0456937916361456E+30</v>
      </c>
      <c r="O17">
        <f t="shared" si="2"/>
        <v>2.151681513265531E+39</v>
      </c>
    </row>
    <row r="18" spans="1:23" ht="15" customHeight="1">
      <c r="K18" t="s">
        <v>74</v>
      </c>
      <c r="L18">
        <f t="shared" si="0"/>
        <v>31.509144125713696</v>
      </c>
      <c r="M18">
        <f t="shared" si="1"/>
        <v>43.092915865614266</v>
      </c>
      <c r="N18">
        <f t="shared" si="2"/>
        <v>3.2295657131247585E+31</v>
      </c>
      <c r="O18">
        <f t="shared" si="2"/>
        <v>1.238556621945895E+43</v>
      </c>
    </row>
    <row r="19" spans="1:23" ht="15" customHeight="1">
      <c r="A19" s="21" t="s">
        <v>57</v>
      </c>
      <c r="F19" s="1" t="s">
        <v>63</v>
      </c>
      <c r="K19" t="s">
        <v>75</v>
      </c>
      <c r="L19">
        <f t="shared" si="0"/>
        <v>34.202915710622335</v>
      </c>
      <c r="M19">
        <f t="shared" si="1"/>
        <v>47.39914428070562</v>
      </c>
      <c r="N19">
        <f t="shared" si="2"/>
        <v>1.5955694435380676E+34</v>
      </c>
      <c r="O19">
        <f t="shared" si="2"/>
        <v>2.5069419674585016E+47</v>
      </c>
      <c r="S19" s="4"/>
      <c r="T19" s="4"/>
      <c r="U19" s="4"/>
      <c r="V19" s="4"/>
      <c r="W19" s="4"/>
    </row>
    <row r="20" spans="1:23" ht="15" customHeight="1">
      <c r="A20" s="6" t="s">
        <v>49</v>
      </c>
      <c r="B20" s="4">
        <f>VLOOKUP($A20,Globals!$A$17:$E$24,4,FALSE)</f>
        <v>1000</v>
      </c>
      <c r="C20" s="4">
        <f>VLOOKUP($A20,Globals!$A$17:$E$24,5,FALSE)</f>
        <v>0.8</v>
      </c>
      <c r="F20" t="s">
        <v>23</v>
      </c>
      <c r="G20">
        <f>VLOOKUP($F20,Globals!$N$30:$P$36,2,FALSE)</f>
        <v>316227766016837.94</v>
      </c>
      <c r="H20">
        <f>VLOOKUP($F20,Globals!$N$30:$P$36,3,FALSE)</f>
        <v>1.1704562191085683</v>
      </c>
      <c r="K20" t="s">
        <v>76</v>
      </c>
      <c r="L20">
        <f t="shared" si="0"/>
        <v>30.7776865534337</v>
      </c>
      <c r="M20">
        <f t="shared" si="1"/>
        <v>47.824373437894259</v>
      </c>
      <c r="N20">
        <f t="shared" si="2"/>
        <v>5.9935834078845098E+30</v>
      </c>
      <c r="O20">
        <f t="shared" si="2"/>
        <v>6.6738038461900442E+47</v>
      </c>
      <c r="S20" s="43"/>
      <c r="T20" s="4"/>
      <c r="U20" s="4"/>
      <c r="V20" s="4"/>
      <c r="W20" s="4"/>
    </row>
    <row r="21" spans="1:23" ht="15" customHeight="1">
      <c r="A21" s="31" t="s">
        <v>60</v>
      </c>
      <c r="B21" s="26">
        <f>PRODUCT($B$3:$B$6)*B20</f>
        <v>3.1622776601683793E+48</v>
      </c>
      <c r="C21" s="26">
        <f>SUM(C$3:C$6)+C20</f>
        <v>4.3113686573257057</v>
      </c>
      <c r="F21" s="6" t="s">
        <v>44</v>
      </c>
      <c r="G21">
        <f>VLOOKUP($F21,Globals!$A$17:$E$24,4,FALSE)</f>
        <v>0.2</v>
      </c>
      <c r="H21">
        <f>VLOOKUP($F21,Globals!$A$17:$E$24,5,FALSE)</f>
        <v>0.4</v>
      </c>
      <c r="K21" t="s">
        <v>77</v>
      </c>
      <c r="L21">
        <f t="shared" si="0"/>
        <v>41.408429626872909</v>
      </c>
      <c r="M21">
        <f t="shared" si="1"/>
        <v>55.591570373127084</v>
      </c>
      <c r="N21">
        <f t="shared" si="2"/>
        <v>2.5611182265746943E+41</v>
      </c>
      <c r="O21">
        <f t="shared" si="2"/>
        <v>3.9045444666465981E+55</v>
      </c>
      <c r="S21" s="16"/>
      <c r="T21" s="4"/>
      <c r="U21" s="4"/>
      <c r="V21" s="4"/>
      <c r="W21" s="4"/>
    </row>
    <row r="22" spans="1:23" ht="15" customHeight="1">
      <c r="F22" s="32" t="s">
        <v>60</v>
      </c>
      <c r="G22" s="26">
        <f>PRODUCT(G$3:G$4)*PRODUCT(G20:G21)</f>
        <v>1.9999999999999997E+37</v>
      </c>
      <c r="H22" s="26">
        <f>SUM(H$3:H$4)+SUM(H20:H21)</f>
        <v>3.5212165842895158</v>
      </c>
      <c r="K22" t="s">
        <v>78</v>
      </c>
      <c r="L22">
        <f t="shared" si="0"/>
        <v>37.079458901482617</v>
      </c>
      <c r="M22">
        <f t="shared" si="1"/>
        <v>51.920541098517376</v>
      </c>
      <c r="N22">
        <f t="shared" si="2"/>
        <v>1.2007674356130785E+37</v>
      </c>
      <c r="O22">
        <f t="shared" si="2"/>
        <v>8.3280073254937188E+51</v>
      </c>
      <c r="S22" s="16"/>
      <c r="T22" s="4"/>
      <c r="U22" s="4"/>
      <c r="V22" s="4"/>
      <c r="W22" s="4"/>
    </row>
    <row r="23" spans="1:23" ht="15" customHeight="1">
      <c r="B23" s="4"/>
      <c r="C23" s="4"/>
      <c r="K23" t="s">
        <v>79</v>
      </c>
      <c r="L23">
        <f t="shared" si="0"/>
        <v>41.408429626872909</v>
      </c>
      <c r="M23">
        <f t="shared" si="1"/>
        <v>55.591570373127084</v>
      </c>
      <c r="N23">
        <f t="shared" si="2"/>
        <v>2.5611182265746943E+41</v>
      </c>
      <c r="O23">
        <f t="shared" si="2"/>
        <v>3.9045444666465981E+55</v>
      </c>
      <c r="S23" s="16"/>
      <c r="T23" s="4"/>
      <c r="U23" s="4"/>
      <c r="V23" s="4"/>
      <c r="W23" s="4"/>
    </row>
    <row r="24" spans="1:23" ht="15" customHeight="1">
      <c r="B24" s="4"/>
      <c r="C24" s="4"/>
      <c r="S24" s="16"/>
      <c r="T24" s="4"/>
      <c r="U24" s="4"/>
      <c r="V24" s="4"/>
      <c r="W24" s="4"/>
    </row>
    <row r="25" spans="1:23" ht="15" customHeight="1">
      <c r="B25" s="4"/>
      <c r="C25" s="4"/>
      <c r="F25" s="1" t="s">
        <v>64</v>
      </c>
      <c r="S25" s="16"/>
      <c r="T25" s="4"/>
      <c r="U25" s="4"/>
      <c r="V25" s="4"/>
      <c r="W25" s="4"/>
    </row>
    <row r="26" spans="1:23" ht="15" customHeight="1">
      <c r="B26" s="4"/>
      <c r="C26" s="4"/>
      <c r="F26" t="s">
        <v>62</v>
      </c>
      <c r="G26">
        <f>VLOOKUP($F26,Globals!$N$30:$P$36,2,FALSE)</f>
        <v>1E+19</v>
      </c>
      <c r="H26">
        <f>VLOOKUP($F26,Globals!$N$30:$P$36,3,FALSE)</f>
        <v>1.5606082921447579</v>
      </c>
      <c r="S26" s="44"/>
      <c r="T26" s="4"/>
      <c r="U26" s="4"/>
      <c r="V26" s="4"/>
      <c r="W26" s="4"/>
    </row>
    <row r="27" spans="1:23" ht="15" customHeight="1">
      <c r="A27" s="16"/>
      <c r="B27" s="4"/>
      <c r="C27" s="4"/>
      <c r="F27" t="s">
        <v>45</v>
      </c>
      <c r="G27">
        <f>VLOOKUP($F27,Globals!$A$17:$E$24,4,FALSE)</f>
        <v>0.02</v>
      </c>
      <c r="H27">
        <f>VLOOKUP($F27,Globals!$A$17:$E$24,5,FALSE)</f>
        <v>0.5</v>
      </c>
      <c r="S27" s="4"/>
      <c r="T27" s="4"/>
      <c r="U27" s="4"/>
      <c r="V27" s="4"/>
      <c r="W27" s="4"/>
    </row>
    <row r="28" spans="1:23" ht="15" customHeight="1">
      <c r="F28" s="32" t="s">
        <v>60</v>
      </c>
      <c r="G28" s="26">
        <f>PRODUCT(G$3:G$4)*PRODUCT(G26:G27)</f>
        <v>6.324555320336757E+40</v>
      </c>
      <c r="H28" s="26">
        <f>SUM(H$3:H$4)+SUM(H26:H27)</f>
        <v>4.0113686573257059</v>
      </c>
      <c r="S28" s="4"/>
      <c r="T28" s="4"/>
      <c r="U28" s="4"/>
      <c r="V28" s="4"/>
      <c r="W28" s="4"/>
    </row>
    <row r="29" spans="1:23" ht="15" customHeight="1">
      <c r="S29" s="25"/>
      <c r="T29" s="4"/>
      <c r="U29" s="4"/>
      <c r="V29" s="4"/>
      <c r="W29" s="4"/>
    </row>
    <row r="30" spans="1:23" ht="15" customHeight="1">
      <c r="S30" s="4"/>
      <c r="T30" s="4"/>
      <c r="U30" s="4"/>
      <c r="V30" s="4"/>
      <c r="W30" s="4"/>
    </row>
    <row r="31" spans="1:23" ht="15" customHeight="1">
      <c r="A31" s="16"/>
      <c r="B31" s="4"/>
      <c r="C31" s="4"/>
      <c r="F31" s="1" t="s">
        <v>65</v>
      </c>
      <c r="S31" s="4"/>
      <c r="T31" s="4"/>
      <c r="U31" s="4"/>
      <c r="V31" s="4"/>
      <c r="W31" s="4"/>
    </row>
    <row r="32" spans="1:23" ht="15" customHeight="1">
      <c r="A32" s="16"/>
      <c r="B32" s="4"/>
      <c r="C32" s="4"/>
      <c r="F32" t="s">
        <v>62</v>
      </c>
      <c r="G32">
        <f>VLOOKUP($F32,Globals!$N$30:$P$36,2,FALSE)</f>
        <v>1E+19</v>
      </c>
      <c r="H32">
        <f>VLOOKUP($F32,Globals!$N$30:$P$36,3,FALSE)</f>
        <v>1.5606082921447579</v>
      </c>
      <c r="S32" s="4"/>
      <c r="T32" s="4"/>
      <c r="U32" s="4"/>
      <c r="V32" s="4"/>
      <c r="W32" s="4"/>
    </row>
    <row r="33" spans="1:23" ht="15" customHeight="1">
      <c r="A33" s="16"/>
      <c r="B33" s="4"/>
      <c r="C33" s="4"/>
      <c r="F33" t="s">
        <v>66</v>
      </c>
      <c r="G33">
        <f>VLOOKUP($F33,Globals!$N$30:$P$36,2,FALSE)</f>
        <v>3.1622776601683791E-2</v>
      </c>
      <c r="H33">
        <f>VLOOKUP($F33,Globals!$N$30:$P$36,3,FALSE)</f>
        <v>1.1704562191085683</v>
      </c>
      <c r="S33" s="4"/>
      <c r="T33" s="4"/>
      <c r="U33" s="4"/>
      <c r="V33" s="4"/>
      <c r="W33" s="4"/>
    </row>
    <row r="34" spans="1:23" ht="15" customHeight="1">
      <c r="A34" s="16"/>
      <c r="B34" s="4"/>
      <c r="C34" s="4"/>
      <c r="F34" t="s">
        <v>45</v>
      </c>
      <c r="G34">
        <f>VLOOKUP($F34,Globals!$A$17:$E$24,4,FALSE)</f>
        <v>0.02</v>
      </c>
      <c r="H34">
        <f>VLOOKUP($F34,Globals!$A$17:$E$24,5,FALSE)</f>
        <v>0.5</v>
      </c>
      <c r="S34" s="16"/>
      <c r="T34" s="4"/>
      <c r="U34" s="4"/>
      <c r="V34" s="4"/>
      <c r="W34" s="4"/>
    </row>
    <row r="35" spans="1:23" ht="15" customHeight="1">
      <c r="A35" s="16"/>
      <c r="B35" s="4"/>
      <c r="C35" s="4"/>
      <c r="F35" s="28" t="s">
        <v>60</v>
      </c>
      <c r="G35" s="26">
        <f>PRODUCT(G$3:G$4)*PRODUCT(G32:G34)</f>
        <v>1.9999999999999993E+39</v>
      </c>
      <c r="H35" s="26">
        <f>SUM(H$3:H$4)+SUM(H32:H34)</f>
        <v>5.1818248764342734</v>
      </c>
      <c r="S35" s="16"/>
      <c r="T35" s="4"/>
      <c r="U35" s="4"/>
      <c r="V35" s="4"/>
      <c r="W35" s="4"/>
    </row>
    <row r="36" spans="1:23" ht="15" customHeight="1">
      <c r="A36" s="16"/>
      <c r="B36" s="4"/>
      <c r="C36" s="4"/>
      <c r="S36" s="4"/>
      <c r="T36" s="4"/>
      <c r="U36" s="4"/>
      <c r="V36" s="4"/>
      <c r="W36" s="4"/>
    </row>
    <row r="37" spans="1:23" ht="15" customHeight="1">
      <c r="A37" s="16"/>
      <c r="B37" s="4"/>
      <c r="C37" s="4"/>
      <c r="S37" s="4"/>
      <c r="T37" s="4"/>
      <c r="U37" s="4"/>
      <c r="V37" s="4"/>
      <c r="W37" s="4"/>
    </row>
    <row r="38" spans="1:23" ht="15" customHeight="1">
      <c r="S38" s="25"/>
      <c r="T38" s="4"/>
      <c r="U38" s="4"/>
      <c r="V38" s="4"/>
      <c r="W38" s="4"/>
    </row>
    <row r="39" spans="1:23" ht="15" customHeight="1">
      <c r="S39" s="4"/>
      <c r="T39" s="4"/>
      <c r="U39" s="4"/>
      <c r="V39" s="4"/>
      <c r="W39" s="4"/>
    </row>
    <row r="40" spans="1:23" ht="15" customHeight="1">
      <c r="S40" s="4"/>
      <c r="T40" s="4"/>
      <c r="U40" s="4"/>
      <c r="V40" s="4"/>
      <c r="W40" s="4"/>
    </row>
    <row r="41" spans="1:23" ht="15" customHeight="1">
      <c r="S41" s="4"/>
      <c r="T41" s="4"/>
      <c r="U41" s="4"/>
      <c r="V41" s="4"/>
      <c r="W41" s="4"/>
    </row>
    <row r="42" spans="1:23" ht="15" customHeight="1">
      <c r="S42" s="4"/>
      <c r="T42" s="4"/>
      <c r="U42" s="4"/>
      <c r="V42" s="4"/>
      <c r="W42" s="4"/>
    </row>
    <row r="43" spans="1:23" ht="15" customHeight="1">
      <c r="S43" s="16"/>
      <c r="T43" s="4"/>
      <c r="U43" s="4"/>
      <c r="V43" s="4"/>
      <c r="W43" s="4"/>
    </row>
    <row r="44" spans="1:23" ht="15" customHeight="1">
      <c r="S44" s="16"/>
      <c r="T44" s="4"/>
      <c r="U44" s="4"/>
      <c r="V44" s="4"/>
      <c r="W44" s="4"/>
    </row>
    <row r="45" spans="1:23" ht="15" customHeight="1">
      <c r="S45" s="4"/>
      <c r="T45" s="4"/>
      <c r="U45" s="4"/>
      <c r="V45" s="4"/>
      <c r="W45" s="4"/>
    </row>
    <row r="46" spans="1:23" ht="15" customHeight="1">
      <c r="S46" s="4"/>
      <c r="T46" s="4"/>
      <c r="U46" s="4"/>
      <c r="V46" s="4"/>
      <c r="W46" s="4"/>
    </row>
    <row r="47" spans="1:23" ht="15" customHeight="1">
      <c r="S47" s="25"/>
      <c r="T47" s="4"/>
      <c r="U47" s="4"/>
      <c r="V47" s="4"/>
      <c r="W47" s="4"/>
    </row>
    <row r="48" spans="1:23" ht="15" customHeight="1">
      <c r="S48" s="4"/>
      <c r="T48" s="4"/>
      <c r="U48" s="4"/>
      <c r="V48" s="4"/>
      <c r="W48" s="4"/>
    </row>
    <row r="49" spans="19:23" ht="15" customHeight="1">
      <c r="S49" s="4"/>
      <c r="T49" s="4"/>
      <c r="U49" s="4"/>
      <c r="V49" s="4"/>
      <c r="W49" s="4"/>
    </row>
    <row r="50" spans="19:23" ht="15" customHeight="1">
      <c r="S50" s="4"/>
      <c r="T50" s="4"/>
      <c r="U50" s="4"/>
      <c r="V50" s="4"/>
      <c r="W50" s="4"/>
    </row>
    <row r="51" spans="19:23" ht="15" customHeight="1">
      <c r="S51" s="4"/>
      <c r="T51" s="4"/>
      <c r="U51" s="4"/>
      <c r="V51" s="4"/>
      <c r="W51" s="4"/>
    </row>
    <row r="52" spans="19:23" ht="15" customHeight="1">
      <c r="S52" s="16"/>
      <c r="T52" s="4"/>
      <c r="U52" s="4"/>
      <c r="V52" s="4"/>
      <c r="W52" s="4"/>
    </row>
    <row r="53" spans="19:23" ht="15" customHeight="1">
      <c r="S53" s="16"/>
      <c r="T53" s="4"/>
      <c r="U53" s="4"/>
      <c r="V53" s="4"/>
      <c r="W53" s="4"/>
    </row>
    <row r="54" spans="19:23" ht="15" customHeight="1">
      <c r="S54" s="4"/>
      <c r="T54" s="4"/>
      <c r="U54" s="4"/>
      <c r="V54" s="4"/>
      <c r="W54" s="4"/>
    </row>
    <row r="55" spans="19:23" ht="15" customHeight="1">
      <c r="S55" s="4"/>
      <c r="T55" s="4"/>
      <c r="U55" s="4"/>
      <c r="V55" s="4"/>
      <c r="W55" s="4"/>
    </row>
    <row r="56" spans="19:23" ht="15" customHeight="1">
      <c r="S56" s="25"/>
      <c r="T56" s="4"/>
      <c r="U56" s="4"/>
      <c r="V56" s="4"/>
      <c r="W56" s="4"/>
    </row>
    <row r="57" spans="19:23" ht="15" customHeight="1">
      <c r="S57" s="4"/>
      <c r="T57" s="4"/>
      <c r="U57" s="4"/>
      <c r="V57" s="4"/>
      <c r="W57" s="4"/>
    </row>
    <row r="58" spans="19:23" ht="15" customHeight="1">
      <c r="S58" s="4"/>
      <c r="T58" s="4"/>
      <c r="U58" s="4"/>
      <c r="V58" s="4"/>
      <c r="W58" s="4"/>
    </row>
    <row r="59" spans="19:23" ht="15" customHeight="1">
      <c r="S59" s="4"/>
      <c r="T59" s="4"/>
      <c r="U59" s="4"/>
      <c r="V59" s="4"/>
      <c r="W59" s="4"/>
    </row>
    <row r="60" spans="19:23" ht="15" customHeight="1">
      <c r="S60" s="4"/>
      <c r="T60" s="4"/>
      <c r="U60" s="4"/>
      <c r="V60" s="4"/>
      <c r="W60" s="4"/>
    </row>
    <row r="61" spans="19:23" ht="15" customHeight="1">
      <c r="S61" s="4"/>
      <c r="T61" s="4"/>
      <c r="U61" s="4"/>
      <c r="V61" s="4"/>
      <c r="W61" s="4"/>
    </row>
    <row r="62" spans="19:23" ht="15" customHeight="1">
      <c r="S62" s="4"/>
      <c r="T62" s="4"/>
      <c r="U62" s="4"/>
      <c r="V62" s="4"/>
      <c r="W62" s="4"/>
    </row>
    <row r="63" spans="19:23" ht="15" customHeight="1">
      <c r="S63" s="16"/>
      <c r="T63" s="4"/>
      <c r="U63" s="4"/>
      <c r="V63" s="4"/>
      <c r="W63" s="4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P27"/>
  <sheetViews>
    <sheetView workbookViewId="0">
      <selection activeCell="F54" sqref="F54"/>
    </sheetView>
  </sheetViews>
  <sheetFormatPr baseColWidth="10" defaultRowHeight="15" x14ac:dyDescent="0"/>
  <cols>
    <col min="1" max="1" width="21.6640625" customWidth="1"/>
    <col min="2" max="2" width="12.1640625" bestFit="1" customWidth="1"/>
    <col min="5" max="5" width="10.83203125" customWidth="1"/>
    <col min="6" max="6" width="21.6640625" customWidth="1"/>
    <col min="7" max="7" width="12.83203125" bestFit="1" customWidth="1"/>
    <col min="11" max="11" width="12.83203125" bestFit="1" customWidth="1"/>
  </cols>
  <sheetData>
    <row r="1" spans="1:16" ht="20">
      <c r="A1" s="7" t="s">
        <v>167</v>
      </c>
      <c r="F1" s="1" t="s">
        <v>81</v>
      </c>
    </row>
    <row r="2" spans="1:16">
      <c r="B2" t="s">
        <v>0</v>
      </c>
      <c r="C2" t="s">
        <v>1</v>
      </c>
      <c r="G2" t="s">
        <v>2</v>
      </c>
      <c r="H2" t="s">
        <v>34</v>
      </c>
      <c r="I2" t="s">
        <v>109</v>
      </c>
    </row>
    <row r="3" spans="1:16">
      <c r="A3" s="29" t="s">
        <v>122</v>
      </c>
      <c r="B3" s="27">
        <v>50000000000</v>
      </c>
      <c r="C3" s="27">
        <v>1000000000000</v>
      </c>
      <c r="D3" t="s">
        <v>201</v>
      </c>
      <c r="G3">
        <v>1</v>
      </c>
      <c r="H3">
        <f>I3^2</f>
        <v>6.25E-2</v>
      </c>
      <c r="I3">
        <v>0.25</v>
      </c>
    </row>
    <row r="4" spans="1:16">
      <c r="A4" s="4" t="s">
        <v>112</v>
      </c>
      <c r="B4" s="19">
        <f>1000/C3*interest_rate</f>
        <v>5.0000000000000008E-11</v>
      </c>
      <c r="C4" s="19">
        <f>1000/B3*interest_rate</f>
        <v>1.0000000000000001E-9</v>
      </c>
      <c r="F4" s="34" t="s">
        <v>99</v>
      </c>
      <c r="G4" s="35">
        <f>ParetoPosterior(median,alpha,G3:H3)</f>
        <v>0.99999999999999978</v>
      </c>
      <c r="H4" s="4"/>
    </row>
    <row r="5" spans="1:16">
      <c r="A5" s="29" t="s">
        <v>116</v>
      </c>
      <c r="B5" s="15">
        <v>0.1</v>
      </c>
      <c r="C5" s="15">
        <v>0.5</v>
      </c>
      <c r="F5" s="34" t="s">
        <v>110</v>
      </c>
      <c r="G5" s="35">
        <f>LognormPosterior(mu_global_poverty,sigma_global_poverty,G3:H3)</f>
        <v>0.99212027722732632</v>
      </c>
      <c r="H5" s="4"/>
    </row>
    <row r="6" spans="1:16">
      <c r="A6" s="29" t="s">
        <v>117</v>
      </c>
      <c r="B6" s="15">
        <v>1.7999999999999999E-2</v>
      </c>
      <c r="C6" s="15">
        <v>0.18</v>
      </c>
    </row>
    <row r="7" spans="1:16">
      <c r="A7" s="29" t="s">
        <v>118</v>
      </c>
      <c r="B7" s="15">
        <v>0.02</v>
      </c>
      <c r="C7" s="15">
        <v>0.2</v>
      </c>
    </row>
    <row r="8" spans="1:16">
      <c r="F8" s="1" t="s">
        <v>111</v>
      </c>
    </row>
    <row r="9" spans="1:16">
      <c r="G9" t="s">
        <v>2</v>
      </c>
      <c r="H9" t="s">
        <v>34</v>
      </c>
      <c r="J9" s="1" t="s">
        <v>143</v>
      </c>
      <c r="K9" t="s">
        <v>2</v>
      </c>
      <c r="L9" t="s">
        <v>34</v>
      </c>
      <c r="N9" s="1" t="s">
        <v>155</v>
      </c>
    </row>
    <row r="10" spans="1:16">
      <c r="F10" t="s">
        <v>116</v>
      </c>
      <c r="G10">
        <f>GEOMEAN($B$5,$C$5)</f>
        <v>0.22360679774997896</v>
      </c>
      <c r="H10">
        <f>LogVariance($B$5,$C$5)</f>
        <v>0.27270459618181209</v>
      </c>
      <c r="J10" t="s">
        <v>137</v>
      </c>
      <c r="K10">
        <f>VLOOKUP(J10,'EV of Far Future'!$K$11:$M$13,2,FALSE)</f>
        <v>-1.4507469750550415E+40</v>
      </c>
      <c r="L10">
        <f>VLOOKUP(J10,'EV of Far Future'!$K$11:$M$13,3,FALSE)</f>
        <v>5.1818248764342734</v>
      </c>
      <c r="N10" t="s">
        <v>138</v>
      </c>
      <c r="O10">
        <f>VLOOKUP(N10,'EV of Far Future'!$K$11:$M$13,2,FALSE)</f>
        <v>4.7410447820074434E+46</v>
      </c>
      <c r="P10">
        <f>VLOOKUP(N10,'EV of Far Future'!$K$11:$M$13,3,FALSE)</f>
        <v>4.5113686573257059</v>
      </c>
    </row>
    <row r="11" spans="1:16">
      <c r="F11" s="4" t="s">
        <v>117</v>
      </c>
      <c r="G11">
        <f>GEOMEAN($B$6,$C$6)</f>
        <v>5.6920997883030823E-2</v>
      </c>
      <c r="H11">
        <f>LogVariance($B$6,$C$6)</f>
        <v>0.39015207303618948</v>
      </c>
      <c r="J11" t="s">
        <v>154</v>
      </c>
      <c r="K11">
        <f>ABS(PRODUCT($G$10:$G$12)*K10)</f>
        <v>4.12889827479607E+28</v>
      </c>
      <c r="L11">
        <f>SUM($H$10:$H$12)+L10</f>
        <v>6.3522810955428417</v>
      </c>
      <c r="N11" t="s">
        <v>154</v>
      </c>
      <c r="O11">
        <f>ABS(PRODUCT($G$10:$G$12)*O10)</f>
        <v>1.3493250000000001E+35</v>
      </c>
      <c r="P11">
        <f>SUM($H$10:$H$12)+P10</f>
        <v>5.6818248764342743</v>
      </c>
    </row>
    <row r="12" spans="1:16" ht="20">
      <c r="A12" s="7" t="s">
        <v>67</v>
      </c>
      <c r="F12" t="s">
        <v>112</v>
      </c>
      <c r="G12">
        <f>GEOMEAN($B$4,$C$4)</f>
        <v>2.2360679774997899E-10</v>
      </c>
      <c r="H12">
        <f>LogVariance($B$4,$C$4)</f>
        <v>0.50759954989056688</v>
      </c>
      <c r="J12" s="34" t="s">
        <v>99</v>
      </c>
      <c r="K12" s="35"/>
      <c r="N12" s="34" t="s">
        <v>99</v>
      </c>
      <c r="O12" s="35"/>
    </row>
    <row r="13" spans="1:16">
      <c r="A13" s="1" t="s">
        <v>156</v>
      </c>
      <c r="F13" t="s">
        <v>136</v>
      </c>
      <c r="G13">
        <f>VLOOKUP(F13,'EV of Far Future'!$K$11:$M$13,2,FALSE)</f>
        <v>4.7410433312604684E+46</v>
      </c>
      <c r="H13">
        <f>VLOOKUP(F13,'EV of Far Future'!$K$11:$M$13,3,FALSE)</f>
        <v>5.1818248764342734</v>
      </c>
      <c r="J13" s="34" t="s">
        <v>110</v>
      </c>
      <c r="K13" s="35"/>
      <c r="N13" s="34" t="s">
        <v>110</v>
      </c>
      <c r="O13" s="35"/>
    </row>
    <row r="14" spans="1:16">
      <c r="A14" s="30" t="s">
        <v>107</v>
      </c>
      <c r="B14" s="5">
        <f>G15-G26+G4</f>
        <v>0.99999999999999978</v>
      </c>
      <c r="F14" s="28" t="s">
        <v>60</v>
      </c>
      <c r="G14" s="26">
        <f>PRODUCT(G10:G13)</f>
        <v>1.3493245871101728E+35</v>
      </c>
      <c r="H14" s="26">
        <f>SUM(H10:H13)</f>
        <v>6.3522810955428417</v>
      </c>
    </row>
    <row r="15" spans="1:16">
      <c r="A15" s="30" t="s">
        <v>108</v>
      </c>
      <c r="B15" s="5">
        <f>G16-G27+G5</f>
        <v>0.99212027722732632</v>
      </c>
      <c r="F15" s="34" t="s">
        <v>99</v>
      </c>
      <c r="G15" s="35"/>
    </row>
    <row r="16" spans="1:16">
      <c r="F16" s="34" t="s">
        <v>110</v>
      </c>
      <c r="G16" s="35"/>
    </row>
    <row r="18" spans="1:16">
      <c r="A18" s="1" t="s">
        <v>157</v>
      </c>
    </row>
    <row r="19" spans="1:16">
      <c r="A19" s="30" t="s">
        <v>107</v>
      </c>
      <c r="B19" s="5">
        <f>(O12-K12)-(O23-K23)+G4</f>
        <v>0.99999999999999978</v>
      </c>
      <c r="F19" s="1" t="s">
        <v>119</v>
      </c>
    </row>
    <row r="20" spans="1:16">
      <c r="A20" s="30" t="s">
        <v>108</v>
      </c>
      <c r="B20" s="5">
        <f>(O13-K13)-(O24-K24)+G5</f>
        <v>0.99212027722732632</v>
      </c>
      <c r="G20" t="s">
        <v>2</v>
      </c>
      <c r="H20" t="s">
        <v>34</v>
      </c>
      <c r="J20" s="1" t="s">
        <v>143</v>
      </c>
      <c r="K20" t="s">
        <v>2</v>
      </c>
      <c r="L20" t="s">
        <v>34</v>
      </c>
      <c r="N20" s="1" t="s">
        <v>155</v>
      </c>
    </row>
    <row r="21" spans="1:16">
      <c r="F21" t="s">
        <v>116</v>
      </c>
      <c r="G21">
        <f>GEOMEAN($B$5,$C$5)</f>
        <v>0.22360679774997896</v>
      </c>
      <c r="H21">
        <f>LogVariance($B$5,$C$5)</f>
        <v>0.27270459618181209</v>
      </c>
      <c r="J21" t="s">
        <v>137</v>
      </c>
      <c r="K21">
        <f>VLOOKUP(J21,'EV of Far Future'!$K$11:$M$13,2,FALSE)</f>
        <v>-1.4507469750550415E+40</v>
      </c>
      <c r="L21">
        <f>VLOOKUP(J21,'EV of Far Future'!$K$11:$M$13,3,FALSE)</f>
        <v>5.1818248764342734</v>
      </c>
      <c r="N21" t="s">
        <v>138</v>
      </c>
      <c r="O21">
        <f>VLOOKUP(N21,'EV of Far Future'!$K$11:$M$13,2,FALSE)</f>
        <v>4.7410447820074434E+46</v>
      </c>
      <c r="P21">
        <f>VLOOKUP(N21,'EV of Far Future'!$K$11:$M$13,3,FALSE)</f>
        <v>4.5113686573257059</v>
      </c>
    </row>
    <row r="22" spans="1:16">
      <c r="F22" s="4" t="s">
        <v>118</v>
      </c>
      <c r="G22">
        <f>GEOMEAN($B$7,$C$7)</f>
        <v>6.3245553203367583E-2</v>
      </c>
      <c r="H22">
        <f>LogVariance($B$7,$C$7)</f>
        <v>0.39015207303618948</v>
      </c>
      <c r="J22" t="s">
        <v>154</v>
      </c>
      <c r="K22">
        <f>ABS(PRODUCT($G$10:$G$12)*K21)</f>
        <v>4.12889827479607E+28</v>
      </c>
      <c r="L22">
        <f>SUM($H$21:$H$23)+L21</f>
        <v>6.3522810955428417</v>
      </c>
      <c r="N22" t="s">
        <v>154</v>
      </c>
      <c r="O22">
        <f>ABS(PRODUCT($G$10:$G$12)*O21)</f>
        <v>1.3493250000000001E+35</v>
      </c>
      <c r="P22">
        <f>SUM($H$21:$H$23)+P21</f>
        <v>5.6818248764342743</v>
      </c>
    </row>
    <row r="23" spans="1:16">
      <c r="A23" s="1" t="s">
        <v>205</v>
      </c>
      <c r="F23" t="s">
        <v>112</v>
      </c>
      <c r="G23">
        <f>GEOMEAN($B$4,$C$4)</f>
        <v>2.2360679774997899E-10</v>
      </c>
      <c r="H23">
        <f>LogVariance($B$4,$C$4)</f>
        <v>0.50759954989056688</v>
      </c>
      <c r="J23" s="34" t="s">
        <v>99</v>
      </c>
      <c r="K23" s="35"/>
      <c r="N23" s="34" t="s">
        <v>99</v>
      </c>
      <c r="O23" s="35"/>
    </row>
    <row r="24" spans="1:16">
      <c r="A24" t="s">
        <v>206</v>
      </c>
      <c r="F24" t="s">
        <v>136</v>
      </c>
      <c r="G24">
        <f>VLOOKUP(F24,'EV of Far Future'!$K$11:$M$13,2,FALSE)</f>
        <v>4.7410433312604684E+46</v>
      </c>
      <c r="H24">
        <f>VLOOKUP(F24,'EV of Far Future'!$K$11:$M$13,3,FALSE)</f>
        <v>5.1818248764342734</v>
      </c>
      <c r="J24" s="34" t="s">
        <v>110</v>
      </c>
      <c r="K24" s="35"/>
      <c r="N24" s="34" t="s">
        <v>110</v>
      </c>
      <c r="O24" s="35"/>
    </row>
    <row r="25" spans="1:16">
      <c r="F25" s="28" t="s">
        <v>60</v>
      </c>
      <c r="G25" s="26">
        <f>PRODUCT(G21:G24)</f>
        <v>1.4992495412335253E+35</v>
      </c>
      <c r="H25" s="26">
        <f>SUM(H21:H24)</f>
        <v>6.3522810955428417</v>
      </c>
    </row>
    <row r="26" spans="1:16">
      <c r="F26" s="34" t="s">
        <v>99</v>
      </c>
      <c r="G26" s="35"/>
    </row>
    <row r="27" spans="1:16">
      <c r="F27" s="34" t="s">
        <v>110</v>
      </c>
      <c r="G27" s="3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N56"/>
  <sheetViews>
    <sheetView tabSelected="1" workbookViewId="0">
      <selection activeCell="H8" sqref="H8"/>
    </sheetView>
  </sheetViews>
  <sheetFormatPr baseColWidth="10" defaultRowHeight="15" x14ac:dyDescent="0"/>
  <cols>
    <col min="1" max="1" width="21.6640625" customWidth="1"/>
    <col min="2" max="4" width="10.83203125" customWidth="1"/>
    <col min="6" max="6" width="10.83203125" customWidth="1"/>
    <col min="7" max="7" width="12.1640625" bestFit="1" customWidth="1"/>
    <col min="13" max="13" width="12.1640625" bestFit="1" customWidth="1"/>
  </cols>
  <sheetData>
    <row r="1" spans="1:14" ht="20">
      <c r="A1" s="7" t="s">
        <v>167</v>
      </c>
      <c r="G1" s="1" t="s">
        <v>81</v>
      </c>
      <c r="L1" s="25" t="s">
        <v>82</v>
      </c>
    </row>
    <row r="2" spans="1:14">
      <c r="B2" t="s">
        <v>0</v>
      </c>
      <c r="C2" t="s">
        <v>1</v>
      </c>
      <c r="D2" t="s">
        <v>2</v>
      </c>
      <c r="E2" t="s">
        <v>34</v>
      </c>
      <c r="H2" s="4" t="s">
        <v>2</v>
      </c>
      <c r="I2" s="4" t="s">
        <v>3</v>
      </c>
      <c r="M2" t="s">
        <v>2</v>
      </c>
      <c r="N2" t="s">
        <v>34</v>
      </c>
    </row>
    <row r="3" spans="1:14">
      <c r="A3" s="29" t="s">
        <v>160</v>
      </c>
      <c r="B3" s="15">
        <v>0.7</v>
      </c>
      <c r="C3" s="27">
        <v>13</v>
      </c>
      <c r="F3" s="8" t="s">
        <v>165</v>
      </c>
      <c r="G3" t="s">
        <v>86</v>
      </c>
      <c r="H3">
        <f>D5</f>
        <v>3016.620625799671</v>
      </c>
      <c r="I3">
        <f>E5</f>
        <v>0.49504262895320128</v>
      </c>
      <c r="L3" s="4" t="s">
        <v>80</v>
      </c>
      <c r="M3">
        <f>VLOOKUP($L3,'EV of Far Future'!$O$3:$P$10,2,FALSE)</f>
        <v>0.16799999999999998</v>
      </c>
      <c r="N3">
        <v>0</v>
      </c>
    </row>
    <row r="4" spans="1:14">
      <c r="A4" s="29" t="s">
        <v>161</v>
      </c>
      <c r="B4" s="15">
        <v>3</v>
      </c>
      <c r="C4" s="27">
        <v>4</v>
      </c>
      <c r="D4">
        <f>GEOMEAN(B4,C4)</f>
        <v>3.4641016151377548</v>
      </c>
      <c r="E4">
        <f>LogVariance(B4,C4)</f>
        <v>4.8745107090250664E-2</v>
      </c>
      <c r="G4" t="s">
        <v>43</v>
      </c>
      <c r="H4">
        <f>VLOOKUP($G4,Globals!A17:E24,4,FALSE)</f>
        <v>1.5</v>
      </c>
      <c r="I4">
        <f>VLOOKUP($G4,Globals!A17:E24,5,FALSE)</f>
        <v>0.1</v>
      </c>
      <c r="L4" s="4" t="s">
        <v>88</v>
      </c>
      <c r="M4">
        <v>1</v>
      </c>
      <c r="N4">
        <v>0</v>
      </c>
    </row>
    <row r="5" spans="1:14">
      <c r="A5" t="s">
        <v>86</v>
      </c>
      <c r="B5">
        <f>B3*1000</f>
        <v>700</v>
      </c>
      <c r="C5">
        <f>C3*1000</f>
        <v>13000</v>
      </c>
      <c r="D5">
        <f>GEOMEAN(B5,C5)</f>
        <v>3016.620625799671</v>
      </c>
      <c r="E5">
        <f>LogVariance(B5,C5)</f>
        <v>0.49504262895320128</v>
      </c>
      <c r="G5" s="28" t="s">
        <v>60</v>
      </c>
      <c r="H5" s="26">
        <f>PRODUCT(H3:H4)</f>
        <v>4524.9309386995064</v>
      </c>
      <c r="I5" s="26">
        <f>SUM(I3:I4)</f>
        <v>0.59504262895320126</v>
      </c>
      <c r="L5" s="4" t="s">
        <v>72</v>
      </c>
      <c r="M5">
        <f>VLOOKUP($L5,'EV of Far Future'!$K$3:$N$10,2,FALSE)</f>
        <v>4.7434164902525682E+34</v>
      </c>
      <c r="N5">
        <f>VLOOKUP($L5,'EV of Far Future'!$K$3:$N$10,3,FALSE)</f>
        <v>2.8310645112533264</v>
      </c>
    </row>
    <row r="6" spans="1:14">
      <c r="A6" t="s">
        <v>85</v>
      </c>
      <c r="D6">
        <f>PRODUCT(D4:D5)</f>
        <v>10449.880382090505</v>
      </c>
      <c r="E6">
        <f>SUM(E4:E5)</f>
        <v>0.54378773604345199</v>
      </c>
      <c r="G6" s="34" t="s">
        <v>99</v>
      </c>
      <c r="H6" s="35">
        <f>ParetoPosterior(median,alpha,H5:I5)</f>
        <v>61.184929894216673</v>
      </c>
      <c r="L6" s="4" t="s">
        <v>84</v>
      </c>
      <c r="M6">
        <f>1/factory_farmed_animals</f>
        <v>5.0000000000000002E-11</v>
      </c>
      <c r="N6">
        <v>0</v>
      </c>
    </row>
    <row r="7" spans="1:14">
      <c r="A7" s="29" t="s">
        <v>132</v>
      </c>
      <c r="B7" s="15">
        <v>0.01</v>
      </c>
      <c r="C7" s="15">
        <v>0.01</v>
      </c>
      <c r="D7">
        <f>GEOMEAN(B7,C7)</f>
        <v>0.01</v>
      </c>
      <c r="E7">
        <f>LogVariance(B7,C7)</f>
        <v>0</v>
      </c>
      <c r="F7" t="s">
        <v>133</v>
      </c>
      <c r="G7" s="34" t="s">
        <v>87</v>
      </c>
      <c r="H7" s="36">
        <f>LognormPosterior(mu_factory_farming,sigma_factory_farming,H5:I5)</f>
        <v>0.10128287559268154</v>
      </c>
      <c r="I7" t="s">
        <v>244</v>
      </c>
      <c r="L7" s="4" t="s">
        <v>121</v>
      </c>
      <c r="M7">
        <f>$D$8</f>
        <v>626.99282292543035</v>
      </c>
      <c r="N7">
        <f>$E$8</f>
        <v>0.54378773604345199</v>
      </c>
    </row>
    <row r="8" spans="1:14">
      <c r="A8" t="s">
        <v>121</v>
      </c>
      <c r="D8">
        <f>D6*(interest_rate+D7)</f>
        <v>626.99282292543035</v>
      </c>
      <c r="E8">
        <f>E6+E7</f>
        <v>0.54378773604345199</v>
      </c>
      <c r="H8" s="39"/>
      <c r="L8" s="28" t="s">
        <v>60</v>
      </c>
      <c r="M8" s="26">
        <f>PRODUCT(M3:M7)</f>
        <v>2.4982340002489752E+26</v>
      </c>
      <c r="N8" s="26">
        <f>SUM(N3:N7)</f>
        <v>3.3748522472967784</v>
      </c>
    </row>
    <row r="9" spans="1:14">
      <c r="H9" s="3"/>
      <c r="L9" s="34" t="s">
        <v>99</v>
      </c>
      <c r="M9" s="35">
        <f>ParetoPosterior(median,alpha,M8:N8)</f>
        <v>551196598527138.81</v>
      </c>
    </row>
    <row r="10" spans="1:14">
      <c r="L10" s="34" t="s">
        <v>87</v>
      </c>
      <c r="M10" s="36" t="e">
        <f>LognormPosterior(mu_factory_farming,sigma_factory_farming,M8:N8)</f>
        <v>#VALUE!</v>
      </c>
      <c r="N10" s="39" t="s">
        <v>245</v>
      </c>
    </row>
    <row r="11" spans="1:14" ht="20">
      <c r="A11" s="7" t="s">
        <v>67</v>
      </c>
      <c r="M11" s="40"/>
    </row>
    <row r="12" spans="1:14">
      <c r="A12" s="1" t="s">
        <v>153</v>
      </c>
      <c r="B12" t="s">
        <v>2</v>
      </c>
      <c r="C12" t="s">
        <v>34</v>
      </c>
      <c r="M12" s="3"/>
    </row>
    <row r="13" spans="1:14">
      <c r="A13" t="s">
        <v>237</v>
      </c>
      <c r="B13">
        <f>H5</f>
        <v>4524.9309386995064</v>
      </c>
      <c r="C13">
        <f>I5</f>
        <v>0.59504262895320126</v>
      </c>
      <c r="G13" s="1" t="s">
        <v>90</v>
      </c>
      <c r="L13" s="1" t="s">
        <v>104</v>
      </c>
      <c r="N13" s="4"/>
    </row>
    <row r="14" spans="1:14">
      <c r="B14">
        <f>M8</f>
        <v>2.4982340002489752E+26</v>
      </c>
      <c r="C14">
        <f>N8</f>
        <v>3.3748522472967784</v>
      </c>
      <c r="H14" t="s">
        <v>2</v>
      </c>
      <c r="I14" t="s">
        <v>34</v>
      </c>
      <c r="L14" s="4"/>
      <c r="M14" s="4" t="s">
        <v>2</v>
      </c>
      <c r="N14" s="4" t="s">
        <v>34</v>
      </c>
    </row>
    <row r="15" spans="1:14">
      <c r="B15">
        <f>H20</f>
        <v>1.4044639233529639E+28</v>
      </c>
      <c r="C15">
        <f>I20</f>
        <v>4.0650043203329673</v>
      </c>
      <c r="G15" t="s">
        <v>92</v>
      </c>
      <c r="H15">
        <f>VLOOKUP($G15,'EV of Far Future'!$O$3:$P$10,2,FALSE)</f>
        <v>0.22399999999999998</v>
      </c>
      <c r="I15">
        <v>0</v>
      </c>
      <c r="L15" t="s">
        <v>92</v>
      </c>
      <c r="M15">
        <f>VLOOKUP($G15,'EV of Far Future'!$O$3:$P$10,2,FALSE)</f>
        <v>0.22399999999999998</v>
      </c>
      <c r="N15">
        <v>0</v>
      </c>
    </row>
    <row r="16" spans="1:14">
      <c r="B16">
        <f>H32</f>
        <v>2.2206524446657558E+31</v>
      </c>
      <c r="C16">
        <f>I32</f>
        <v>4.5551563933691579</v>
      </c>
      <c r="G16" s="4" t="s">
        <v>88</v>
      </c>
      <c r="H16" s="2">
        <v>0.1</v>
      </c>
      <c r="I16">
        <v>0</v>
      </c>
      <c r="J16" t="s">
        <v>89</v>
      </c>
      <c r="L16" s="4" t="s">
        <v>105</v>
      </c>
      <c r="M16" s="2">
        <v>0.04</v>
      </c>
      <c r="N16">
        <v>0</v>
      </c>
    </row>
    <row r="17" spans="1:14">
      <c r="B17">
        <f>H44</f>
        <v>1.0533479425147227E+30</v>
      </c>
      <c r="C17">
        <f>I44</f>
        <v>5.7256126124777253</v>
      </c>
      <c r="G17" s="4" t="s">
        <v>74</v>
      </c>
      <c r="H17">
        <f>VLOOKUP($G17,'EV of Far Future'!$K$3:$N$10,2,FALSE)</f>
        <v>1.9999999999999997E+37</v>
      </c>
      <c r="I17">
        <f>VLOOKUP($G17,'EV of Far Future'!$K$3:$N$10,3,FALSE)</f>
        <v>3.5212165842895158</v>
      </c>
      <c r="L17" s="4" t="s">
        <v>74</v>
      </c>
      <c r="M17">
        <f>VLOOKUP($G17,'EV of Far Future'!$K$3:$N$10,2,FALSE)</f>
        <v>1.9999999999999997E+37</v>
      </c>
      <c r="N17">
        <f>VLOOKUP($G17,'EV of Far Future'!$K$3:$N$10,3,FALSE)</f>
        <v>3.5212165842895158</v>
      </c>
    </row>
    <row r="18" spans="1:14">
      <c r="G18" s="4" t="s">
        <v>84</v>
      </c>
      <c r="H18">
        <f>1/factory_farmed_animals</f>
        <v>5.0000000000000002E-11</v>
      </c>
      <c r="I18">
        <v>0</v>
      </c>
      <c r="L18" s="4" t="s">
        <v>84</v>
      </c>
      <c r="M18">
        <f>1/factory_farmed_animals</f>
        <v>5.0000000000000002E-11</v>
      </c>
      <c r="N18">
        <v>0</v>
      </c>
    </row>
    <row r="19" spans="1:14">
      <c r="G19" s="4" t="s">
        <v>121</v>
      </c>
      <c r="H19">
        <f>$D$8</f>
        <v>626.99282292543035</v>
      </c>
      <c r="I19">
        <f>$E$8</f>
        <v>0.54378773604345199</v>
      </c>
      <c r="L19" s="4" t="s">
        <v>121</v>
      </c>
      <c r="M19">
        <f>$D$8</f>
        <v>626.99282292543035</v>
      </c>
      <c r="N19">
        <f>$E$8</f>
        <v>0.54378773604345199</v>
      </c>
    </row>
    <row r="20" spans="1:14">
      <c r="G20" s="28" t="s">
        <v>60</v>
      </c>
      <c r="H20" s="26">
        <f>PRODUCT(H15:H19)</f>
        <v>1.4044639233529639E+28</v>
      </c>
      <c r="I20" s="26">
        <f>SUM(I15:I19)</f>
        <v>4.0650043203329673</v>
      </c>
      <c r="L20" s="28" t="s">
        <v>60</v>
      </c>
      <c r="M20" s="26">
        <f>PRODUCT(M15:M19)</f>
        <v>5.617855693411855E+27</v>
      </c>
      <c r="N20" s="26">
        <f>SUM(N15:N19)</f>
        <v>4.0650043203329673</v>
      </c>
    </row>
    <row r="21" spans="1:14">
      <c r="A21" s="30" t="s">
        <v>107</v>
      </c>
      <c r="B21" s="5"/>
      <c r="G21" s="34"/>
      <c r="H21" s="35"/>
      <c r="L21" s="34"/>
      <c r="M21" s="35"/>
    </row>
    <row r="22" spans="1:14">
      <c r="A22" s="30" t="s">
        <v>108</v>
      </c>
      <c r="B22" s="5"/>
      <c r="G22" s="34"/>
      <c r="H22" s="36"/>
      <c r="L22" s="34"/>
      <c r="M22" s="36"/>
    </row>
    <row r="23" spans="1:14">
      <c r="B23" s="4"/>
      <c r="H23" s="40"/>
      <c r="M23" s="40"/>
    </row>
    <row r="24" spans="1:14">
      <c r="B24" s="4"/>
      <c r="M24" s="3"/>
    </row>
    <row r="25" spans="1:14">
      <c r="G25" s="1" t="s">
        <v>103</v>
      </c>
      <c r="L25" s="1" t="s">
        <v>106</v>
      </c>
    </row>
    <row r="26" spans="1:14">
      <c r="A26" s="1" t="s">
        <v>205</v>
      </c>
      <c r="C26" s="4"/>
      <c r="D26" s="4"/>
      <c r="H26" t="s">
        <v>2</v>
      </c>
      <c r="I26" t="s">
        <v>34</v>
      </c>
      <c r="M26" t="s">
        <v>2</v>
      </c>
      <c r="N26" t="s">
        <v>34</v>
      </c>
    </row>
    <row r="27" spans="1:14">
      <c r="A27" s="30" t="s">
        <v>107</v>
      </c>
      <c r="B27" s="5">
        <f>H6+M9+H21+H33+H45-(M21+M33+M45)</f>
        <v>551196598527200</v>
      </c>
      <c r="D27" s="4"/>
      <c r="G27" t="s">
        <v>93</v>
      </c>
      <c r="H27">
        <f>VLOOKUP($G27,'EV of Far Future'!$O$3:$P$10,2,FALSE)</f>
        <v>0.22399999999999998</v>
      </c>
      <c r="I27">
        <v>0</v>
      </c>
      <c r="L27" t="s">
        <v>93</v>
      </c>
      <c r="M27">
        <f>VLOOKUP($G27,'EV of Far Future'!$O$3:$P$10,2,FALSE)</f>
        <v>0.22399999999999998</v>
      </c>
      <c r="N27">
        <v>0</v>
      </c>
    </row>
    <row r="28" spans="1:14">
      <c r="A28" s="30" t="s">
        <v>108</v>
      </c>
      <c r="B28" s="5" t="e">
        <f>H7+M10+H22+H34+H46-(M22+M34+M46)</f>
        <v>#VALUE!</v>
      </c>
      <c r="D28" s="4"/>
      <c r="G28" s="4" t="s">
        <v>88</v>
      </c>
      <c r="H28" s="2">
        <v>0.05</v>
      </c>
      <c r="I28">
        <v>0</v>
      </c>
      <c r="L28" s="4" t="s">
        <v>105</v>
      </c>
      <c r="M28" s="2">
        <v>0.01</v>
      </c>
      <c r="N28">
        <v>0</v>
      </c>
    </row>
    <row r="29" spans="1:14">
      <c r="D29" s="4"/>
      <c r="G29" s="4" t="s">
        <v>75</v>
      </c>
      <c r="H29">
        <f>VLOOKUP($G29,'EV of Far Future'!$K$3:$N$10,2,FALSE)</f>
        <v>6.324555320336757E+40</v>
      </c>
      <c r="I29">
        <f>VLOOKUP($G29,'EV of Far Future'!$K$3:$N$10,3,FALSE)</f>
        <v>4.0113686573257059</v>
      </c>
      <c r="L29" s="4" t="s">
        <v>75</v>
      </c>
      <c r="M29">
        <f>VLOOKUP($G29,'EV of Far Future'!$K$3:$N$10,2,FALSE)</f>
        <v>6.324555320336757E+40</v>
      </c>
      <c r="N29">
        <f>VLOOKUP($G29,'EV of Far Future'!$K$3:$N$10,3,FALSE)</f>
        <v>4.0113686573257059</v>
      </c>
    </row>
    <row r="30" spans="1:14">
      <c r="G30" s="4" t="s">
        <v>84</v>
      </c>
      <c r="H30">
        <f>1/factory_farmed_animals</f>
        <v>5.0000000000000002E-11</v>
      </c>
      <c r="I30">
        <v>0</v>
      </c>
      <c r="L30" s="4" t="s">
        <v>84</v>
      </c>
      <c r="M30">
        <f>1/factory_farmed_animals</f>
        <v>5.0000000000000002E-11</v>
      </c>
      <c r="N30">
        <v>0</v>
      </c>
    </row>
    <row r="31" spans="1:14">
      <c r="G31" s="4" t="s">
        <v>121</v>
      </c>
      <c r="H31">
        <f>$D$8</f>
        <v>626.99282292543035</v>
      </c>
      <c r="I31">
        <f>$E$8</f>
        <v>0.54378773604345199</v>
      </c>
      <c r="L31" s="4" t="s">
        <v>121</v>
      </c>
      <c r="M31">
        <f>$D$8</f>
        <v>626.99282292543035</v>
      </c>
      <c r="N31">
        <f>$E$8</f>
        <v>0.54378773604345199</v>
      </c>
    </row>
    <row r="32" spans="1:14">
      <c r="G32" s="28" t="s">
        <v>60</v>
      </c>
      <c r="H32" s="26">
        <f>PRODUCT(H27:H31)</f>
        <v>2.2206524446657558E+31</v>
      </c>
      <c r="I32" s="26">
        <f>SUM(I27:I31)</f>
        <v>4.5551563933691579</v>
      </c>
      <c r="L32" s="28" t="s">
        <v>60</v>
      </c>
      <c r="M32" s="26">
        <f>PRODUCT(M27:M31)</f>
        <v>4.4413048893315115E+30</v>
      </c>
      <c r="N32" s="26">
        <f>SUM(N27:N31)</f>
        <v>4.5551563933691579</v>
      </c>
    </row>
    <row r="33" spans="7:14">
      <c r="G33" s="34"/>
      <c r="H33" s="35"/>
      <c r="L33" s="34"/>
      <c r="M33" s="35"/>
    </row>
    <row r="34" spans="7:14">
      <c r="G34" s="34"/>
      <c r="H34" s="36"/>
      <c r="L34" s="34"/>
      <c r="M34" s="36"/>
    </row>
    <row r="35" spans="7:14">
      <c r="H35" s="40"/>
      <c r="M35" s="41"/>
    </row>
    <row r="37" spans="7:14">
      <c r="G37" s="1" t="s">
        <v>98</v>
      </c>
      <c r="L37" s="1" t="s">
        <v>200</v>
      </c>
    </row>
    <row r="38" spans="7:14">
      <c r="H38" t="s">
        <v>2</v>
      </c>
      <c r="I38" t="s">
        <v>34</v>
      </c>
      <c r="M38" t="s">
        <v>2</v>
      </c>
      <c r="N38" t="s">
        <v>34</v>
      </c>
    </row>
    <row r="39" spans="7:14">
      <c r="G39" t="s">
        <v>94</v>
      </c>
      <c r="H39">
        <f>VLOOKUP($G39,'EV of Far Future'!$O$3:$P$10,2,FALSE)</f>
        <v>0.16799999999999998</v>
      </c>
      <c r="I39">
        <v>0</v>
      </c>
      <c r="L39" t="s">
        <v>94</v>
      </c>
      <c r="M39">
        <f>VLOOKUP($G39,'EV of Far Future'!$O$3:$P$10,2,FALSE)</f>
        <v>0.16799999999999998</v>
      </c>
      <c r="N39">
        <v>0</v>
      </c>
    </row>
    <row r="40" spans="7:14">
      <c r="G40" s="4" t="s">
        <v>88</v>
      </c>
      <c r="H40" s="2">
        <v>0.1</v>
      </c>
      <c r="I40">
        <v>0</v>
      </c>
      <c r="L40" s="4" t="s">
        <v>105</v>
      </c>
      <c r="M40" s="2">
        <v>0.01</v>
      </c>
      <c r="N40">
        <v>0</v>
      </c>
    </row>
    <row r="41" spans="7:14">
      <c r="G41" s="4" t="s">
        <v>76</v>
      </c>
      <c r="H41">
        <f>VLOOKUP($G41,'EV of Far Future'!$K$3:$N$10,2,FALSE)</f>
        <v>1.9999999999999993E+39</v>
      </c>
      <c r="I41">
        <f>VLOOKUP($G41,'EV of Far Future'!$K$3:$N$10,3,FALSE)</f>
        <v>5.1818248764342734</v>
      </c>
      <c r="L41" s="4" t="s">
        <v>76</v>
      </c>
      <c r="M41">
        <f>VLOOKUP($G41,'EV of Far Future'!$K$3:$N$10,2,FALSE)</f>
        <v>1.9999999999999993E+39</v>
      </c>
      <c r="N41">
        <f>VLOOKUP($G41,'EV of Far Future'!$K$3:$N$10,3,FALSE)</f>
        <v>5.1818248764342734</v>
      </c>
    </row>
    <row r="42" spans="7:14">
      <c r="G42" s="4" t="s">
        <v>84</v>
      </c>
      <c r="H42">
        <f>1/factory_farmed_animals</f>
        <v>5.0000000000000002E-11</v>
      </c>
      <c r="I42">
        <v>0</v>
      </c>
      <c r="L42" s="4" t="s">
        <v>84</v>
      </c>
      <c r="M42">
        <f>1/factory_farmed_animals</f>
        <v>5.0000000000000002E-11</v>
      </c>
      <c r="N42">
        <v>0</v>
      </c>
    </row>
    <row r="43" spans="7:14">
      <c r="G43" s="4" t="s">
        <v>121</v>
      </c>
      <c r="H43">
        <f>$D$8</f>
        <v>626.99282292543035</v>
      </c>
      <c r="I43">
        <f>$E$8</f>
        <v>0.54378773604345199</v>
      </c>
      <c r="L43" s="4" t="s">
        <v>121</v>
      </c>
      <c r="M43">
        <f>$D$8</f>
        <v>626.99282292543035</v>
      </c>
      <c r="N43">
        <f>$E$8</f>
        <v>0.54378773604345199</v>
      </c>
    </row>
    <row r="44" spans="7:14">
      <c r="G44" s="28" t="s">
        <v>60</v>
      </c>
      <c r="H44" s="26">
        <f>PRODUCT(H39:H43)</f>
        <v>1.0533479425147227E+30</v>
      </c>
      <c r="I44" s="26">
        <f>SUM(I39:I43)</f>
        <v>5.7256126124777253</v>
      </c>
      <c r="L44" s="28" t="s">
        <v>60</v>
      </c>
      <c r="M44" s="26">
        <f>PRODUCT(M39:M43)</f>
        <v>1.0533479425147224E+29</v>
      </c>
      <c r="N44" s="26">
        <f>SUM(N39:N43)</f>
        <v>5.7256126124777253</v>
      </c>
    </row>
    <row r="45" spans="7:14">
      <c r="G45" s="34"/>
      <c r="H45" s="35"/>
      <c r="L45" s="34"/>
      <c r="M45" s="35"/>
    </row>
    <row r="46" spans="7:14">
      <c r="G46" s="34"/>
      <c r="H46" s="36"/>
      <c r="L46" s="34"/>
      <c r="M46" s="36"/>
    </row>
    <row r="47" spans="7:14">
      <c r="H47" s="40"/>
      <c r="M47" s="40"/>
    </row>
    <row r="48" spans="7:14">
      <c r="M48" s="3"/>
    </row>
    <row r="50" spans="9:11">
      <c r="I50" s="3"/>
    </row>
    <row r="52" spans="9:11">
      <c r="I52">
        <v>4000</v>
      </c>
      <c r="J52">
        <v>0.6</v>
      </c>
      <c r="K52">
        <f>LognormPosterior(mu_factory_farming,sigma_factory_farming,I52:J52)</f>
        <v>0.1297032814585895</v>
      </c>
    </row>
    <row r="53" spans="9:11">
      <c r="I53" s="45">
        <v>4000</v>
      </c>
      <c r="J53">
        <v>0.6</v>
      </c>
      <c r="K53">
        <f>LognormPosterior(mu_factory_farming,sigma_factory_farming,I53:J53)</f>
        <v>1.0177554057850984</v>
      </c>
    </row>
    <row r="54" spans="9:11">
      <c r="I54" s="45">
        <v>4000</v>
      </c>
      <c r="J54">
        <v>0.6</v>
      </c>
    </row>
    <row r="56" spans="9:11">
      <c r="I56">
        <f>LognormPosterior(mu_factory_farming,sigma_factory_farming,I52:J54)</f>
        <v>3692.7252317929483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L21"/>
  <sheetViews>
    <sheetView workbookViewId="0">
      <selection activeCell="H19" sqref="H19"/>
    </sheetView>
  </sheetViews>
  <sheetFormatPr baseColWidth="10" defaultRowHeight="15" x14ac:dyDescent="0"/>
  <cols>
    <col min="1" max="1" width="21.6640625" customWidth="1"/>
    <col min="2" max="3" width="12.1640625" bestFit="1" customWidth="1"/>
    <col min="8" max="8" width="21.6640625" customWidth="1"/>
    <col min="9" max="9" width="12.1640625" bestFit="1" customWidth="1"/>
    <col min="11" max="11" width="12.1640625" bestFit="1" customWidth="1"/>
  </cols>
  <sheetData>
    <row r="1" spans="1:12" ht="20">
      <c r="A1" s="7" t="s">
        <v>207</v>
      </c>
      <c r="H1" s="7" t="s">
        <v>186</v>
      </c>
    </row>
    <row r="2" spans="1:12">
      <c r="B2" t="s">
        <v>0</v>
      </c>
      <c r="C2" t="s">
        <v>1</v>
      </c>
      <c r="D2" t="s">
        <v>2</v>
      </c>
      <c r="E2" t="s">
        <v>34</v>
      </c>
      <c r="I2" t="s">
        <v>2</v>
      </c>
      <c r="J2" t="s">
        <v>34</v>
      </c>
      <c r="K2" t="s">
        <v>0</v>
      </c>
      <c r="L2" t="s">
        <v>1</v>
      </c>
    </row>
    <row r="3" spans="1:12">
      <c r="A3" s="29" t="s">
        <v>208</v>
      </c>
      <c r="B3" s="15">
        <v>0.2</v>
      </c>
      <c r="C3" s="15">
        <v>2</v>
      </c>
      <c r="D3">
        <f>GEOMEAN(B3,C3)</f>
        <v>0.63245553203367588</v>
      </c>
      <c r="E3">
        <f>LogVariance(B3,C3)</f>
        <v>0.39015207303618948</v>
      </c>
      <c r="H3" t="s">
        <v>212</v>
      </c>
      <c r="I3">
        <f>D3*D8*D9</f>
        <v>1.4907119849998599E-3</v>
      </c>
      <c r="J3">
        <f>E3+E8+E9</f>
        <v>0.50759954989056688</v>
      </c>
      <c r="K3">
        <f>10^_xlfn.NORM.INV(0.1,LOG10(I3),J3)</f>
        <v>3.3333333333333305E-4</v>
      </c>
      <c r="L3">
        <f>10^_xlfn.NORM.INV(0.9,LOG10(I3),J3)</f>
        <v>6.6666666666666628E-3</v>
      </c>
    </row>
    <row r="4" spans="1:12">
      <c r="A4" s="29" t="s">
        <v>209</v>
      </c>
      <c r="B4" s="15">
        <v>0.1</v>
      </c>
      <c r="C4" s="15">
        <v>0.4</v>
      </c>
      <c r="D4">
        <f>GEOMEAN(B4,C4)</f>
        <v>0.2</v>
      </c>
      <c r="E4">
        <f>LogVariance(B4,C4)</f>
        <v>0.23489495370875477</v>
      </c>
      <c r="H4" t="s">
        <v>213</v>
      </c>
      <c r="I4">
        <f>D4*D8*D9</f>
        <v>4.7140452079103175E-4</v>
      </c>
      <c r="J4">
        <f>E4+E8+E9</f>
        <v>0.35234243056313214</v>
      </c>
      <c r="K4">
        <f>10^_xlfn.NORM.INV(0.1,LOG10(I4),J4)</f>
        <v>1.666666666666665E-4</v>
      </c>
      <c r="L4">
        <f>10^_xlfn.NORM.INV(0.9,LOG10(I4),J4)</f>
        <v>1.3333333333333324E-3</v>
      </c>
    </row>
    <row r="5" spans="1:12">
      <c r="A5" s="29" t="s">
        <v>210</v>
      </c>
      <c r="B5" s="15">
        <v>10</v>
      </c>
      <c r="C5" s="15">
        <v>10</v>
      </c>
      <c r="H5" t="s">
        <v>216</v>
      </c>
      <c r="I5">
        <f>'Veg Ads'!M8</f>
        <v>2.4982340002489752E+26</v>
      </c>
      <c r="J5">
        <f>'Veg Ads'!N8</f>
        <v>3.3748522472967784</v>
      </c>
    </row>
    <row r="6" spans="1:12">
      <c r="A6" s="29" t="s">
        <v>211</v>
      </c>
      <c r="B6" s="15">
        <v>30000</v>
      </c>
      <c r="C6" s="15">
        <v>60000</v>
      </c>
      <c r="H6" s="28" t="s">
        <v>217</v>
      </c>
      <c r="I6" s="26">
        <f>I5*(1+K3)</f>
        <v>2.4990667449157248E+26</v>
      </c>
      <c r="J6" s="26">
        <f>J5*(1-K4)</f>
        <v>3.3742897719222289</v>
      </c>
    </row>
    <row r="7" spans="1:12">
      <c r="A7" s="29" t="s">
        <v>235</v>
      </c>
      <c r="B7" s="15">
        <v>500</v>
      </c>
      <c r="C7" s="15">
        <v>5000</v>
      </c>
      <c r="D7">
        <f>GEOMEAN(B7,C7)</f>
        <v>1581.1388300841897</v>
      </c>
      <c r="E7">
        <f>LogVariance(B7,C7)</f>
        <v>0.39015207303618948</v>
      </c>
      <c r="H7" s="28" t="s">
        <v>218</v>
      </c>
      <c r="I7" s="26">
        <f>I5*(1+I3)</f>
        <v>2.5019581476144806E+26</v>
      </c>
      <c r="J7" s="26">
        <f>J5*(1-I4)</f>
        <v>3.3732613266904008</v>
      </c>
    </row>
    <row r="8" spans="1:12">
      <c r="A8" s="4" t="s">
        <v>214</v>
      </c>
      <c r="B8">
        <f>1/C5</f>
        <v>0.1</v>
      </c>
      <c r="C8">
        <f>1/B5</f>
        <v>0.1</v>
      </c>
      <c r="D8">
        <f>GEOMEAN(B8,C8)</f>
        <v>0.1</v>
      </c>
      <c r="E8">
        <f>LogVariance(B5,C5)</f>
        <v>0</v>
      </c>
      <c r="H8" s="28" t="s">
        <v>219</v>
      </c>
      <c r="I8" s="26">
        <f>I5*(1+L3)</f>
        <v>2.5148888935839682E+26</v>
      </c>
      <c r="J8" s="26">
        <f>J5*(1-L4)</f>
        <v>3.3703524443003827</v>
      </c>
    </row>
    <row r="9" spans="1:12">
      <c r="A9" s="4" t="s">
        <v>178</v>
      </c>
      <c r="B9">
        <f>1000/C6</f>
        <v>1.6666666666666666E-2</v>
      </c>
      <c r="C9">
        <f>1000/B6</f>
        <v>3.3333333333333333E-2</v>
      </c>
      <c r="D9">
        <f>GEOMEAN(B9,C9)</f>
        <v>2.3570226039551584E-2</v>
      </c>
      <c r="E9">
        <f>LogVariance(B9,C9)</f>
        <v>0.11744747685437738</v>
      </c>
      <c r="H9" s="4" t="s">
        <v>226</v>
      </c>
      <c r="I9">
        <f>I6*$D$7</f>
        <v>3.9513714693583537E+29</v>
      </c>
      <c r="J9" s="4">
        <f>J6+$E$7</f>
        <v>3.7644418449584185</v>
      </c>
    </row>
    <row r="10" spans="1:12">
      <c r="H10" s="4" t="s">
        <v>228</v>
      </c>
      <c r="I10">
        <f t="shared" ref="I10:I11" si="0">I7*$D$7</f>
        <v>3.955943178438766E+29</v>
      </c>
      <c r="J10" s="4">
        <f t="shared" ref="J10:J11" si="1">J7+$E$7</f>
        <v>3.7634133997265904</v>
      </c>
    </row>
    <row r="11" spans="1:12">
      <c r="H11" s="4" t="s">
        <v>227</v>
      </c>
      <c r="I11">
        <f t="shared" si="0"/>
        <v>3.9763884829930776E+29</v>
      </c>
      <c r="J11" s="4">
        <f t="shared" si="1"/>
        <v>3.7605045173365723</v>
      </c>
    </row>
    <row r="12" spans="1:12">
      <c r="H12" s="34" t="s">
        <v>215</v>
      </c>
      <c r="I12" s="35" t="e">
        <f>LognormPosterior(mu,sigma,I5,J5)</f>
        <v>#VALUE!</v>
      </c>
    </row>
    <row r="13" spans="1:12">
      <c r="H13" s="34" t="s">
        <v>220</v>
      </c>
      <c r="I13" s="35" t="e">
        <f>LognormPosterior(mu,sigma,I9,J9)</f>
        <v>#VALUE!</v>
      </c>
    </row>
    <row r="14" spans="1:12">
      <c r="H14" s="34" t="s">
        <v>221</v>
      </c>
      <c r="I14" s="35" t="e">
        <f>LognormPosterior(mu,sigma,I10,J10)</f>
        <v>#VALUE!</v>
      </c>
    </row>
    <row r="15" spans="1:12">
      <c r="H15" s="34" t="s">
        <v>222</v>
      </c>
      <c r="I15" s="35" t="e">
        <f>LognormPosterior(mu,sigma,I11,J11)</f>
        <v>#VALUE!</v>
      </c>
    </row>
    <row r="16" spans="1:12">
      <c r="H16" s="30" t="s">
        <v>223</v>
      </c>
      <c r="I16" s="5" t="e">
        <f>I13-$I$12</f>
        <v>#VALUE!</v>
      </c>
    </row>
    <row r="17" spans="8:9">
      <c r="H17" s="30" t="s">
        <v>224</v>
      </c>
      <c r="I17" s="5" t="e">
        <f>I14-$I$12</f>
        <v>#VALUE!</v>
      </c>
    </row>
    <row r="18" spans="8:9">
      <c r="H18" s="30" t="s">
        <v>225</v>
      </c>
      <c r="I18" s="5" t="e">
        <f>I15-$I$12</f>
        <v>#VALUE!</v>
      </c>
    </row>
    <row r="19" spans="8:9">
      <c r="H19" s="4"/>
      <c r="I19" s="38"/>
    </row>
    <row r="20" spans="8:9">
      <c r="H20" s="4"/>
      <c r="I20" s="38"/>
    </row>
    <row r="21" spans="8:9">
      <c r="H21" s="4"/>
      <c r="I21" s="38"/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O32"/>
  <sheetViews>
    <sheetView workbookViewId="0">
      <selection activeCell="O9" sqref="O9"/>
    </sheetView>
  </sheetViews>
  <sheetFormatPr baseColWidth="10" defaultRowHeight="15" x14ac:dyDescent="0"/>
  <cols>
    <col min="1" max="1" width="21.6640625" customWidth="1"/>
    <col min="2" max="2" width="12.83203125" bestFit="1" customWidth="1"/>
    <col min="3" max="3" width="12.1640625" bestFit="1" customWidth="1"/>
    <col min="4" max="4" width="12.83203125" bestFit="1" customWidth="1"/>
    <col min="7" max="7" width="21.6640625" customWidth="1"/>
    <col min="10" max="10" width="12.1640625" bestFit="1" customWidth="1"/>
    <col min="13" max="13" width="21.6640625" customWidth="1"/>
    <col min="14" max="15" width="12.1640625" bestFit="1" customWidth="1"/>
  </cols>
  <sheetData>
    <row r="1" spans="1:15">
      <c r="A1" s="1" t="s">
        <v>139</v>
      </c>
      <c r="B1" t="s">
        <v>168</v>
      </c>
      <c r="G1" s="1" t="s">
        <v>134</v>
      </c>
      <c r="H1" t="s">
        <v>168</v>
      </c>
      <c r="M1" s="1" t="s">
        <v>145</v>
      </c>
    </row>
    <row r="2" spans="1:15">
      <c r="B2" t="s">
        <v>0</v>
      </c>
      <c r="C2" t="s">
        <v>1</v>
      </c>
      <c r="D2" t="s">
        <v>2</v>
      </c>
      <c r="E2" t="s">
        <v>3</v>
      </c>
      <c r="H2" t="s">
        <v>0</v>
      </c>
      <c r="I2" t="s">
        <v>1</v>
      </c>
      <c r="J2" t="s">
        <v>2</v>
      </c>
      <c r="K2" t="s">
        <v>3</v>
      </c>
      <c r="N2" t="s">
        <v>2</v>
      </c>
      <c r="O2" t="s">
        <v>3</v>
      </c>
    </row>
    <row r="3" spans="1:15">
      <c r="A3" s="29" t="s">
        <v>129</v>
      </c>
      <c r="B3" s="15">
        <v>70000</v>
      </c>
      <c r="C3" s="15">
        <v>150000</v>
      </c>
      <c r="G3" s="29" t="s">
        <v>123</v>
      </c>
      <c r="H3" s="15">
        <v>0.03</v>
      </c>
      <c r="I3" s="15">
        <v>0.3</v>
      </c>
      <c r="J3">
        <f>GEOMEAN(H3,I3)</f>
        <v>9.4868329805051374E-2</v>
      </c>
      <c r="K3">
        <f>LogVariance(H3,I3)</f>
        <v>0.39015207303618948</v>
      </c>
      <c r="L3" t="s">
        <v>166</v>
      </c>
      <c r="M3" s="4" t="s">
        <v>136</v>
      </c>
      <c r="N3">
        <f>ABS(VLOOKUP(M3,'EV of Far Future'!$K$11:$M$13,2,FALSE))</f>
        <v>4.7410433312604684E+46</v>
      </c>
      <c r="O3">
        <f>VLOOKUP(M3,'EV of Far Future'!$K$11:$M$13,3,FALSE)</f>
        <v>5.1818248764342734</v>
      </c>
    </row>
    <row r="4" spans="1:15">
      <c r="A4" t="s">
        <v>130</v>
      </c>
      <c r="B4">
        <f>1/C3</f>
        <v>6.6666666666666666E-6</v>
      </c>
      <c r="C4">
        <f>1/B3</f>
        <v>1.4285714285714285E-5</v>
      </c>
      <c r="D4">
        <f>GEOMEAN(B4,C4)</f>
        <v>9.7590007294853309E-6</v>
      </c>
      <c r="E4">
        <f>LogVariance(B4,C4)</f>
        <v>0.12913769056993327</v>
      </c>
      <c r="G4" s="29" t="s">
        <v>127</v>
      </c>
      <c r="H4" s="15">
        <v>200</v>
      </c>
      <c r="I4" s="15">
        <v>10000</v>
      </c>
      <c r="M4" s="28" t="s">
        <v>60</v>
      </c>
      <c r="N4" s="26">
        <f>N3*$J$20</f>
        <v>1.7155158151574772E+40</v>
      </c>
      <c r="O4" s="26">
        <f>O3+$K$20</f>
        <v>6.9972853849616623</v>
      </c>
    </row>
    <row r="5" spans="1:15">
      <c r="G5" s="4" t="s">
        <v>176</v>
      </c>
      <c r="H5">
        <f>1/I4</f>
        <v>1E-4</v>
      </c>
      <c r="I5">
        <f>1/H4</f>
        <v>5.0000000000000001E-3</v>
      </c>
      <c r="J5">
        <f>GEOMEAN(H5,I5)</f>
        <v>7.0710678118654762E-4</v>
      </c>
      <c r="K5">
        <f>LogVariance(H5,I5)</f>
        <v>0.66285666921800146</v>
      </c>
    </row>
    <row r="6" spans="1:15">
      <c r="G6" s="29" t="s">
        <v>124</v>
      </c>
      <c r="H6" s="15">
        <v>0.5</v>
      </c>
      <c r="I6" s="15">
        <v>3</v>
      </c>
      <c r="J6">
        <f>GEOMEAN(H6,I6)</f>
        <v>1.2247448713915889</v>
      </c>
      <c r="K6">
        <f>LogVariance(H6,I6)</f>
        <v>0.30359732347288149</v>
      </c>
    </row>
    <row r="7" spans="1:15">
      <c r="G7" s="29" t="s">
        <v>125</v>
      </c>
      <c r="H7" s="15">
        <v>0.1</v>
      </c>
      <c r="I7" s="15">
        <v>0.7</v>
      </c>
      <c r="J7">
        <f>GEOMEAN(H7,I7)</f>
        <v>0.26457513110645903</v>
      </c>
      <c r="K7">
        <f>LogVariance(H7,I7)</f>
        <v>0.32971675223038288</v>
      </c>
      <c r="M7" s="1" t="s">
        <v>144</v>
      </c>
    </row>
    <row r="8" spans="1:15">
      <c r="G8" s="4" t="s">
        <v>140</v>
      </c>
      <c r="J8">
        <f>J3*J5*J6*J7*D4*1000</f>
        <v>2.1213203435596419E-7</v>
      </c>
      <c r="K8">
        <f>K3+K5+K6+K7+E4</f>
        <v>1.8154605085273885</v>
      </c>
      <c r="N8" t="s">
        <v>2</v>
      </c>
      <c r="O8" t="s">
        <v>34</v>
      </c>
    </row>
    <row r="9" spans="1:15" ht="20">
      <c r="A9" s="7" t="s">
        <v>67</v>
      </c>
      <c r="M9" s="4" t="s">
        <v>137</v>
      </c>
      <c r="N9">
        <f>ABS(VLOOKUP(M9,'EV of Far Future'!$K$11:$M$13,2,FALSE))</f>
        <v>1.4507469750550415E+40</v>
      </c>
      <c r="O9">
        <f>VLOOKUP(M9,'EV of Far Future'!$K$11:$M$13,3,FALSE)</f>
        <v>5.1818248764342734</v>
      </c>
    </row>
    <row r="10" spans="1:15">
      <c r="A10" s="1" t="s">
        <v>153</v>
      </c>
      <c r="M10" s="28" t="s">
        <v>60</v>
      </c>
      <c r="N10" s="26">
        <f>N9*$J$20</f>
        <v>5.2494339443995739E+33</v>
      </c>
      <c r="O10" s="26">
        <f>O9+$K$20</f>
        <v>6.9972853849616623</v>
      </c>
    </row>
    <row r="11" spans="1:15">
      <c r="A11" s="30" t="s">
        <v>99</v>
      </c>
      <c r="B11" s="5">
        <f>ParetoPosterior(median,alpha,N4:O4)</f>
        <v>1.1699032688722896E+16</v>
      </c>
      <c r="G11" s="1" t="s">
        <v>135</v>
      </c>
      <c r="H11" s="8" t="s">
        <v>168</v>
      </c>
      <c r="M11" s="34" t="s">
        <v>99</v>
      </c>
      <c r="N11" s="35">
        <f>ParetoPosterior(median,alpha,N10:O10)</f>
        <v>5729166354.0011778</v>
      </c>
    </row>
    <row r="12" spans="1:15">
      <c r="A12" s="30" t="s">
        <v>110</v>
      </c>
      <c r="B12" s="5" t="e">
        <f>LognormPosterior(mu_far_future,sigma_far_future,N4:O4)</f>
        <v>#VALUE!</v>
      </c>
      <c r="H12" t="s">
        <v>0</v>
      </c>
      <c r="I12" t="s">
        <v>1</v>
      </c>
      <c r="J12" t="s">
        <v>2</v>
      </c>
      <c r="K12" t="s">
        <v>3</v>
      </c>
      <c r="M12" s="34" t="s">
        <v>110</v>
      </c>
      <c r="N12" s="35" t="e">
        <f>LognormPosterior(mu_far_future,sigma_far_future,N10:O10)</f>
        <v>#VALUE!</v>
      </c>
    </row>
    <row r="13" spans="1:15">
      <c r="G13" s="29" t="s">
        <v>126</v>
      </c>
      <c r="H13" s="27">
        <v>1000000</v>
      </c>
      <c r="I13" s="27">
        <v>1000000000</v>
      </c>
      <c r="J13">
        <f>GEOMEAN(H13,I13)</f>
        <v>31622776.601683792</v>
      </c>
      <c r="K13">
        <f>LogVariance(H13,I13)</f>
        <v>1.1704562191085683</v>
      </c>
    </row>
    <row r="14" spans="1:15">
      <c r="G14" s="29" t="s">
        <v>128</v>
      </c>
      <c r="H14" s="15">
        <v>2000</v>
      </c>
      <c r="I14" s="15">
        <v>2000</v>
      </c>
      <c r="J14">
        <f>GEOMEAN(H14,I14)</f>
        <v>2000</v>
      </c>
      <c r="K14">
        <f>LogVariance(H14,I14)</f>
        <v>0</v>
      </c>
    </row>
    <row r="15" spans="1:15">
      <c r="A15" s="1" t="s">
        <v>158</v>
      </c>
      <c r="G15" t="s">
        <v>141</v>
      </c>
      <c r="H15" s="3">
        <f>1/I13</f>
        <v>1.0000000000000001E-9</v>
      </c>
      <c r="I15" s="3">
        <f>1/H13</f>
        <v>9.9999999999999995E-7</v>
      </c>
      <c r="J15">
        <f>GEOMEAN(H15,I15)</f>
        <v>3.1622776601683792E-8</v>
      </c>
      <c r="K15">
        <f>LogVariance(H15,I15)</f>
        <v>1.1704562191085683</v>
      </c>
      <c r="M15" s="25" t="s">
        <v>40</v>
      </c>
    </row>
    <row r="16" spans="1:15">
      <c r="A16" s="30" t="s">
        <v>99</v>
      </c>
      <c r="B16" s="5">
        <f>N19-N11</f>
        <v>2.4116564674346573E+18</v>
      </c>
      <c r="G16" t="s">
        <v>140</v>
      </c>
      <c r="J16">
        <f>J14*J15*D4*1000</f>
        <v>6.1721339984836745E-7</v>
      </c>
      <c r="K16">
        <f>K14+K15+E4</f>
        <v>1.2995939096785016</v>
      </c>
      <c r="N16" t="s">
        <v>2</v>
      </c>
      <c r="O16" t="s">
        <v>34</v>
      </c>
    </row>
    <row r="17" spans="1:15">
      <c r="A17" s="30" t="s">
        <v>110</v>
      </c>
      <c r="B17" s="5" t="e">
        <f>N20-N12</f>
        <v>#VALUE!</v>
      </c>
      <c r="M17" s="4" t="s">
        <v>138</v>
      </c>
      <c r="N17">
        <f>VLOOKUP(M17,'EV of Far Future'!$K$11:$M$13,2,FALSE)</f>
        <v>4.7410447820074434E+46</v>
      </c>
      <c r="O17">
        <f>VLOOKUP(M17,'EV of Far Future'!$K$11:$M$13,3,FALSE)</f>
        <v>4.5113686573257059</v>
      </c>
    </row>
    <row r="18" spans="1:15">
      <c r="M18" s="28" t="s">
        <v>60</v>
      </c>
      <c r="N18" s="26">
        <f>N17*$J$20</f>
        <v>1.7155163401008717E+40</v>
      </c>
      <c r="O18" s="26">
        <f>O17+$K$20</f>
        <v>6.3268291658530948</v>
      </c>
    </row>
    <row r="19" spans="1:15">
      <c r="G19" s="1" t="s">
        <v>146</v>
      </c>
      <c r="M19" s="34" t="s">
        <v>99</v>
      </c>
      <c r="N19" s="35">
        <f>ParetoPosterior(median,alpha,N18:O18)</f>
        <v>2.4116564731638236E+18</v>
      </c>
    </row>
    <row r="20" spans="1:15">
      <c r="A20" s="1" t="s">
        <v>205</v>
      </c>
      <c r="G20" t="s">
        <v>140</v>
      </c>
      <c r="J20">
        <f>GEOMEAN(J8,J16)</f>
        <v>3.6184352162446591E-7</v>
      </c>
      <c r="K20">
        <f>MAX(K8,K16)</f>
        <v>1.8154605085273885</v>
      </c>
      <c r="L20" t="s">
        <v>142</v>
      </c>
      <c r="M20" s="34" t="s">
        <v>110</v>
      </c>
      <c r="N20" s="35" t="e">
        <f>LognormPosterior(mu_far_future,sigma_far_future,N18:O18)</f>
        <v>#VALUE!</v>
      </c>
    </row>
    <row r="21" spans="1:15">
      <c r="A21" s="30" t="s">
        <v>99</v>
      </c>
      <c r="B21" s="5" t="e">
        <f>SUM(J25:J32)</f>
        <v>#VALUE!</v>
      </c>
    </row>
    <row r="22" spans="1:15">
      <c r="A22" s="30" t="s">
        <v>110</v>
      </c>
      <c r="B22" s="5" t="e">
        <f>SUM(K25:K32)</f>
        <v>#VALUE!</v>
      </c>
    </row>
    <row r="23" spans="1:15">
      <c r="G23" s="1" t="s">
        <v>199</v>
      </c>
    </row>
    <row r="24" spans="1:15">
      <c r="H24" s="28" t="s">
        <v>2</v>
      </c>
      <c r="I24" s="28" t="s">
        <v>34</v>
      </c>
      <c r="J24" s="34" t="s">
        <v>202</v>
      </c>
      <c r="K24" s="34" t="s">
        <v>203</v>
      </c>
      <c r="L24" s="4" t="s">
        <v>204</v>
      </c>
    </row>
    <row r="25" spans="1:15">
      <c r="G25" t="s">
        <v>73</v>
      </c>
      <c r="H25" s="26">
        <f>$J$20*VLOOKUP(G25,'EV of Far Future'!$K$3:$M$10,2,FALSE)</f>
        <v>1.1442496849097023E+28</v>
      </c>
      <c r="I25" s="26">
        <f>$K$20+VLOOKUP(G25,'EV of Far Future'!$K$3:$M$10,3,FALSE)</f>
        <v>4.5465250197807148</v>
      </c>
      <c r="J25" s="35" t="e">
        <f>ParetoPosterior(median,alpha,H25,I25)*VLOOKUP(G25,'EV of Far Future'!$K$2:$P$10,4,FALSE)*VLOOKUP(G25,'EV of Far Future'!$K$2:$P$10,6,FALSE)</f>
        <v>#VALUE!</v>
      </c>
      <c r="K25" s="35" t="e">
        <f>LognormPosterior(mu,sigma,H25,I25)*VLOOKUP(G25,'EV of Far Future'!$K$2:$P$10,4,FALSE)*VLOOKUP(G25,'EV of Far Future'!$K$2:$P$10,6,FALSE)</f>
        <v>#VALUE!</v>
      </c>
      <c r="L25" s="4"/>
    </row>
    <row r="26" spans="1:15">
      <c r="G26" t="s">
        <v>72</v>
      </c>
      <c r="H26" s="26">
        <f>$J$20*VLOOKUP(G26,'EV of Far Future'!$K$3:$M$10,2,FALSE)</f>
        <v>1.7163745273645535E+28</v>
      </c>
      <c r="I26" s="26">
        <f>$K$20+VLOOKUP(G26,'EV of Far Future'!$K$3:$M$10,3,FALSE)</f>
        <v>4.6465250197807144</v>
      </c>
      <c r="J26" s="35" t="e">
        <f>ParetoPosterior(median,alpha,H26,I26)*VLOOKUP(G26,'EV of Far Future'!$K$2:$P$10,4,FALSE)*VLOOKUP(G26,'EV of Far Future'!$K$2:$P$10,6,FALSE)</f>
        <v>#VALUE!</v>
      </c>
      <c r="K26" s="35" t="e">
        <f>LognormPosterior(mu,sigma,H26,I26)*VLOOKUP(G26,'EV of Far Future'!$K$2:$P$10,4,FALSE)*VLOOKUP(G26,'EV of Far Future'!$K$2:$P$10,6,FALSE)</f>
        <v>#VALUE!</v>
      </c>
      <c r="L26" s="4"/>
    </row>
    <row r="27" spans="1:15">
      <c r="G27" t="s">
        <v>74</v>
      </c>
      <c r="H27" s="26">
        <f>$J$20*VLOOKUP(G27,'EV of Far Future'!$K$3:$M$10,2,FALSE)</f>
        <v>7.2368704324893165E+30</v>
      </c>
      <c r="I27" s="26">
        <f>$K$20+VLOOKUP(G27,'EV of Far Future'!$K$3:$M$10,3,FALSE)</f>
        <v>5.3366770928169043</v>
      </c>
      <c r="J27" s="35" t="e">
        <f>ParetoPosterior(median,alpha,H27,I27)*VLOOKUP(G27,'EV of Far Future'!$K$2:$P$10,4,FALSE)*VLOOKUP(G27,'EV of Far Future'!$K$2:$P$10,6,FALSE)</f>
        <v>#VALUE!</v>
      </c>
      <c r="K27" s="35" t="e">
        <f>LognormPosterior(mu,sigma,H27,I27)*VLOOKUP(G27,'EV of Far Future'!$K$2:$P$10,4,FALSE)*VLOOKUP(G27,'EV of Far Future'!$K$2:$P$10,6,FALSE)</f>
        <v>#VALUE!</v>
      </c>
      <c r="L27" s="4"/>
    </row>
    <row r="28" spans="1:15">
      <c r="G28" t="s">
        <v>75</v>
      </c>
      <c r="H28" s="26">
        <f>$J$20*VLOOKUP(G28,'EV of Far Future'!$K$3:$M$10,2,FALSE)</f>
        <v>2.2884993698194043E+34</v>
      </c>
      <c r="I28" s="26">
        <f>$K$20+VLOOKUP(G28,'EV of Far Future'!$K$3:$M$10,3,FALSE)</f>
        <v>5.8268291658530948</v>
      </c>
      <c r="J28" s="35" t="e">
        <f>ParetoPosterior(median,alpha,H28,I28)*VLOOKUP(G28,'EV of Far Future'!$K$2:$P$10,4,FALSE)*VLOOKUP(G28,'EV of Far Future'!$K$2:$P$10,6,FALSE)</f>
        <v>#VALUE!</v>
      </c>
      <c r="K28" s="35" t="e">
        <f>LognormPosterior(mu,sigma,H28,I28)*VLOOKUP(G28,'EV of Far Future'!$K$2:$P$10,4,FALSE)*VLOOKUP(G28,'EV of Far Future'!$K$2:$P$10,6,FALSE)</f>
        <v>#VALUE!</v>
      </c>
      <c r="L28" s="4"/>
    </row>
    <row r="29" spans="1:15">
      <c r="G29" t="s">
        <v>76</v>
      </c>
      <c r="H29" s="26">
        <f>$J$20*VLOOKUP(G29,'EV of Far Future'!$K$3:$M$10,2,FALSE)</f>
        <v>7.2368704324893157E+32</v>
      </c>
      <c r="I29" s="26">
        <f>$K$20+VLOOKUP(G29,'EV of Far Future'!$K$3:$M$10,3,FALSE)</f>
        <v>6.9972853849616623</v>
      </c>
      <c r="J29" s="35" t="e">
        <f>ParetoPosterior(median,alpha,H29,I29)*VLOOKUP(G29,'EV of Far Future'!$K$2:$P$10,4,FALSE)*VLOOKUP(G29,'EV of Far Future'!$K$2:$P$10,6,FALSE)</f>
        <v>#VALUE!</v>
      </c>
      <c r="K29" s="35" t="e">
        <f>LognormPosterior(mu,sigma,H29,I29)*VLOOKUP(G29,'EV of Far Future'!$K$2:$P$10,4,FALSE)*VLOOKUP(G29,'EV of Far Future'!$K$2:$P$10,6,FALSE)</f>
        <v>#VALUE!</v>
      </c>
      <c r="L29" s="4"/>
    </row>
    <row r="30" spans="1:15">
      <c r="G30" t="s">
        <v>77</v>
      </c>
      <c r="H30" s="26">
        <f>$J$20*VLOOKUP(G30,'EV of Far Future'!$K$3:$M$10,2,FALSE)</f>
        <v>1.1442496849097024E+42</v>
      </c>
      <c r="I30" s="26">
        <f>$K$20+VLOOKUP(G30,'EV of Far Future'!$K$3:$M$10,3,FALSE)</f>
        <v>6.1268291658530938</v>
      </c>
      <c r="J30" s="35" t="e">
        <f>ParetoPosterior(median,alpha,H30,I30)*VLOOKUP(G30,'EV of Far Future'!$K$2:$P$10,4,FALSE)*VLOOKUP(G30,'EV of Far Future'!$K$2:$P$10,6,FALSE)</f>
        <v>#VALUE!</v>
      </c>
      <c r="K30" s="35" t="e">
        <f>LognormPosterior(mu,sigma,H30,I30)*VLOOKUP(G30,'EV of Far Future'!$K$2:$P$10,4,FALSE)*VLOOKUP(G30,'EV of Far Future'!$K$2:$P$10,6,FALSE)</f>
        <v>#VALUE!</v>
      </c>
      <c r="L30" s="4"/>
    </row>
    <row r="31" spans="1:15">
      <c r="G31" t="s">
        <v>78</v>
      </c>
      <c r="H31" s="26">
        <f>$J$20*VLOOKUP(G31,'EV of Far Future'!$K$3:$M$10,2,FALSE)</f>
        <v>1.1442496849097026E+38</v>
      </c>
      <c r="I31" s="26">
        <f>$K$20+VLOOKUP(G31,'EV of Far Future'!$K$3:$M$10,3,FALSE)</f>
        <v>6.3268291658530948</v>
      </c>
      <c r="J31" s="35" t="e">
        <f>ParetoPosterior(median,alpha,H31,I31)*VLOOKUP(G31,'EV of Far Future'!$K$2:$P$10,4,FALSE)*VLOOKUP(G31,'EV of Far Future'!$K$2:$P$10,6,FALSE)</f>
        <v>#VALUE!</v>
      </c>
      <c r="K31" s="35" t="e">
        <f>LognormPosterior(mu,sigma,H31,I31)*VLOOKUP(G31,'EV of Far Future'!$K$2:$P$10,4,FALSE)*VLOOKUP(G31,'EV of Far Future'!$K$2:$P$10,6,FALSE)</f>
        <v>#VALUE!</v>
      </c>
      <c r="L31" s="4"/>
    </row>
    <row r="32" spans="1:15">
      <c r="G32" t="s">
        <v>79</v>
      </c>
      <c r="H32" s="26">
        <f>$J$20*VLOOKUP(G32,'EV of Far Future'!$K$3:$M$10,2,FALSE)</f>
        <v>1.1442496849097024E+42</v>
      </c>
      <c r="I32" s="26">
        <f>$K$20+VLOOKUP(G32,'EV of Far Future'!$K$3:$M$10,3,FALSE)</f>
        <v>6.1268291658530938</v>
      </c>
      <c r="J32" s="35" t="e">
        <f>ParetoPosterior(median,alpha,H32,I32)*VLOOKUP(G32,'EV of Far Future'!$K$2:$P$10,4,FALSE)*VLOOKUP(G32,'EV of Far Future'!$K$2:$P$10,6,FALSE)</f>
        <v>#VALUE!</v>
      </c>
      <c r="K32" s="35" t="e">
        <f>LognormPosterior(mu,sigma,H32,I32)*VLOOKUP(G32,'EV of Far Future'!$K$2:$P$10,4,FALSE)*VLOOKUP(G32,'EV of Far Future'!$K$2:$P$10,6,FALSE)</f>
        <v>#VALUE!</v>
      </c>
      <c r="L32" s="4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L28"/>
  <sheetViews>
    <sheetView workbookViewId="0">
      <selection activeCell="H56" sqref="H56"/>
    </sheetView>
  </sheetViews>
  <sheetFormatPr baseColWidth="10" defaultRowHeight="15" x14ac:dyDescent="0"/>
  <cols>
    <col min="1" max="1" width="21.6640625" customWidth="1"/>
    <col min="2" max="2" width="12.1640625" bestFit="1" customWidth="1"/>
    <col min="4" max="4" width="12.1640625" bestFit="1" customWidth="1"/>
    <col min="8" max="8" width="21.6640625" customWidth="1"/>
    <col min="9" max="9" width="12.83203125" bestFit="1" customWidth="1"/>
    <col min="12" max="12" width="12.1640625" bestFit="1" customWidth="1"/>
  </cols>
  <sheetData>
    <row r="1" spans="1:10" ht="20">
      <c r="A1" s="7" t="s">
        <v>167</v>
      </c>
      <c r="H1" s="1" t="s">
        <v>186</v>
      </c>
    </row>
    <row r="2" spans="1:10">
      <c r="B2" t="s">
        <v>0</v>
      </c>
      <c r="C2" t="s">
        <v>1</v>
      </c>
      <c r="D2" t="s">
        <v>2</v>
      </c>
      <c r="E2" t="s">
        <v>34</v>
      </c>
      <c r="I2" t="s">
        <v>2</v>
      </c>
      <c r="J2" t="s">
        <v>34</v>
      </c>
    </row>
    <row r="3" spans="1:10">
      <c r="A3" s="37" t="s">
        <v>170</v>
      </c>
      <c r="B3" s="15">
        <v>0.3</v>
      </c>
      <c r="C3" s="15">
        <v>0.3</v>
      </c>
      <c r="D3">
        <f>GEOMEAN(B3,C3)</f>
        <v>0.3</v>
      </c>
      <c r="E3">
        <f>LogVariance(B3,C3)</f>
        <v>0</v>
      </c>
      <c r="H3" t="s">
        <v>187</v>
      </c>
      <c r="I3">
        <f>$D$9*D11</f>
        <v>6.000000000000001E-6</v>
      </c>
      <c r="J3">
        <f>$E$9+E11</f>
        <v>2.1060174845083819</v>
      </c>
    </row>
    <row r="4" spans="1:10">
      <c r="A4" s="37" t="s">
        <v>175</v>
      </c>
      <c r="B4" s="15">
        <v>0.8</v>
      </c>
      <c r="C4" s="15">
        <v>0.8</v>
      </c>
      <c r="D4">
        <f>GEOMEAN(B4,C4)</f>
        <v>0.8</v>
      </c>
      <c r="E4">
        <f>LogVariance(B4,C4)</f>
        <v>0</v>
      </c>
      <c r="H4" t="s">
        <v>188</v>
      </c>
      <c r="I4">
        <f>$D$9*D12</f>
        <v>1.8973665961010282E-5</v>
      </c>
      <c r="J4">
        <f>$E$9+E12</f>
        <v>1.9507603651809473</v>
      </c>
    </row>
    <row r="5" spans="1:10">
      <c r="A5" s="4" t="s">
        <v>176</v>
      </c>
      <c r="B5">
        <f>VLOOKUP(A5,'AI Safety'!G3:I8,2,FALSE)</f>
        <v>1E-4</v>
      </c>
      <c r="C5">
        <f>VLOOKUP(A5,'AI Safety'!G3:I8,3,FALSE)</f>
        <v>5.0000000000000001E-3</v>
      </c>
      <c r="D5">
        <f>GEOMEAN(B5,C5)</f>
        <v>7.0710678118654762E-4</v>
      </c>
      <c r="E5">
        <f>LogVariance(B5,C5)</f>
        <v>0.66285666921800146</v>
      </c>
      <c r="H5" t="s">
        <v>189</v>
      </c>
      <c r="I5">
        <f>$D$9*D13</f>
        <v>1.4696938456699071E-5</v>
      </c>
      <c r="J5">
        <f>$E$9+E13</f>
        <v>2.0373151147442554</v>
      </c>
    </row>
    <row r="6" spans="1:10">
      <c r="A6" s="29" t="s">
        <v>173</v>
      </c>
      <c r="B6" s="15">
        <v>0.5</v>
      </c>
      <c r="C6" s="15">
        <v>5</v>
      </c>
      <c r="D6">
        <f>GEOMEAN(B6,C6)</f>
        <v>1.5811388300841898</v>
      </c>
      <c r="E6">
        <f>LogVariance(B6,C6)</f>
        <v>0.39015207303618948</v>
      </c>
      <c r="H6" t="s">
        <v>190</v>
      </c>
      <c r="I6">
        <f>$D$9*D14</f>
        <v>1.4696938456699071E-5</v>
      </c>
      <c r="J6">
        <f>$E$9+E14</f>
        <v>2.0373151147442554</v>
      </c>
    </row>
    <row r="7" spans="1:10">
      <c r="A7" s="29" t="s">
        <v>174</v>
      </c>
      <c r="B7" s="15">
        <v>1000</v>
      </c>
      <c r="C7" s="15">
        <v>100000</v>
      </c>
    </row>
    <row r="8" spans="1:10">
      <c r="A8" t="s">
        <v>178</v>
      </c>
      <c r="B8">
        <f>1000/C7</f>
        <v>0.01</v>
      </c>
      <c r="C8">
        <f>1000/B7</f>
        <v>1</v>
      </c>
      <c r="D8">
        <f>GEOMEAN(B8,C8)</f>
        <v>0.1</v>
      </c>
      <c r="E8">
        <f>LogVariance(B8,C8)</f>
        <v>0.78030414607237897</v>
      </c>
      <c r="H8" t="s">
        <v>79</v>
      </c>
      <c r="I8">
        <f>VLOOKUP(H8,'EV of Far Future'!$K$3:$M$10,2,FALSE)</f>
        <v>3.1622776601683793E+48</v>
      </c>
      <c r="J8">
        <f>VLOOKUP(H8,'EV of Far Future'!$K$3:$M$10,3,FALSE)</f>
        <v>4.3113686573257057</v>
      </c>
    </row>
    <row r="9" spans="1:10">
      <c r="A9" t="s">
        <v>179</v>
      </c>
      <c r="D9">
        <f>PRODUCT(D3:D6)*D8</f>
        <v>2.6832815729997483E-5</v>
      </c>
      <c r="E9">
        <f>SUM(E3:E6)+E8</f>
        <v>1.8333128883265699</v>
      </c>
      <c r="H9" t="s">
        <v>74</v>
      </c>
      <c r="I9">
        <f>VLOOKUP(H9,'EV of Far Future'!$K$3:$M$10,2,FALSE)</f>
        <v>1.9999999999999997E+37</v>
      </c>
      <c r="J9">
        <f>VLOOKUP(H9,'EV of Far Future'!$K$3:$M$10,3,FALSE)</f>
        <v>3.5212165842895158</v>
      </c>
    </row>
    <row r="10" spans="1:10">
      <c r="H10" t="s">
        <v>75</v>
      </c>
      <c r="I10">
        <f>VLOOKUP(H10,'EV of Far Future'!$K$3:$M$10,2,FALSE)</f>
        <v>6.324555320336757E+40</v>
      </c>
      <c r="J10">
        <f>VLOOKUP(H10,'EV of Far Future'!$K$3:$M$10,3,FALSE)</f>
        <v>4.0113686573257059</v>
      </c>
    </row>
    <row r="11" spans="1:10">
      <c r="A11" s="29" t="s">
        <v>172</v>
      </c>
      <c r="B11" s="15">
        <v>0.1</v>
      </c>
      <c r="C11" s="15">
        <v>0.5</v>
      </c>
      <c r="D11">
        <f>GEOMEAN(B11,C11)</f>
        <v>0.22360679774997896</v>
      </c>
      <c r="E11">
        <f>LogVariance(B11,C11)</f>
        <v>0.27270459618181209</v>
      </c>
      <c r="H11" t="s">
        <v>76</v>
      </c>
      <c r="I11">
        <f>VLOOKUP(H11,'EV of Far Future'!$K$3:$M$10,2,FALSE)</f>
        <v>1.9999999999999993E+39</v>
      </c>
      <c r="J11">
        <f>VLOOKUP(H11,'EV of Far Future'!$K$3:$M$10,3,FALSE)</f>
        <v>5.1818248764342734</v>
      </c>
    </row>
    <row r="12" spans="1:10">
      <c r="A12" s="29" t="s">
        <v>180</v>
      </c>
      <c r="B12" s="15">
        <v>0.5</v>
      </c>
      <c r="C12" s="15">
        <v>1</v>
      </c>
      <c r="D12">
        <f>GEOMEAN(B12,C12)</f>
        <v>0.70710678118654757</v>
      </c>
      <c r="E12">
        <f>LogVariance(B12,C12)</f>
        <v>0.11744747685437738</v>
      </c>
    </row>
    <row r="13" spans="1:10">
      <c r="A13" s="29" t="s">
        <v>181</v>
      </c>
      <c r="B13" s="15">
        <v>0.3</v>
      </c>
      <c r="C13" s="15">
        <v>1</v>
      </c>
      <c r="D13">
        <f>GEOMEAN(B13,C13)</f>
        <v>0.54772255750516607</v>
      </c>
      <c r="E13">
        <f>LogVariance(B13,C13)</f>
        <v>0.20400222641768539</v>
      </c>
      <c r="H13" t="s">
        <v>97</v>
      </c>
      <c r="I13">
        <f>VLOOKUP(H13,'EV of Far Future'!O3:P10,2,FALSE)</f>
        <v>5.000000000000001E-3</v>
      </c>
      <c r="J13">
        <v>0</v>
      </c>
    </row>
    <row r="14" spans="1:10">
      <c r="A14" s="29" t="s">
        <v>171</v>
      </c>
      <c r="B14" s="15">
        <v>0.3</v>
      </c>
      <c r="C14" s="15">
        <v>1</v>
      </c>
      <c r="D14">
        <f>GEOMEAN(B14,C14)</f>
        <v>0.54772255750516607</v>
      </c>
      <c r="E14">
        <f>LogVariance(B14,C14)</f>
        <v>0.20400222641768539</v>
      </c>
      <c r="H14" t="s">
        <v>92</v>
      </c>
      <c r="I14">
        <f>VLOOKUP(H14,'EV of Far Future'!O4:P11,2,FALSE)</f>
        <v>0.22399999999999998</v>
      </c>
      <c r="J14">
        <v>0</v>
      </c>
    </row>
    <row r="15" spans="1:10">
      <c r="H15" t="s">
        <v>93</v>
      </c>
      <c r="I15">
        <f>VLOOKUP(H15,'EV of Far Future'!O5:P12,2,FALSE)</f>
        <v>0.22399999999999998</v>
      </c>
      <c r="J15">
        <v>0</v>
      </c>
    </row>
    <row r="16" spans="1:10">
      <c r="H16" t="s">
        <v>94</v>
      </c>
      <c r="I16">
        <f>VLOOKUP(H16,'EV of Far Future'!O6:P13,2,FALSE)</f>
        <v>0.16799999999999998</v>
      </c>
      <c r="J16">
        <v>0</v>
      </c>
    </row>
    <row r="17" spans="1:12">
      <c r="K17" s="34" t="s">
        <v>110</v>
      </c>
      <c r="L17" s="34" t="s">
        <v>99</v>
      </c>
    </row>
    <row r="18" spans="1:12">
      <c r="H18" s="28" t="s">
        <v>182</v>
      </c>
      <c r="I18" s="26">
        <f>I3*I8*I13</f>
        <v>9.4868329805051422E+40</v>
      </c>
      <c r="J18" s="26">
        <f>J3+J8+J13</f>
        <v>6.4173861418340881</v>
      </c>
      <c r="K18" s="35" t="e">
        <f>LognormPosterior(mu,sigma,I18,J18)</f>
        <v>#VALUE!</v>
      </c>
      <c r="L18" s="35" t="e">
        <f>ParetoPosterior(median,alpha,I18,J18)</f>
        <v>#VALUE!</v>
      </c>
    </row>
    <row r="19" spans="1:12">
      <c r="H19" s="28" t="s">
        <v>183</v>
      </c>
      <c r="I19" s="26">
        <f>I4*I9*I14</f>
        <v>8.5002023505326034E+31</v>
      </c>
      <c r="J19" s="26">
        <f>J4+J9+J14</f>
        <v>5.4719769494704629</v>
      </c>
      <c r="K19" s="35" t="e">
        <f>LognormPosterior(mu,sigma,I19,J19)</f>
        <v>#VALUE!</v>
      </c>
      <c r="L19" s="35" t="e">
        <f>ParetoPosterior(median,alpha,I19,J19)</f>
        <v>#VALUE!</v>
      </c>
    </row>
    <row r="20" spans="1:12">
      <c r="H20" s="28" t="s">
        <v>184</v>
      </c>
      <c r="I20" s="26">
        <f>I5*I10*I15</f>
        <v>2.0821158469211068E+35</v>
      </c>
      <c r="J20" s="26">
        <f>J5+J10+J15</f>
        <v>6.0486837720699613</v>
      </c>
      <c r="K20" s="35" t="e">
        <f>LognormPosterior(mu,sigma,I20,J20)</f>
        <v>#VALUE!</v>
      </c>
      <c r="L20" s="35" t="e">
        <f>ParetoPosterior(median,alpha,I20,J20)</f>
        <v>#VALUE!</v>
      </c>
    </row>
    <row r="21" spans="1:12">
      <c r="H21" s="28" t="s">
        <v>185</v>
      </c>
      <c r="I21" s="26">
        <f>I6*I11*I16</f>
        <v>4.9381713214508861E+33</v>
      </c>
      <c r="J21" s="26">
        <f>J6+J11+J16</f>
        <v>7.2191399911785288</v>
      </c>
      <c r="K21" s="35" t="e">
        <f>LognormPosterior(mu,sigma,I21,J21)</f>
        <v>#VALUE!</v>
      </c>
      <c r="L21" s="35" t="e">
        <f>ParetoPosterior(median,alpha,I21,J21)</f>
        <v>#VALUE!</v>
      </c>
    </row>
    <row r="23" spans="1:12" ht="20">
      <c r="A23" s="7" t="s">
        <v>67</v>
      </c>
    </row>
    <row r="24" spans="1:12">
      <c r="B24" t="s">
        <v>99</v>
      </c>
      <c r="C24" t="s">
        <v>110</v>
      </c>
      <c r="J24" t="s">
        <v>191</v>
      </c>
    </row>
    <row r="25" spans="1:12">
      <c r="A25" t="s">
        <v>193</v>
      </c>
      <c r="B25" t="e">
        <f>MAX(L18:L21)</f>
        <v>#VALUE!</v>
      </c>
      <c r="C25" t="e">
        <f>MAX(K18:K21)</f>
        <v>#VALUE!</v>
      </c>
    </row>
    <row r="28" spans="1:12">
      <c r="A28" t="s">
        <v>192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Summary</vt:lpstr>
      <vt:lpstr>Globals</vt:lpstr>
      <vt:lpstr>EV of Far Future</vt:lpstr>
      <vt:lpstr>GiveDirectly</vt:lpstr>
      <vt:lpstr>Veg Ads</vt:lpstr>
      <vt:lpstr>ACE</vt:lpstr>
      <vt:lpstr>AI Safety</vt:lpstr>
      <vt:lpstr>AI Targeted Values Spreading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Dickens</dc:creator>
  <cp:lastModifiedBy>Michael Dickens</cp:lastModifiedBy>
  <dcterms:created xsi:type="dcterms:W3CDTF">2016-03-23T01:55:09Z</dcterms:created>
  <dcterms:modified xsi:type="dcterms:W3CDTF">2016-04-02T06:01:08Z</dcterms:modified>
</cp:coreProperties>
</file>