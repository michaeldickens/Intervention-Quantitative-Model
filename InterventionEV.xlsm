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25600" windowHeight="28260" tabRatio="500" firstSheet="2" activeTab="7"/>
  </bookViews>
  <sheets>
    <sheet name="Summary" sheetId="7" r:id="rId1"/>
    <sheet name="Globals" sheetId="2" r:id="rId2"/>
    <sheet name="EV of Far Future" sheetId="3" r:id="rId3"/>
    <sheet name="GiveDirectly" sheetId="5" r:id="rId4"/>
    <sheet name="THL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nable_calculations">Globals!$N$2</definedName>
    <definedName name="factory_farmed_animals">Globals!$O$18</definedName>
    <definedName name="interest_rate">Globals!$O$19</definedName>
    <definedName name="measurement">Globals!$B$4</definedName>
    <definedName name="median">Globals!$B$2</definedName>
    <definedName name="mu_factory_farming">Globals!$G$2</definedName>
    <definedName name="mu_far_future">Globals!$J$2</definedName>
    <definedName name="mu_far_future_humans">Globals!$J$2</definedName>
    <definedName name="mu_global_poverty">Globals!$F$2</definedName>
    <definedName name="mu_sentient_simulations">Globals!$I$2</definedName>
    <definedName name="mu_wild_animals">Globals!$H$2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_factory_farming">Globals!$G$3</definedName>
    <definedName name="sigma_far_future">Globals!$J$3</definedName>
    <definedName name="sigma_far_future_humans">Globals!$J$3</definedName>
    <definedName name="sigma_global_poverty">Globals!$F$3</definedName>
    <definedName name="sigma_sentient_simulations">Globals!$I$3</definedName>
    <definedName name="sigma_wild_animals">Globals!$H$3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0" i="10" l="1"/>
  <c r="B21" i="10"/>
  <c r="I23" i="10"/>
  <c r="J23" i="10"/>
  <c r="J24" i="10"/>
  <c r="I24" i="10"/>
  <c r="I22" i="10"/>
  <c r="M20" i="1"/>
  <c r="M43" i="1"/>
  <c r="M46" i="1"/>
  <c r="M47" i="1"/>
  <c r="N47" i="1"/>
  <c r="C13" i="1"/>
  <c r="B13" i="1"/>
  <c r="C14" i="1"/>
  <c r="B14" i="1"/>
  <c r="B15" i="1"/>
  <c r="B19" i="1"/>
  <c r="B16" i="1"/>
  <c r="B20" i="1"/>
  <c r="H48" i="1"/>
  <c r="I48" i="1"/>
  <c r="H47" i="1"/>
  <c r="I43" i="1"/>
  <c r="H43" i="1"/>
  <c r="M40" i="1"/>
  <c r="M30" i="1"/>
  <c r="N43" i="1"/>
  <c r="N44" i="1"/>
  <c r="N45" i="1"/>
  <c r="M45" i="1"/>
  <c r="M44" i="1"/>
  <c r="I44" i="1"/>
  <c r="I45" i="1"/>
  <c r="I46" i="1"/>
  <c r="H46" i="1"/>
  <c r="H45" i="1"/>
  <c r="H44" i="1"/>
  <c r="G11" i="5"/>
  <c r="G14" i="5"/>
  <c r="H11" i="5"/>
  <c r="H14" i="5"/>
  <c r="H15" i="5"/>
  <c r="G15" i="5"/>
  <c r="G21" i="5"/>
  <c r="G24" i="5"/>
  <c r="H21" i="5"/>
  <c r="H24" i="5"/>
  <c r="H25" i="5"/>
  <c r="G25" i="5"/>
  <c r="C14" i="5"/>
  <c r="B14" i="5"/>
  <c r="C15" i="5"/>
  <c r="B15" i="5"/>
  <c r="B17" i="5"/>
  <c r="B21" i="5"/>
  <c r="B16" i="5"/>
  <c r="B20" i="5"/>
  <c r="M18" i="3"/>
  <c r="H23" i="5"/>
  <c r="G23" i="5"/>
  <c r="G13" i="5"/>
  <c r="H13" i="5"/>
  <c r="L18" i="3"/>
  <c r="M6" i="3"/>
  <c r="L6" i="3"/>
  <c r="L15" i="3"/>
  <c r="M15" i="3"/>
  <c r="L17" i="3"/>
  <c r="M17" i="3"/>
  <c r="G20" i="5"/>
  <c r="G22" i="5"/>
  <c r="H25" i="1"/>
  <c r="H27" i="1"/>
  <c r="H30" i="1"/>
  <c r="I27" i="1"/>
  <c r="I30" i="1"/>
  <c r="H35" i="1"/>
  <c r="H37" i="1"/>
  <c r="H40" i="1"/>
  <c r="I37" i="1"/>
  <c r="I40" i="1"/>
  <c r="G3" i="3"/>
  <c r="G4" i="3"/>
  <c r="G8" i="3"/>
  <c r="G10" i="3"/>
  <c r="L3" i="3"/>
  <c r="P30" i="2"/>
  <c r="H3" i="3"/>
  <c r="P31" i="2"/>
  <c r="H4" i="3"/>
  <c r="P32" i="2"/>
  <c r="H8" i="3"/>
  <c r="H10" i="3"/>
  <c r="M3" i="3"/>
  <c r="B3" i="3"/>
  <c r="B4" i="3"/>
  <c r="B5" i="3"/>
  <c r="B6" i="3"/>
  <c r="B11" i="3"/>
  <c r="L4" i="3"/>
  <c r="L30" i="2"/>
  <c r="C3" i="3"/>
  <c r="L31" i="2"/>
  <c r="C4" i="3"/>
  <c r="L32" i="2"/>
  <c r="C5" i="3"/>
  <c r="L33" i="2"/>
  <c r="C6" i="3"/>
  <c r="C11" i="3"/>
  <c r="M4" i="3"/>
  <c r="L5" i="3"/>
  <c r="G14" i="3"/>
  <c r="G16" i="3"/>
  <c r="P8" i="3"/>
  <c r="L8" i="3"/>
  <c r="P33" i="2"/>
  <c r="H14" i="3"/>
  <c r="H16" i="3"/>
  <c r="M8" i="3"/>
  <c r="G20" i="3"/>
  <c r="G22" i="3"/>
  <c r="P9" i="3"/>
  <c r="L9" i="3"/>
  <c r="P34" i="2"/>
  <c r="H20" i="3"/>
  <c r="H22" i="3"/>
  <c r="M9" i="3"/>
  <c r="G26" i="3"/>
  <c r="G28" i="3"/>
  <c r="P10" i="3"/>
  <c r="L10" i="3"/>
  <c r="P35" i="2"/>
  <c r="H26" i="3"/>
  <c r="H28" i="3"/>
  <c r="M10" i="3"/>
  <c r="G32" i="3"/>
  <c r="G33" i="3"/>
  <c r="G35" i="3"/>
  <c r="P11" i="3"/>
  <c r="L11" i="3"/>
  <c r="H32" i="3"/>
  <c r="P36" i="2"/>
  <c r="H33" i="3"/>
  <c r="H35" i="3"/>
  <c r="M11" i="3"/>
  <c r="B16" i="3"/>
  <c r="P12" i="3"/>
  <c r="L12" i="3"/>
  <c r="C16" i="3"/>
  <c r="M12" i="3"/>
  <c r="B21" i="3"/>
  <c r="P13" i="3"/>
  <c r="L13" i="3"/>
  <c r="C21" i="3"/>
  <c r="M13" i="3"/>
  <c r="L14" i="3"/>
  <c r="I25" i="6"/>
  <c r="K3" i="6"/>
  <c r="K5" i="6"/>
  <c r="K6" i="6"/>
  <c r="K7" i="6"/>
  <c r="E4" i="6"/>
  <c r="K8" i="6"/>
  <c r="K14" i="6"/>
  <c r="K15" i="6"/>
  <c r="K16" i="6"/>
  <c r="K20" i="6"/>
  <c r="I24" i="6"/>
  <c r="I26" i="6"/>
  <c r="H25" i="6"/>
  <c r="H26" i="6"/>
  <c r="F22" i="2"/>
  <c r="F23" i="2"/>
  <c r="F24" i="2"/>
  <c r="F18" i="2"/>
  <c r="F19" i="2"/>
  <c r="F20" i="2"/>
  <c r="F21" i="2"/>
  <c r="F17" i="2"/>
  <c r="E24" i="2"/>
  <c r="H34" i="3"/>
  <c r="H27" i="3"/>
  <c r="H21" i="3"/>
  <c r="H15" i="3"/>
  <c r="H9" i="3"/>
  <c r="C20" i="3"/>
  <c r="C15" i="3"/>
  <c r="C10" i="3"/>
  <c r="H15" i="1"/>
  <c r="G9" i="3"/>
  <c r="P3" i="3"/>
  <c r="B10" i="3"/>
  <c r="P4" i="3"/>
  <c r="G15" i="3"/>
  <c r="G21" i="3"/>
  <c r="G27" i="3"/>
  <c r="G34" i="3"/>
  <c r="B15" i="3"/>
  <c r="B20" i="3"/>
  <c r="G3" i="2"/>
  <c r="K7" i="7"/>
  <c r="E5" i="1"/>
  <c r="I3" i="1"/>
  <c r="I4" i="1"/>
  <c r="I5" i="1"/>
  <c r="I6" i="7"/>
  <c r="H4" i="1"/>
  <c r="H5" i="1"/>
  <c r="H6" i="7"/>
  <c r="K6" i="7"/>
  <c r="K5" i="7"/>
  <c r="I4" i="7"/>
  <c r="H4" i="7"/>
  <c r="K4" i="7"/>
  <c r="J5" i="7"/>
  <c r="J6" i="7"/>
  <c r="J7" i="7"/>
  <c r="J4" i="7"/>
  <c r="J3" i="2"/>
  <c r="N5" i="1"/>
  <c r="E4" i="1"/>
  <c r="E6" i="1"/>
  <c r="E7" i="1"/>
  <c r="E8" i="1"/>
  <c r="N7" i="1"/>
  <c r="N8" i="1"/>
  <c r="M5" i="1"/>
  <c r="M3" i="1"/>
  <c r="M6" i="1"/>
  <c r="D8" i="1"/>
  <c r="M7" i="1"/>
  <c r="M8" i="1"/>
  <c r="D18" i="2"/>
  <c r="D20" i="2"/>
  <c r="D21" i="2"/>
  <c r="D23" i="2"/>
  <c r="H24" i="6"/>
  <c r="I17" i="1"/>
  <c r="I19" i="1"/>
  <c r="I20" i="1"/>
  <c r="H17" i="1"/>
  <c r="H18" i="1"/>
  <c r="H19" i="1"/>
  <c r="H20" i="1"/>
  <c r="H28" i="1"/>
  <c r="H29" i="1"/>
  <c r="I29" i="1"/>
  <c r="H38" i="1"/>
  <c r="H39" i="1"/>
  <c r="I39" i="1"/>
  <c r="H6" i="1"/>
  <c r="H7" i="1"/>
  <c r="C7" i="5"/>
  <c r="B7" i="5"/>
  <c r="H12" i="5"/>
  <c r="H10" i="5"/>
  <c r="G12" i="5"/>
  <c r="G10" i="5"/>
  <c r="M17" i="1"/>
  <c r="M15" i="1"/>
  <c r="M18" i="1"/>
  <c r="M19" i="1"/>
  <c r="M37" i="1"/>
  <c r="M35" i="1"/>
  <c r="M38" i="1"/>
  <c r="M39" i="1"/>
  <c r="M27" i="1"/>
  <c r="M25" i="1"/>
  <c r="M28" i="1"/>
  <c r="M29" i="1"/>
  <c r="N29" i="1"/>
  <c r="I5" i="7"/>
  <c r="G5" i="5"/>
  <c r="N30" i="2"/>
  <c r="N31" i="2"/>
  <c r="N32" i="2"/>
  <c r="O30" i="2"/>
  <c r="O32" i="2"/>
  <c r="O31" i="2"/>
  <c r="D17" i="2"/>
  <c r="J30" i="2"/>
  <c r="J31" i="2"/>
  <c r="J32" i="2"/>
  <c r="J33" i="2"/>
  <c r="B24" i="2"/>
  <c r="D24" i="2"/>
  <c r="K32" i="2"/>
  <c r="K31" i="2"/>
  <c r="K30" i="2"/>
  <c r="K33" i="2"/>
  <c r="C22" i="2"/>
  <c r="D22" i="2"/>
  <c r="H3" i="2"/>
  <c r="I3" i="2"/>
  <c r="N33" i="2"/>
  <c r="O33" i="2"/>
  <c r="I12" i="11"/>
  <c r="G4" i="5"/>
  <c r="N34" i="2"/>
  <c r="N35" i="2"/>
  <c r="N36" i="2"/>
  <c r="O35" i="2"/>
  <c r="O36" i="2"/>
  <c r="O34" i="2"/>
  <c r="D4" i="1"/>
  <c r="B5" i="1"/>
  <c r="C5" i="1"/>
  <c r="D5" i="1"/>
  <c r="D6" i="1"/>
  <c r="D7" i="1"/>
  <c r="N37" i="1"/>
  <c r="N39" i="1"/>
  <c r="N40" i="1"/>
  <c r="N17" i="1"/>
  <c r="N19" i="1"/>
  <c r="N20" i="1"/>
  <c r="H3" i="1"/>
  <c r="N27" i="1"/>
  <c r="N30" i="1"/>
  <c r="H20" i="5"/>
  <c r="H22" i="5"/>
  <c r="J15" i="6"/>
  <c r="J14" i="6"/>
  <c r="J13" i="6"/>
  <c r="D4" i="6"/>
  <c r="J7" i="6"/>
  <c r="J6" i="6"/>
  <c r="J5" i="6"/>
  <c r="J3" i="6"/>
  <c r="J5" i="11"/>
  <c r="C8" i="11"/>
  <c r="B8" i="11"/>
  <c r="D8" i="11"/>
  <c r="D4" i="11"/>
  <c r="B9" i="11"/>
  <c r="C9" i="11"/>
  <c r="D9" i="11"/>
  <c r="I4" i="11"/>
  <c r="J7" i="11"/>
  <c r="E7" i="11"/>
  <c r="J10" i="11"/>
  <c r="I5" i="11"/>
  <c r="D3" i="11"/>
  <c r="I3" i="11"/>
  <c r="I7" i="11"/>
  <c r="D7" i="11"/>
  <c r="I10" i="11"/>
  <c r="I14" i="11"/>
  <c r="I17" i="11"/>
  <c r="C7" i="7"/>
  <c r="H3" i="5"/>
  <c r="C5" i="7"/>
  <c r="D7" i="7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I18" i="11"/>
  <c r="I16" i="11"/>
  <c r="J8" i="6"/>
  <c r="J16" i="6"/>
  <c r="J20" i="6"/>
  <c r="C23" i="7"/>
  <c r="B23" i="7"/>
  <c r="C22" i="7"/>
  <c r="B22" i="7"/>
  <c r="I5" i="6"/>
  <c r="H5" i="6"/>
  <c r="C4" i="6"/>
  <c r="B4" i="6"/>
  <c r="I15" i="6"/>
  <c r="H15" i="6"/>
  <c r="C15" i="7"/>
  <c r="B15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J9" i="10"/>
  <c r="E12" i="10"/>
  <c r="J4" i="10"/>
  <c r="J19" i="10"/>
  <c r="I9" i="10"/>
  <c r="I14" i="10"/>
  <c r="I4" i="10"/>
  <c r="I19" i="10"/>
  <c r="J10" i="10"/>
  <c r="E13" i="10"/>
  <c r="J5" i="10"/>
  <c r="J20" i="10"/>
  <c r="I10" i="10"/>
  <c r="I15" i="10"/>
  <c r="I5" i="10"/>
  <c r="I20" i="10"/>
  <c r="J11" i="10"/>
  <c r="E14" i="10"/>
  <c r="J6" i="10"/>
  <c r="J21" i="10"/>
  <c r="I11" i="10"/>
  <c r="I16" i="10"/>
  <c r="I6" i="10"/>
  <c r="I21" i="10"/>
  <c r="C9" i="7"/>
  <c r="D9" i="7"/>
  <c r="D5" i="7"/>
  <c r="B9" i="7"/>
  <c r="B5" i="7"/>
  <c r="D13" i="10"/>
  <c r="D14" i="10"/>
  <c r="D12" i="10"/>
  <c r="D11" i="10"/>
  <c r="C8" i="10"/>
  <c r="B8" i="10"/>
  <c r="D8" i="10"/>
  <c r="D6" i="10"/>
  <c r="D4" i="10"/>
  <c r="D3" i="10"/>
  <c r="D19" i="2"/>
  <c r="K13" i="6"/>
  <c r="B14" i="7"/>
  <c r="C14" i="7"/>
  <c r="D14" i="7"/>
  <c r="D15" i="7"/>
  <c r="C16" i="7"/>
  <c r="D16" i="7"/>
  <c r="B16" i="7"/>
  <c r="B12" i="6"/>
  <c r="C8" i="7"/>
  <c r="D8" i="7"/>
  <c r="B11" i="6"/>
  <c r="B8" i="7"/>
</calcChain>
</file>

<file path=xl/sharedStrings.xml><?xml version="1.0" encoding="utf-8"?>
<sst xmlns="http://schemas.openxmlformats.org/spreadsheetml/2006/main" count="477" uniqueCount="253">
  <si>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</si>
  <si>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</si>
  <si>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</si>
  <si>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</si>
  <si>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</si>
  <si>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</si>
  <si>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</si>
  <si>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</si>
  <si>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</si>
  <si>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</si>
  <si>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</si>
  <si>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</si>
  <si>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</si>
  <si>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</si>
  <si>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</si>
  <si>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</si>
  <si>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</si>
  <si>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</si>
  <si>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</si>
  <si>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</si>
  <si>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</si>
  <si>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</si>
  <si>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</si>
  <si>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</si>
  <si>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</si>
  <si>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</si>
  <si>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</si>
  <si>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</si>
  <si>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</si>
  <si>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</si>
  <si>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</si>
  <si>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</si>
  <si>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</si>
  <si>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</si>
  <si>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</si>
  <si>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</si>
  <si>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</si>
  <si>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</si>
  <si>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</si>
  <si>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</si>
  <si>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</si>
  <si>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</si>
  <si>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</si>
  <si>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</si>
  <si>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</si>
  <si>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</si>
  <si>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</si>
  <si>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</si>
  <si>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</si>
  <si>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</si>
  <si>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</si>
  <si>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</si>
  <si>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</si>
  <si>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</si>
  <si>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</si>
  <si>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</si>
  <si>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</si>
  <si>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</si>
  <si>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</si>
  <si>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</si>
  <si>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</si>
  <si>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</si>
  <si>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</si>
  <si>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</si>
  <si>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</si>
  <si>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</si>
  <si>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</si>
  <si>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Results</t>
  </si>
  <si>
    <t>Sign</t>
  </si>
  <si>
    <t>we have factory farming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</si>
  <si>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</si>
  <si>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</si>
  <si>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</si>
  <si>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</si>
  <si>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</si>
  <si>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</si>
  <si>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</si>
  <si>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</si>
  <si>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</si>
  <si>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</si>
  <si>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</si>
  <si>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</si>
  <si>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</si>
  <si>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</si>
  <si>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</si>
  <si>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</si>
  <si>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</si>
  <si>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</si>
  <si>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</si>
  <si>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</si>
  <si>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</si>
  <si>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</si>
  <si>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</si>
  <si>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</si>
  <si>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</si>
  <si>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</si>
  <si>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</si>
  <si>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</si>
  <si>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</si>
  <si>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</si>
  <si>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</si>
  <si>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</si>
  <si>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</si>
  <si>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</si>
  <si>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</si>
  <si>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</si>
  <si>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</si>
  <si>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</si>
  <si>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</si>
  <si>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</si>
  <si>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</si>
  <si>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</si>
  <si>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</si>
  <si>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</si>
  <si>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</si>
  <si>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</si>
  <si>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</si>
  <si>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</si>
  <si>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</si>
  <si>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</si>
  <si>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</si>
  <si>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</si>
  <si>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</si>
  <si>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</si>
  <si>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</si>
  <si>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</si>
  <si>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</si>
  <si>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</si>
  <si>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</si>
  <si>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center of distribution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</si>
  <si>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</si>
  <si>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</si>
  <si>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</si>
  <si>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</si>
  <si>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</si>
  <si>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General</t>
  </si>
  <si>
    <t>x-risk averted per $1000</t>
  </si>
  <si>
    <t>1/hours to solve</t>
  </si>
  <si>
    <t>TODO: don't know how to calculate this variance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</si>
  <si>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</si>
  <si>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</si>
  <si>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</si>
  <si>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</si>
  <si>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</si>
  <si>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</si>
  <si>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</si>
  <si>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</si>
  <si>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Split biological/computronium model</t>
  </si>
  <si>
    <t>utility per cage removed</t>
  </si>
  <si>
    <t>years factory farming prevented per $1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</si>
  <si>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</si>
  <si>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</si>
  <si>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</si>
  <si>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</si>
  <si>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</si>
  <si>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</si>
  <si>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</si>
  <si>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</si>
  <si>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</si>
  <si>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</si>
  <si>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</si>
  <si>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</si>
  <si>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</si>
  <si>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</si>
  <si>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</si>
  <si>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</si>
  <si>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</si>
  <si>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</si>
  <si>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</si>
  <si>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</si>
  <si>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</si>
  <si>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</si>
  <si>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</si>
  <si>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</si>
  <si>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</si>
  <si>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</si>
  <si>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</si>
  <si>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</si>
  <si>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</si>
  <si>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AI Targeted Values Spreading</t>
  </si>
  <si>
    <t>Posterior</t>
  </si>
  <si>
    <t>Total utility</t>
  </si>
  <si>
    <t>Ratio vs. GD</t>
  </si>
  <si>
    <t>Utility from direct effects only</t>
  </si>
  <si>
    <t>Negative effect on suffering simulations</t>
  </si>
  <si>
    <t>Fully split model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</si>
  <si>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</si>
  <si>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</si>
  <si>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</si>
  <si>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</si>
  <si>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</si>
  <si>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</si>
  <si>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</si>
  <si>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</si>
  <si>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</si>
  <si>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</si>
  <si>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</si>
  <si>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</si>
  <si>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</si>
  <si>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</si>
  <si>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</si>
  <si>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</si>
  <si>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</si>
  <si>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</si>
  <si>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</si>
  <si>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</si>
  <si>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</si>
  <si>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</si>
  <si>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</si>
  <si>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</si>
  <si>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</si>
  <si>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</si>
  <si>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</si>
  <si>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</si>
  <si>
    <t>scale (logarithmic base 10); this is the equivalent of standard deviation, not variance</t>
  </si>
  <si>
    <t>global poverty</t>
  </si>
  <si>
    <t>factory farming</t>
  </si>
  <si>
    <t>wild animals</t>
  </si>
  <si>
    <t>sentient simulations</t>
  </si>
  <si>
    <t>far future</t>
  </si>
  <si>
    <t>should be 43.27</t>
  </si>
  <si>
    <t>Enable calculations?</t>
  </si>
  <si>
    <t>0 for false, 1 for true</t>
  </si>
  <si>
    <t>animal-years caused per human year</t>
  </si>
  <si>
    <t>This figure is pretty robust but only includes land animals, you could increase the bounds to account for fish/shellfish</t>
  </si>
  <si>
    <t>Correlated with P(AI-related extinction) on the AI Safety sheet</t>
  </si>
  <si>
    <t>buckets</t>
  </si>
  <si>
    <t>for a poor developing-world human. probably less happy than someone in the developed world</t>
  </si>
  <si>
    <t>(1) does not include fish/shellfish; (2) I am willing to trade maybe 5 years normal life vs. 1 year on factory farm, and extremely poor people's lives are about half as good as those in the developed world according to world happiness surveys</t>
  </si>
  <si>
    <t>Warning: takes a long time to evaluate (30 seconds on my machine)</t>
  </si>
  <si>
    <t>exp mean/variance</t>
  </si>
  <si>
    <t>pos EV (buckets)</t>
  </si>
  <si>
    <t>neg EV (buckets)</t>
  </si>
  <si>
    <t>neg exp mean/variance</t>
  </si>
  <si>
    <t>pos exp mean/variance</t>
  </si>
  <si>
    <t>Mu</t>
  </si>
  <si>
    <t>Sigma^2 (orders of magnitude)</t>
  </si>
  <si>
    <t>Sigma^2</t>
  </si>
  <si>
    <t>Sigma</t>
  </si>
  <si>
    <t>P-weighted utility estimate (adj. by probability)</t>
  </si>
  <si>
    <t>Probability (used in P-weighted utility estimate)</t>
  </si>
  <si>
    <t>overall exp mean/variance</t>
  </si>
  <si>
    <t>overall utility estimate</t>
  </si>
  <si>
    <t>from looking at random articles I found on Google</t>
  </si>
  <si>
    <t>Total far future effect</t>
  </si>
  <si>
    <t>Total negative far-future effect</t>
  </si>
  <si>
    <t>Total positive far-future effect</t>
  </si>
  <si>
    <t>utility estimates</t>
  </si>
  <si>
    <t>sum (buckets)</t>
  </si>
  <si>
    <t>Total far-future effect</t>
  </si>
  <si>
    <t>Total (Pareto posterior)</t>
  </si>
  <si>
    <t>Total (log-normal posterior)</t>
  </si>
  <si>
    <t>Total log-normal posterior)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</si>
</sst>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  <font>
      <sz val="12"/>
      <color rgb="FFFF0000"/>
      <name val="Calibri"/>
      <family val="2"/>
      <scheme val="minor"/>
    </font>
    <font>
      <sz val="12"/>
      <color rgb="FFFF66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70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6" fillId="0" borderId="0" xfId="0" applyFont="1" applyFill="1"/>
    <xf numFmtId="0" fontId="0" fillId="0" borderId="0" xfId="0" applyFill="1" applyAlignment="1">
      <alignment horizontal="right"/>
    </xf>
    <xf numFmtId="2" fontId="0" fillId="0" borderId="0" xfId="0" applyNumberFormat="1" applyFont="1"/>
    <xf numFmtId="0" fontId="0" fillId="5" borderId="0" xfId="0" applyNumberFormat="1" applyFill="1"/>
    <xf numFmtId="0" fontId="3" fillId="0" borderId="0" xfId="0" applyFont="1" applyFill="1" applyAlignment="1">
      <alignment wrapText="1"/>
    </xf>
    <xf numFmtId="0" fontId="0" fillId="0" borderId="0" xfId="0" applyFont="1" applyFill="1" applyAlignment="1">
      <alignment wrapText="1"/>
    </xf>
    <xf numFmtId="0" fontId="0" fillId="0" borderId="0" xfId="0" applyNumberFormat="1"/>
    <xf numFmtId="0" fontId="0" fillId="17" borderId="0" xfId="0" applyFill="1"/>
    <xf numFmtId="0" fontId="0" fillId="0" borderId="0" xfId="0" applyFont="1" applyFill="1"/>
    <xf numFmtId="0" fontId="7" fillId="0" borderId="0" xfId="0" applyFont="1" applyFill="1"/>
    <xf numFmtId="0" fontId="0" fillId="15" borderId="0" xfId="0" applyFont="1" applyFill="1"/>
    <xf numFmtId="0" fontId="6" fillId="8" borderId="0" xfId="0" applyFont="1" applyFill="1"/>
    <xf numFmtId="0" fontId="8" fillId="0" borderId="0" xfId="0" applyFont="1"/>
    <xf numFmtId="0" fontId="0" fillId="18" borderId="0" xfId="0" applyFill="1"/>
  </cellXfs>
  <cellStyles count="170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workbookViewId="0">
      <selection activeCell="K8" sqref="K8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7" t="s">
        <v>181</v>
      </c>
      <c r="G1" s="7" t="s">
        <v>183</v>
      </c>
    </row>
    <row r="2" spans="1:12">
      <c r="J2" t="s">
        <v>180</v>
      </c>
    </row>
    <row r="3" spans="1:12">
      <c r="A3" s="1" t="s">
        <v>146</v>
      </c>
      <c r="H3" t="s">
        <v>152</v>
      </c>
      <c r="I3" t="s">
        <v>34</v>
      </c>
      <c r="J3" s="30" t="s">
        <v>141</v>
      </c>
      <c r="K3" s="30" t="s">
        <v>142</v>
      </c>
    </row>
    <row r="4" spans="1:12">
      <c r="B4" s="30" t="s">
        <v>141</v>
      </c>
      <c r="C4" s="30" t="s">
        <v>142</v>
      </c>
      <c r="D4" s="30" t="s">
        <v>182</v>
      </c>
      <c r="G4" s="45" t="s">
        <v>143</v>
      </c>
      <c r="H4" s="4">
        <f>GiveDirectly!G3</f>
        <v>1</v>
      </c>
      <c r="I4">
        <f>GiveDirectly!H3</f>
        <v>6.25E-2</v>
      </c>
      <c r="J4" s="5">
        <f>ParetoPosterior(median,alpha,H4:I4)</f>
        <v>1.0718443947358864</v>
      </c>
      <c r="K4" s="5">
        <f>LognormPosterior(mu_global_poverty,sigma_global_poverty,H4:I4)</f>
        <v>1.1516259366300541</v>
      </c>
    </row>
    <row r="5" spans="1:12">
      <c r="A5" s="30" t="s">
        <v>143</v>
      </c>
      <c r="B5" s="5">
        <f>GiveDirectly!B20</f>
        <v>-3.9574710943274464E+16</v>
      </c>
      <c r="C5" s="5">
        <f>GiveDirectly!B21</f>
        <v>-98.024402152451387</v>
      </c>
      <c r="D5" s="5">
        <f>C5/$C$5</f>
        <v>1</v>
      </c>
      <c r="G5" s="4" t="s">
        <v>150</v>
      </c>
      <c r="H5" s="4">
        <v>11</v>
      </c>
      <c r="I5">
        <f>0.5^2</f>
        <v>0.25</v>
      </c>
      <c r="J5" s="5">
        <f>ParetoPosterior(median,alpha,H5:I5)</f>
        <v>5.5189570936889352</v>
      </c>
      <c r="K5" s="5">
        <f>LognormPosterior(mu_global_poverty,sigma_global_poverty,H5:I5)</f>
        <v>6.0877279886251294</v>
      </c>
    </row>
    <row r="6" spans="1:12">
      <c r="A6" s="30" t="s">
        <v>144</v>
      </c>
      <c r="B6" s="5"/>
      <c r="C6" s="5" t="e">
        <f>MAX(THL!H7,THL!M10,THL!H22,THL!H32,THL!#REF!)</f>
        <v>#REF!</v>
      </c>
      <c r="D6" s="5" t="e">
        <f>C6/C5</f>
        <v>#REF!</v>
      </c>
      <c r="E6" t="s">
        <v>208</v>
      </c>
      <c r="G6" s="4" t="s">
        <v>144</v>
      </c>
      <c r="H6" s="19">
        <f>THL!H5</f>
        <v>15083.103128998355</v>
      </c>
      <c r="I6">
        <f>THL!I5</f>
        <v>0.79504262895320132</v>
      </c>
      <c r="J6" s="5">
        <f>ParetoPosterior(median,alpha,H6:I6)</f>
        <v>278.14172544025013</v>
      </c>
      <c r="K6" s="5">
        <f>LognormPosterior(mu_factory_farming,sigma_factory_farming,H6:I6)</f>
        <v>38.692316763766371</v>
      </c>
    </row>
    <row r="7" spans="1:12">
      <c r="A7" s="30" t="s">
        <v>209</v>
      </c>
      <c r="B7" s="5"/>
      <c r="C7" s="5" t="e">
        <f>ACE!I17</f>
        <v>#VALUE!</v>
      </c>
      <c r="D7" s="5" t="e">
        <f>C7/$C$5</f>
        <v>#VALUE!</v>
      </c>
      <c r="G7" s="4" t="s">
        <v>151</v>
      </c>
      <c r="H7" s="19">
        <v>22000</v>
      </c>
      <c r="I7">
        <v>0.5</v>
      </c>
      <c r="J7" s="5">
        <f>ParetoPosterior(median,alpha,H7:I7)</f>
        <v>1582.0302237467174</v>
      </c>
      <c r="K7" s="5">
        <f>LognormPosterior(mu_factory_farming,sigma_factory_farming,H7:I7)</f>
        <v>114.47918763046155</v>
      </c>
    </row>
    <row r="8" spans="1:12">
      <c r="A8" s="30" t="s">
        <v>145</v>
      </c>
      <c r="B8" s="5">
        <f>'AI Safety'!B11</f>
        <v>1.7616230324321696E+25</v>
      </c>
      <c r="C8" s="5">
        <f>'AI Safety'!B12</f>
        <v>325.50189986219328</v>
      </c>
      <c r="D8" s="5">
        <f>C8/$C$5</f>
        <v>-3.3206211179534662</v>
      </c>
      <c r="G8" s="4"/>
      <c r="H8" s="19"/>
      <c r="I8" s="4"/>
      <c r="K8" s="4"/>
      <c r="L8" s="4"/>
    </row>
    <row r="9" spans="1:12">
      <c r="A9" s="30" t="s">
        <v>179</v>
      </c>
      <c r="B9" s="5">
        <f>'AI Targeted Values Spreading'!B25</f>
        <v>0</v>
      </c>
      <c r="C9" s="5">
        <f>'AI Targeted Values Spreading'!C25</f>
        <v>0</v>
      </c>
      <c r="D9" s="5">
        <f>C9/$C$5</f>
        <v>0</v>
      </c>
    </row>
    <row r="12" spans="1:12">
      <c r="A12" s="1" t="s">
        <v>147</v>
      </c>
    </row>
    <row r="13" spans="1:12">
      <c r="B13" s="30" t="s">
        <v>141</v>
      </c>
      <c r="C13" s="30" t="s">
        <v>142</v>
      </c>
      <c r="D13" s="30" t="s">
        <v>182</v>
      </c>
    </row>
    <row r="14" spans="1:12">
      <c r="A14" s="30" t="s">
        <v>143</v>
      </c>
      <c r="B14" s="5">
        <f>GiveDirectly!B37</f>
        <v>0</v>
      </c>
      <c r="C14" s="5">
        <f>GiveDirectly!B38</f>
        <v>0</v>
      </c>
      <c r="D14" s="5" t="e">
        <f>C14/$C$14</f>
        <v>#DIV/0!</v>
      </c>
    </row>
    <row r="15" spans="1:12">
      <c r="A15" s="30" t="s">
        <v>144</v>
      </c>
      <c r="B15" s="5" t="e">
        <f>THL!#REF!</f>
        <v>#REF!</v>
      </c>
      <c r="C15" s="5" t="e">
        <f>THL!#REF!</f>
        <v>#REF!</v>
      </c>
      <c r="D15" s="5" t="e">
        <f>C15/$C$14</f>
        <v>#REF!</v>
      </c>
    </row>
    <row r="16" spans="1:12">
      <c r="A16" s="30" t="s">
        <v>145</v>
      </c>
      <c r="B16" s="5">
        <f>'AI Safety'!B16</f>
        <v>0</v>
      </c>
      <c r="C16" s="5">
        <f>'AI Safety'!B17</f>
        <v>0</v>
      </c>
      <c r="D16" s="5" t="e">
        <f>C16/$C$14</f>
        <v>#DIV/0!</v>
      </c>
    </row>
    <row r="19" spans="1:4">
      <c r="A19" s="1" t="s">
        <v>185</v>
      </c>
    </row>
    <row r="20" spans="1:4">
      <c r="B20" s="30" t="s">
        <v>141</v>
      </c>
      <c r="C20" s="30" t="s">
        <v>142</v>
      </c>
      <c r="D20" s="30" t="s">
        <v>182</v>
      </c>
    </row>
    <row r="21" spans="1:4">
      <c r="A21" s="30" t="s">
        <v>143</v>
      </c>
      <c r="B21" s="5"/>
      <c r="C21" s="5"/>
      <c r="D21" s="5"/>
    </row>
    <row r="22" spans="1:4">
      <c r="A22" s="30" t="s">
        <v>144</v>
      </c>
      <c r="B22" s="5" t="e">
        <f>THL!#REF!</f>
        <v>#REF!</v>
      </c>
      <c r="C22" s="5" t="e">
        <f>THL!#REF!</f>
        <v>#REF!</v>
      </c>
      <c r="D22" s="5"/>
    </row>
    <row r="23" spans="1:4">
      <c r="A23" s="30" t="s">
        <v>145</v>
      </c>
      <c r="B23" s="5">
        <f>'AI Safety'!B21</f>
        <v>0</v>
      </c>
      <c r="C23" s="5">
        <f>'AI Safety'!B22</f>
        <v>0</v>
      </c>
      <c r="D23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C66" sqref="C66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8" width="10.83203125" customWidth="1"/>
    <col min="10" max="10" width="10.83203125" customWidth="1"/>
    <col min="13" max="13" width="10.83203125" customWidth="1"/>
    <col min="14" max="14" width="21.6640625" customWidth="1"/>
  </cols>
  <sheetData>
    <row r="1" spans="1:15" ht="20">
      <c r="A1" s="7" t="s">
        <v>6</v>
      </c>
      <c r="E1" s="7" t="s">
        <v>98</v>
      </c>
      <c r="F1" t="s">
        <v>215</v>
      </c>
      <c r="G1" t="s">
        <v>216</v>
      </c>
      <c r="H1" t="s">
        <v>217</v>
      </c>
      <c r="I1" t="s">
        <v>218</v>
      </c>
      <c r="J1" t="s">
        <v>219</v>
      </c>
      <c r="M1" s="1"/>
      <c r="N1" s="7" t="s">
        <v>221</v>
      </c>
    </row>
    <row r="2" spans="1:15">
      <c r="A2" s="5" t="s">
        <v>5</v>
      </c>
      <c r="B2" s="24">
        <v>1</v>
      </c>
      <c r="D2" t="s">
        <v>129</v>
      </c>
      <c r="E2" s="5" t="s">
        <v>99</v>
      </c>
      <c r="F2" s="11">
        <v>1</v>
      </c>
      <c r="G2" s="11">
        <v>1</v>
      </c>
      <c r="H2" s="40">
        <v>1</v>
      </c>
      <c r="I2" s="11">
        <v>1</v>
      </c>
      <c r="J2" s="11">
        <v>1</v>
      </c>
      <c r="N2" s="44">
        <v>1</v>
      </c>
      <c r="O2" t="s">
        <v>222</v>
      </c>
    </row>
    <row r="3" spans="1:15">
      <c r="A3" s="5" t="s">
        <v>4</v>
      </c>
      <c r="B3" s="11">
        <v>1.5</v>
      </c>
      <c r="D3" t="s">
        <v>214</v>
      </c>
      <c r="E3" s="5" t="s">
        <v>100</v>
      </c>
      <c r="F3" s="11">
        <v>0.6</v>
      </c>
      <c r="G3" s="11">
        <f>sigma_global_poverty</f>
        <v>0.6</v>
      </c>
      <c r="H3" s="11">
        <f>sigma_global_poverty</f>
        <v>0.6</v>
      </c>
      <c r="I3" s="11">
        <f>sigma_global_poverty</f>
        <v>0.6</v>
      </c>
      <c r="J3" s="11">
        <f>sigma_global_poverty</f>
        <v>0.6</v>
      </c>
    </row>
    <row r="5" spans="1:15" ht="20">
      <c r="A5" s="7" t="s">
        <v>17</v>
      </c>
      <c r="N5" s="7" t="s">
        <v>111</v>
      </c>
    </row>
    <row r="6" spans="1:15">
      <c r="A6" s="14" t="s">
        <v>7</v>
      </c>
      <c r="B6" s="12">
        <v>0.2</v>
      </c>
      <c r="C6" s="14" t="s">
        <v>16</v>
      </c>
      <c r="D6" s="12">
        <v>0.7</v>
      </c>
      <c r="N6" s="30" t="s">
        <v>113</v>
      </c>
    </row>
    <row r="7" spans="1:15">
      <c r="N7" s="33" t="s">
        <v>112</v>
      </c>
    </row>
    <row r="8" spans="1:15">
      <c r="A8" s="14" t="s">
        <v>8</v>
      </c>
      <c r="B8" s="12">
        <v>0.7</v>
      </c>
      <c r="C8" s="14" t="s">
        <v>9</v>
      </c>
      <c r="D8" s="12">
        <v>0.8</v>
      </c>
      <c r="E8" s="14" t="s">
        <v>69</v>
      </c>
      <c r="F8" s="12">
        <v>0.3</v>
      </c>
      <c r="N8" s="28" t="s">
        <v>60</v>
      </c>
    </row>
    <row r="9" spans="1:15">
      <c r="A9" s="14"/>
      <c r="B9" s="12"/>
      <c r="C9" s="14"/>
      <c r="D9" s="12"/>
      <c r="E9" s="14" t="s">
        <v>11</v>
      </c>
      <c r="F9" s="13">
        <v>0.4</v>
      </c>
      <c r="N9" t="s">
        <v>140</v>
      </c>
    </row>
    <row r="10" spans="1:15">
      <c r="E10" s="14" t="s">
        <v>10</v>
      </c>
      <c r="F10" s="13">
        <v>0.3</v>
      </c>
      <c r="N10" s="29" t="s">
        <v>165</v>
      </c>
    </row>
    <row r="11" spans="1:15">
      <c r="A11" s="14" t="s">
        <v>13</v>
      </c>
      <c r="B11" s="12">
        <v>0.1</v>
      </c>
      <c r="C11" s="14" t="s">
        <v>12</v>
      </c>
      <c r="D11" s="12">
        <v>0.2</v>
      </c>
      <c r="E11" s="4"/>
    </row>
    <row r="12" spans="1:15">
      <c r="C12" s="14" t="s">
        <v>14</v>
      </c>
      <c r="D12" s="12">
        <v>0.75</v>
      </c>
    </row>
    <row r="13" spans="1:15">
      <c r="C13" s="14" t="s">
        <v>15</v>
      </c>
      <c r="D13" s="12">
        <v>0.05</v>
      </c>
    </row>
    <row r="15" spans="1:15" ht="20">
      <c r="A15" s="7" t="s">
        <v>41</v>
      </c>
    </row>
    <row r="16" spans="1:15" ht="20">
      <c r="B16" t="s">
        <v>50</v>
      </c>
      <c r="C16" s="4" t="s">
        <v>51</v>
      </c>
      <c r="D16" t="s">
        <v>53</v>
      </c>
      <c r="E16" t="s">
        <v>238</v>
      </c>
      <c r="F16" t="s">
        <v>237</v>
      </c>
      <c r="G16" t="s">
        <v>31</v>
      </c>
      <c r="N16" s="7" t="s">
        <v>81</v>
      </c>
    </row>
    <row r="17" spans="1:16">
      <c r="A17" s="20" t="s">
        <v>42</v>
      </c>
      <c r="B17" s="15">
        <v>1</v>
      </c>
      <c r="C17" s="15">
        <v>1</v>
      </c>
      <c r="D17">
        <f>B17*C17</f>
        <v>1</v>
      </c>
      <c r="E17" s="48">
        <v>0</v>
      </c>
      <c r="F17" s="4">
        <f>E17^2</f>
        <v>0</v>
      </c>
      <c r="G17" t="s">
        <v>227</v>
      </c>
      <c r="O17" t="s">
        <v>235</v>
      </c>
    </row>
    <row r="18" spans="1:16" ht="30">
      <c r="A18" s="20" t="s">
        <v>43</v>
      </c>
      <c r="B18" s="15">
        <v>-10</v>
      </c>
      <c r="C18" s="15">
        <v>0.5</v>
      </c>
      <c r="D18">
        <f t="shared" ref="D18:D24" si="0">ABS(B18)*C18</f>
        <v>5</v>
      </c>
      <c r="E18" s="48">
        <v>0.3</v>
      </c>
      <c r="F18" s="4">
        <f t="shared" ref="F18:F24" si="1">E18^2</f>
        <v>0.09</v>
      </c>
      <c r="G18" t="s">
        <v>228</v>
      </c>
      <c r="L18" s="3"/>
      <c r="N18" s="29" t="s">
        <v>30</v>
      </c>
      <c r="O18" s="27">
        <v>20000000000</v>
      </c>
      <c r="P18" s="3"/>
    </row>
    <row r="19" spans="1:16">
      <c r="A19" s="29" t="s">
        <v>148</v>
      </c>
      <c r="B19" s="15">
        <v>2</v>
      </c>
      <c r="C19" s="15">
        <v>0.5</v>
      </c>
      <c r="D19">
        <f t="shared" si="0"/>
        <v>1</v>
      </c>
      <c r="E19" s="48">
        <v>0.4</v>
      </c>
      <c r="F19" s="4">
        <f t="shared" si="1"/>
        <v>0.16000000000000003</v>
      </c>
      <c r="G19" t="s">
        <v>211</v>
      </c>
      <c r="L19" s="3"/>
      <c r="N19" s="29" t="s">
        <v>118</v>
      </c>
      <c r="O19" s="15">
        <v>0.05</v>
      </c>
      <c r="P19" s="3"/>
    </row>
    <row r="20" spans="1:16" ht="30">
      <c r="A20" s="20" t="s">
        <v>44</v>
      </c>
      <c r="B20" s="15">
        <v>-2</v>
      </c>
      <c r="C20" s="15">
        <v>0.2</v>
      </c>
      <c r="D20">
        <f t="shared" si="0"/>
        <v>0.4</v>
      </c>
      <c r="E20" s="48">
        <v>0.6</v>
      </c>
      <c r="F20" s="4">
        <f t="shared" si="1"/>
        <v>0.36</v>
      </c>
      <c r="G20" t="s">
        <v>210</v>
      </c>
      <c r="L20" s="3"/>
      <c r="N20" s="3"/>
      <c r="P20" s="3"/>
    </row>
    <row r="21" spans="1:16">
      <c r="A21" s="20" t="s">
        <v>45</v>
      </c>
      <c r="B21" s="15">
        <v>-4</v>
      </c>
      <c r="C21" s="15">
        <v>0.01</v>
      </c>
      <c r="D21">
        <f t="shared" si="0"/>
        <v>0.04</v>
      </c>
      <c r="E21" s="48">
        <v>0.8</v>
      </c>
      <c r="F21" s="4">
        <f t="shared" si="1"/>
        <v>0.64000000000000012</v>
      </c>
      <c r="G21" t="s">
        <v>212</v>
      </c>
      <c r="L21" s="3"/>
      <c r="N21" s="3"/>
      <c r="P21" s="3"/>
    </row>
    <row r="22" spans="1:16">
      <c r="A22" s="20" t="s">
        <v>47</v>
      </c>
      <c r="B22" s="15">
        <v>1000</v>
      </c>
      <c r="C22" s="15">
        <f>C17</f>
        <v>1</v>
      </c>
      <c r="D22">
        <f t="shared" si="0"/>
        <v>1000</v>
      </c>
      <c r="E22" s="48">
        <v>1</v>
      </c>
      <c r="F22" s="4">
        <f t="shared" si="1"/>
        <v>1</v>
      </c>
      <c r="G22" t="s">
        <v>52</v>
      </c>
    </row>
    <row r="23" spans="1:16">
      <c r="A23" s="20" t="s">
        <v>48</v>
      </c>
      <c r="B23" s="15">
        <v>-2</v>
      </c>
      <c r="C23" s="15">
        <v>0.1</v>
      </c>
      <c r="D23">
        <f t="shared" si="0"/>
        <v>0.2</v>
      </c>
      <c r="E23" s="48">
        <v>1.2</v>
      </c>
      <c r="F23" s="4">
        <f t="shared" si="1"/>
        <v>1.44</v>
      </c>
      <c r="G23" t="s">
        <v>52</v>
      </c>
    </row>
    <row r="24" spans="1:16">
      <c r="A24" s="20" t="s">
        <v>49</v>
      </c>
      <c r="B24" s="15">
        <f>-B22</f>
        <v>-1000</v>
      </c>
      <c r="C24" s="15">
        <v>1</v>
      </c>
      <c r="D24">
        <f t="shared" si="0"/>
        <v>1000</v>
      </c>
      <c r="E24" s="48">
        <f>E22</f>
        <v>1</v>
      </c>
      <c r="F24" s="4">
        <f t="shared" si="1"/>
        <v>1</v>
      </c>
      <c r="G24" t="s">
        <v>52</v>
      </c>
    </row>
    <row r="27" spans="1:16" ht="20">
      <c r="A27" s="7" t="s">
        <v>33</v>
      </c>
      <c r="J27" s="7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s="8" t="s">
        <v>235</v>
      </c>
      <c r="L29" s="8" t="s">
        <v>236</v>
      </c>
      <c r="O29" s="8" t="s">
        <v>235</v>
      </c>
      <c r="P29" s="8" t="s">
        <v>236</v>
      </c>
    </row>
    <row r="30" spans="1:16" ht="30">
      <c r="A30" s="10" t="s">
        <v>18</v>
      </c>
      <c r="B30" s="9">
        <v>100000000000</v>
      </c>
      <c r="C30" s="9">
        <v>100000000000000</v>
      </c>
      <c r="D30" t="s">
        <v>37</v>
      </c>
      <c r="E30" s="10" t="s">
        <v>18</v>
      </c>
      <c r="F30" s="9">
        <v>10000000000</v>
      </c>
      <c r="G30" s="9">
        <v>100000000000000</v>
      </c>
      <c r="H30" t="s">
        <v>37</v>
      </c>
      <c r="J30" s="16" t="str">
        <f>A30</f>
        <v>accessible stars</v>
      </c>
      <c r="K30">
        <f>SQRT(B30*C30)</f>
        <v>3162277660168.3794</v>
      </c>
      <c r="L30" s="3">
        <f>LogVariance(B30,C30)</f>
        <v>1.1704562191085683</v>
      </c>
      <c r="N30" s="16" t="str">
        <f>E30</f>
        <v>accessible stars</v>
      </c>
      <c r="O30">
        <f>SQRT(F30*G30)</f>
        <v>1000000000000</v>
      </c>
      <c r="P30" s="3">
        <f>LogVariance(F30,G30)</f>
        <v>1.5606082921447579</v>
      </c>
    </row>
    <row r="31" spans="1:16" ht="30">
      <c r="A31" s="10" t="s">
        <v>20</v>
      </c>
      <c r="B31" s="9">
        <v>100000000000</v>
      </c>
      <c r="C31" s="9">
        <v>1000000000000</v>
      </c>
      <c r="D31" t="s">
        <v>36</v>
      </c>
      <c r="E31" s="17" t="s">
        <v>20</v>
      </c>
      <c r="F31" s="18">
        <v>100000000000</v>
      </c>
      <c r="G31" s="18">
        <v>1000000000000</v>
      </c>
      <c r="H31" s="8" t="s">
        <v>36</v>
      </c>
      <c r="J31" s="16" t="str">
        <f t="shared" ref="J31:J32" si="2">A31</f>
        <v>years of future</v>
      </c>
      <c r="K31">
        <f t="shared" ref="K31:K33" si="3">SQRT(B31*C31)</f>
        <v>316227766016.83789</v>
      </c>
      <c r="L31" s="3">
        <f t="shared" ref="L31:L33" si="4">LogVariance(B31,C31)</f>
        <v>0.39015207303618948</v>
      </c>
      <c r="M31" s="3"/>
      <c r="N31" s="16" t="str">
        <f t="shared" ref="N31:N35" si="5">E31</f>
        <v>years of future</v>
      </c>
      <c r="O31">
        <f t="shared" ref="O31:O35" si="6">SQRT(F31*G31)</f>
        <v>316227766016.83789</v>
      </c>
      <c r="P31" s="3">
        <f t="shared" ref="P31:P36" si="7">LogVariance(F31,G31)</f>
        <v>0.39015207303618948</v>
      </c>
    </row>
    <row r="32" spans="1:16" ht="30">
      <c r="A32" s="10" t="s">
        <v>19</v>
      </c>
      <c r="B32" s="9">
        <v>1E+20</v>
      </c>
      <c r="C32" s="9">
        <v>1.0000000000000001E+25</v>
      </c>
      <c r="D32" t="s">
        <v>37</v>
      </c>
      <c r="E32" s="10" t="s">
        <v>21</v>
      </c>
      <c r="F32" s="9">
        <v>10000000000</v>
      </c>
      <c r="G32" s="9">
        <v>1000000000000</v>
      </c>
      <c r="J32" s="16" t="str">
        <f t="shared" si="2"/>
        <v>usable wattage</v>
      </c>
      <c r="K32">
        <f t="shared" si="3"/>
        <v>3.1622776601683796E+22</v>
      </c>
      <c r="L32" s="3">
        <f t="shared" si="4"/>
        <v>1.9507603651809475</v>
      </c>
      <c r="N32" s="16" t="str">
        <f t="shared" si="5"/>
        <v>humans per star</v>
      </c>
      <c r="O32">
        <f t="shared" si="6"/>
        <v>100000000000</v>
      </c>
      <c r="P32" s="3">
        <f t="shared" si="7"/>
        <v>0.78030414607237897</v>
      </c>
    </row>
    <row r="33" spans="1:16" ht="60">
      <c r="A33" s="10" t="s">
        <v>46</v>
      </c>
      <c r="B33" s="9">
        <v>0.1</v>
      </c>
      <c r="C33" s="9">
        <v>0.1</v>
      </c>
      <c r="D33" t="s">
        <v>37</v>
      </c>
      <c r="E33" s="10" t="s">
        <v>22</v>
      </c>
      <c r="F33" s="9">
        <v>10000000000</v>
      </c>
      <c r="G33" s="9">
        <v>1000000000000</v>
      </c>
      <c r="J33" s="16" t="str">
        <f>A33</f>
        <v>brains per watt</v>
      </c>
      <c r="K33">
        <f t="shared" si="3"/>
        <v>0.1</v>
      </c>
      <c r="L33" s="3">
        <f t="shared" si="4"/>
        <v>0</v>
      </c>
      <c r="N33" s="16" t="str">
        <f t="shared" si="5"/>
        <v>factory farmed animals per star</v>
      </c>
      <c r="O33">
        <f t="shared" si="6"/>
        <v>100000000000</v>
      </c>
      <c r="P33" s="3">
        <f t="shared" si="7"/>
        <v>0.78030414607237897</v>
      </c>
    </row>
    <row r="34" spans="1:16" ht="45">
      <c r="A34" s="16"/>
      <c r="B34" s="19"/>
      <c r="C34" s="19"/>
      <c r="E34" s="10" t="s">
        <v>23</v>
      </c>
      <c r="F34" s="9">
        <v>10000000000000</v>
      </c>
      <c r="G34" s="9">
        <v>1E+16</v>
      </c>
      <c r="H34" t="s">
        <v>38</v>
      </c>
      <c r="J34" s="16"/>
      <c r="L34" s="3"/>
      <c r="N34" s="16" t="str">
        <f t="shared" si="5"/>
        <v>wild vertebrates per star</v>
      </c>
      <c r="O34">
        <f t="shared" si="6"/>
        <v>316227766016837.94</v>
      </c>
      <c r="P34" s="3">
        <f t="shared" si="7"/>
        <v>1.1704562191085683</v>
      </c>
    </row>
    <row r="35" spans="1:16" ht="30">
      <c r="A35" s="16"/>
      <c r="B35" s="19"/>
      <c r="C35" s="19"/>
      <c r="E35" s="10" t="s">
        <v>62</v>
      </c>
      <c r="F35" s="9">
        <v>1E+17</v>
      </c>
      <c r="G35" s="9">
        <v>1E+21</v>
      </c>
      <c r="H35" t="s">
        <v>39</v>
      </c>
      <c r="J35" s="16"/>
      <c r="L35" s="3"/>
      <c r="N35" s="16" t="str">
        <f t="shared" si="5"/>
        <v>insects per star</v>
      </c>
      <c r="O35">
        <f t="shared" si="6"/>
        <v>1E+19</v>
      </c>
      <c r="P35" s="3">
        <f t="shared" si="7"/>
        <v>1.5606082921447579</v>
      </c>
    </row>
    <row r="36" spans="1:16" ht="30">
      <c r="E36" s="10" t="s">
        <v>66</v>
      </c>
      <c r="F36" s="9">
        <v>1E-3</v>
      </c>
      <c r="G36" s="9">
        <v>1</v>
      </c>
      <c r="N36" s="16" t="str">
        <f>E36</f>
        <v>simulations per insect</v>
      </c>
      <c r="O36">
        <f>SQRT(F36*G36)</f>
        <v>3.1622776601683791E-2</v>
      </c>
      <c r="P36" s="3">
        <f t="shared" si="7"/>
        <v>1.1704562191085683</v>
      </c>
    </row>
    <row r="39" spans="1:16" ht="20">
      <c r="A39" s="7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157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W63"/>
  <sheetViews>
    <sheetView workbookViewId="0">
      <selection activeCell="L5" sqref="L5:M5"/>
    </sheetView>
  </sheetViews>
  <sheetFormatPr baseColWidth="10" defaultRowHeight="15" customHeight="1" x14ac:dyDescent="0"/>
  <cols>
    <col min="1" max="1" width="21.6640625" style="6" customWidth="1"/>
    <col min="2" max="2" width="12.1640625" bestFit="1" customWidth="1"/>
    <col min="5" max="5" width="10.83203125" customWidth="1"/>
    <col min="6" max="6" width="21.6640625" customWidth="1"/>
    <col min="7" max="7" width="12.1640625" bestFit="1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3" customFormat="1" ht="30" customHeight="1">
      <c r="A1" s="22" t="s">
        <v>59</v>
      </c>
      <c r="F1" s="22" t="s">
        <v>54</v>
      </c>
      <c r="K1" s="22" t="s">
        <v>67</v>
      </c>
    </row>
    <row r="2" spans="1:18" ht="15" customHeight="1">
      <c r="B2" s="8" t="s">
        <v>235</v>
      </c>
      <c r="C2" s="8" t="s">
        <v>236</v>
      </c>
      <c r="F2" s="6"/>
      <c r="G2" s="8" t="s">
        <v>235</v>
      </c>
      <c r="H2" s="8" t="s">
        <v>236</v>
      </c>
      <c r="L2" s="28" t="s">
        <v>239</v>
      </c>
      <c r="M2" s="28" t="s">
        <v>237</v>
      </c>
      <c r="N2" t="s">
        <v>68</v>
      </c>
      <c r="P2" t="s">
        <v>240</v>
      </c>
      <c r="Q2" s="4"/>
      <c r="R2" s="4"/>
    </row>
    <row r="3" spans="1:18" ht="15" customHeight="1">
      <c r="A3" s="6" t="s">
        <v>18</v>
      </c>
      <c r="B3" s="4">
        <f>VLOOKUP($A3,Globals!$J$30:$L$34,2,FALSE)</f>
        <v>3162277660168.3794</v>
      </c>
      <c r="C3" s="4">
        <f>VLOOKUP($A3,Globals!$J$30:$L$34,3,FALSE)</f>
        <v>1.1704562191085683</v>
      </c>
      <c r="F3" s="6" t="s">
        <v>18</v>
      </c>
      <c r="G3">
        <f>VLOOKUP($F3,Globals!$N$30:$P$36,2,FALSE)</f>
        <v>1000000000000</v>
      </c>
      <c r="H3">
        <f>VLOOKUP($F3,Globals!$N$30:$P$36,3,FALSE)</f>
        <v>1.5606082921447579</v>
      </c>
      <c r="K3" t="s">
        <v>71</v>
      </c>
      <c r="L3" s="26">
        <f>G10*P3</f>
        <v>2.2135943621178649E+34</v>
      </c>
      <c r="M3" s="26">
        <f>H10</f>
        <v>2.7310645112533267</v>
      </c>
      <c r="N3">
        <v>1</v>
      </c>
      <c r="O3" t="s">
        <v>89</v>
      </c>
      <c r="P3">
        <f>p_biological</f>
        <v>0.7</v>
      </c>
      <c r="Q3" s="4"/>
      <c r="R3" s="4"/>
    </row>
    <row r="4" spans="1:18" ht="15" customHeight="1">
      <c r="A4" s="6" t="s">
        <v>20</v>
      </c>
      <c r="B4" s="4">
        <f>VLOOKUP($A4,Globals!$J$30:$L$34,2,FALSE)</f>
        <v>316227766016.83789</v>
      </c>
      <c r="C4" s="4">
        <f>VLOOKUP($A4,Globals!$J$30:$L$34,3,FALSE)</f>
        <v>0.39015207303618948</v>
      </c>
      <c r="F4" s="6" t="s">
        <v>20</v>
      </c>
      <c r="G4">
        <f>VLOOKUP($F4,Globals!$N$30:$P$36,2,FALSE)</f>
        <v>316227766016.83789</v>
      </c>
      <c r="H4">
        <f>VLOOKUP($F4,Globals!$N$30:$P$36,3,FALSE)</f>
        <v>0.39015207303618948</v>
      </c>
      <c r="K4" t="s">
        <v>75</v>
      </c>
      <c r="L4" s="26">
        <f>B11*P4</f>
        <v>6.3245553203367595E+46</v>
      </c>
      <c r="M4" s="26">
        <f>C11</f>
        <v>4.5113686573257059</v>
      </c>
      <c r="N4">
        <v>1</v>
      </c>
      <c r="O4" t="s">
        <v>93</v>
      </c>
      <c r="P4">
        <f>p_computronium*p_hedonium</f>
        <v>2.0000000000000004E-2</v>
      </c>
      <c r="Q4" s="4"/>
      <c r="R4" s="4"/>
    </row>
    <row r="5" spans="1:18" ht="15" customHeight="1">
      <c r="A5" s="6" t="s">
        <v>19</v>
      </c>
      <c r="B5" s="4">
        <f>VLOOKUP($A5,Globals!$J$30:$L$34,2,FALSE)</f>
        <v>3.1622776601683796E+22</v>
      </c>
      <c r="C5" s="4">
        <f>VLOOKUP($A5,Globals!$J$30:$L$34,3,FALSE)</f>
        <v>1.9507603651809475</v>
      </c>
      <c r="K5" s="4" t="s">
        <v>231</v>
      </c>
      <c r="L5" s="4" t="str">
        <f>WriteArray(SumLognormDists(L3:M4))</f>
        <v>0,0,0,0,0,0,0,0,0,0,0,0,0,0,0,0,0,0,0,0,0,0,0,0,0,0,0,0,0,0,0,0,0,0,0,0,0,0,0,0,0,0,0,0,0,0,0,0,0,0,0,0,0,0,0,0,0,0,0,0,0,0,0,0,0,0,0,0,0,0,0,0,0,0,0,0,0,0,0,0,0,0,0,0,0,0,0,0,0,0,0,0,0,9.25222180720831E-312,1.25830216577955E-310,1.69619131947086E-309,2.26527549803281E-308,3.00958307913845E-307,3.97639344322915E-306,5.22487494679996E-305,6.82757918618528E-304,8.87282369776892E-303,1.14673013433407E-301,1.47388931767237E-300,1.88396485374497E-299,2.39488689650078E-298,3.02762101743269E-297,3.80646914708132E-296,4.75934757245288E-295,5.91802564404609E-294,7.31830629476429E-293,9.00012719734056E-292,1.1007559582334E-290,1.33886806202927E-289,1.61952950646907E-288,1.94824827795581E-287,2.33079510424652E-286,2.77311742891182E-285,3.2812309365365E-284,3.86108814171215E-283,4.5184244228413E-282,5.25858289557229E-281,6.08632065299862E-280,7.00560011123535E-279,8.01937043867467E-278,9.12934525385341E-277,1.03357838811535E-275,1.16372843813614E-274,1.30305972505261E-273,1.45104690345598E-272,1.60695250766383E-271,1.76982001519009E-270,1.9384724820487E-269,2.11151739401375E-268,2.28735819441581E-267,2.46421272582009E-266,2.64013856762793E-265,2.81306497446464E-264,2.98083083349441E-263,3.14122777644845E-262,3.29204731888508E-261,3.43113066971955E-260,3.55641967210611E-259,3.6660072142182E-258,3.75818539454263E-257,3.83148974678169E-256,3.88473792622468E-255,3.91706143022726E-254,3.92792916376467E-253,3.91716195653719E-252,3.88493747710324E-251,3.83178535569047E-250,3.75857270278029E-249,3.66648057679007E-248,3.55697229327907E-247,3.43175476376646E-246,3.29273429076727E-245,3.14196841664451E-244,2.98161552087907E-243,2.81388388107912E-242,2.64098185935391E-241,2.46507075336567E-240,2.28822166960761E-239,2.11237754713986E-238,1.93932119686694E-237,1.77064993916513E-236,1.60775713597894E-235,1.4518206363173E-234,1.30379789872569E-233,1.16442733099018E-232,1.03423520367255E-231,9.13547354957833E-231,8.02504811801268E-230,7.01082405951288E-229,6.09109460234815E-228,5.26291655749364E-227,4.52233258120361E-226,3.86458973655024E-225,3.28434816567335E-224,2.77587489050456E-223,2.3332189990421E-222,1.95036568558456E-221,1.62136774570669E-220,1.34045414079584E-219,1.10211611531527E-218,9.01172056914543E-218,7.32812830010076E-217,5.92629691602518E-216,4.7662712535021E-215,3.81223023204878E-214,3.03238623720013E-213,2.39880504738524E-212,1.88716748075309E-211,1.47649166536303E-210,1.14883228685707E-209,8.88970510872593E-209,6.84105652105947E-208,5.23557176090897E-207,3.98483351238643E-206,3.01620867614255E-205,2.27048031231971E-204,1.69972734212699E-203,1.26545282111249E-202,9.36953087400028E-202,6.89913969232875E-201,5.05216176036998E-200,3.67929649250695E-199,2.66475673910319E-198,1.91935632959067E-197,1.37486140366118E-196,9.79416725056986E-196,6.93875271797068E-195,4.88878139188383E-194,3.42550930676541E-193,2.38701433502364E-192,1.65420853824619E-191,1.14006827155253E-190,7.8140618662021E-190,5.32633197240407E-189,3.61064700271722E-188,2.43414957490559E-187,1.63198039190406E-186,1.0881482593527E-185,7.21550418099883E-185,4.75828866253233E-184,3.12061645799643E-183,2.03533324902692E-182,1.32018927120938E-181,8.51613282019103E-181,5.46328963451396E-180,3.48555236931122E-179,2.21153900957009E-178,1.39547871990522E-177,8.75704276873355E-177,5.46509076623135E-176,3.3918993835685E-175,2.09360252482127E-174,1.28514228712717E-173,7.84537886258549E-173,4.76301963744695E-172,2.87578613434654E-171,1.72677828838473E-170,1.03115125003476E-169,6.12370108807367E-169,3.61669121638691E-168,2.12429455064065E-167,1.24086322498577E-166,7.20840180846805E-166,4.16447226778582E-165,2.39269254139399E-164,1.36716134690571E-163,7.76888371747141E-163,4.39039369156847E-162,2.46748388874338E-161,1.37914910504295E-160,7.66609462520433E-160,4.23782684691987E-159,2.32979838810691E-158,1.27379516162574E-157,6.92607186239111E-157,3.74524780205207E-156,2.01409666741901E-155,1.07717502418523E-154,5.72925923579797E-154,3.03051842782701E-153,1.59419581804993E-152,8.34012781174938E-152,4.33920406918665E-151,2.24519360433465E-150,1.15532426421014E-149,5.91235352004149E-149,3.00900784616075E-148,1.52297473202084E-147,7.66599537414041E-147,3.83752228722072E-146,1.91046813177688E-145,9.45878251798429E-145,4.65733271312928E-144,2.28058307950118E-143,1.11060894611531E-142,5.37877157266694E-142,2.59066779329579E-141,1.24092939184594E-140,5.91138390106217E-140,2.80051585100142E-139,1.31945235356238E-138,6.18238753841016E-138,2.88088288572535E-137,1.33506336302528E-136,6.15297398731888E-136,2.82016966823793E-135,1.28550089744291E-134,5.82742310078581E-134,2.62716754588506E-133,1.17789363332853E-132,5.25208196996475E-132,2.328970927337E-131,1.02707893706715E-130,4.50454361883387E-130,1.96473970921304E-129,8.5224906984589E-129,3.67650678163222E-128,1.57729005424781E-127,6.72969144382239E-127,2.85552633805185E-126,1.20499336526881E-125,5.05697312943393E-125,2.11059147219413E-124,8.76042736680247E-124,3.61621320149849E-123,1.48453492989122E-122,6.0608636381237E-122,2.4608568137711E-121,9.93678645377459E-121,3.99037205311625E-120,1.59363436788535E-119,6.32953622464936E-119,2.50013258909582E-118,9.82114639727417E-118,3.83680179714613E-117,1.49068069031886E-116,5.75980808361827E-116,2.21329637232458E-115,8.45822726002008E-115,3.21460334955051E-114,1.21502090178733E-113,4.56718355957286E-113,1.70734620902553E-112,6.3475069112473E-112,2.34689295014865E-111,8.62962530929038E-111,3.15572544191669E-110,1.14766502814128E-109,4.15087641025582E-109,1.49304614082034E-108,5.34091273518164E-108,1.90005694251044E-107,6.72243618591559E-107,2.36535186360368E-106,8.27701747962433E-106,2.88045503770051E-105,9.96913548016676E-105,3.43133503889788E-104,1.17456766896521E-103,3.99854797959232E-103,1.3537422877748E-102,4.55805076162433E-102,1.52627173637517E-101,5.08269646086032E-101,1.68331797456615E-100,5.54431489800777E-100,1.81609861066368e-99,5.91617269095933e-99,1.91669145924274e-98,6.17552086138996e-98,1.97881444140499e-97,6.30589471218663e-97,1.99847444666696e-96,6.29884323663004e-96,1.97439204685792e-95,6.15483559176645e-95,1.90813927067807e-94,5.88320948396651e-94,1.80396981670763e-93,5.50116935431636e-93,1.66836719222795e-92,5.03198375336707e-92,1.50937749105026e-91,4.50264436063043e-91,1.33582217702786e-90,3.94131340409414e-90,1.1564975074395e-89,3.37489243169934e-89,9.79460141402921e-89,2.82699665317352e-88,8.11475877511155e-88,2.31652945451104e-87,6.5767605891438e-87,1.85694198429621e-86,5.21430990617423e-86,1.45615515050077e-85,4.04418372735634e-85,1.11703460946165e-84,3.06842150450707e-84,8.38255007422404e-84,2.27745686654269e-83,6.15371171961226e-83,1.65362578515247e-82,4.41927011301737e-82,1.17456540410334e-81,3.10468350433966e-81,8.16152025064935e-81,2.13372536311349e-80,5.54778774990761e-80,1.43454821588984e-79,3.68913538497761e-79,9.43513910015708e-79,2.39986290379469e-78,6.0707047766629e-78,1.52723720600142e-77,3.82110286040454e-77,9.50792974244853e-77,2.35287229426178e-76,5.79063327358232e-76,1.41732432555425e-75,3.45007119484415e-75,8.35223443684288e-75,2.01091292846476e-74,4.81504111928744e-74,1.14662934749018e-73,2.71558001322759e-73,6.39615284774239e-73,1.49827636316696e-72,3.49045526680501e-72,8.08703776358445e-72,1.86343525639649e-71,4.27028427858345e-71,9.73233642901633e-71,2.20594912970876e-70,4.97269862462044e-70,1.11482645860532e-69,2.48565642186103e-69,5.51180515813465e-69,1.21553025284789e-68,2.66598117593021e-68,5.81524497365266e-68,1.26153360518198e-67,2.72175954863303e-67,5.84011047214889e-67,1.24627247807675e-66,2.64500103315908e-66,5.5829001068825e-66,1.17196681343157e-65,2.44676634365222e-65,5.08032735253852e-65,1.04909110660517e-64,2.15455370273769e-64,4.40072629454249e-64,8.93952871320177e-64,1.80604447351131e-63,3.62882593629089e-63,7.25150328814389e-63,1.44116769182306e-62,2.84856343765777e-62,5.59967138887141e-62,1.09477487712275e-61,2.12869340514815e-61,4.11649699161567e-61,7.91715740611617e-61,1.51439075382201e-60,2.8809400748241e-60,5.45077843137344e-60,1.02567860012085e-59,1.91952143303436e-59,3.57276126728624e-59,6.61370555470276e-59,1.21763190500713e-58,2.22955390567037e-58,4.06023557734781e-58,7.35387596407855e-58,1.3246883300417e-57,2.37325281583367e-57,4.22870842394816e-57,7.49385853480549e-57,1.32080237350084e-56,2.31528999296872e-56,4.03653545939389e-56,6.99920331107437e-56,1.20705083250218e-55,2.07033344136012e-55,3.53177893677382e-55,5.99219469464404e-55,1.01115617728406e-54,1.69703670398787e-54,2.83273323825313e-54,4.70286341163727e-54,7.76536934977766e-54,1.27528067632323e-53,2.08302375094345e-53,3.38398432604853e-53,5.4677552558269e-53,8.78693364942253e-53,1.40447549766732e-52,2.23275227535383e-52,3.53034797444978e-52,5.55195795208941e-52,8.68415601411923e-52,1.35102383828695e-51,2.090516223322e-51,3.2173657642784e-51,4.92498558608076e-51,7.49839712666661e-51,1.13551327303104e-50,1.7103212838563e-50,2.56227858037896e-50,3.81803280992851e-50,5.65873279785218e-50,8.34193020214775e-50,1.22316042089639e-49,1.78390417507119e-49,2.58781158303269e-49,3.73395148961976e-49,5.35897225159224e-49,7.65020661875464e-49,1.08628984244901e-48,1.53426835067019e-48,2.15547121741198e-48,3.01210946020173e-48,4.18686839933302e-48,5.78895831267018e-48,7.96171629680905e-48,1.08920808431126e-47,1.48223042483049e-47,2.00643106347855e-47,2.70171464888827e-47,3.61880029653505e-47,4.82173107436581e-47,6.39084142112234e-47,8.42623167684988e-47,1.10517947125207e-46,1.44198321259993e-46,1.8716285986207e-46,2.41665960503795e-46,3.10421712253235e-46,3.96674374039773e-46,5.04273914948494e-46,6.3775553552593e-46,8.02421658258918e-46,1.00442440073083e-45,1.25084603913288e-45,1.54977445019305e-45,1.91037000847091e-45,2.34291994033879e-45,2.85887572693092e-45,3.47086884013062e-45,4.19269992424961e-45,5.03929653731379e-45,6.02663477342253e-45,7.17162053038346e-45,8.4919268862935e-45,1.00057850165433e-44,1.17317273180972e-44,1.36882828956932e-44,1.58936272738514e-44,1.83651900819109e-44,2.11192264533161e-44,2.41703599070355e-44,2.75311064483285e-44,3.12113914397983e-44,3.5218072349916e-44,3.95544816850532e-44,4.42200051604412e-44,4.92097103873957e-44,5.45140409903913e-44,6.01185900849832e-44,6.60039654419095e-44,7.21457564612387e-44,7.85146103425746e-44,8.50764216534756e-44,9.17926359863716e-44,9.86206646948604e-44,1.05514403969462e-43,1.12424847914286e-43,1.19300781981923e-43,1.26089540265962e-43,1.32737807871417e-43,1.39192447988832e-43,1.45401332460563e-43,1.51314154583082e-43,1.56883203633643e-43,1.62064082100536e-43,1.66816348755385e-43,1.71104073424095e-43,1.748962924567e-43,1.78167357315808e-43,1.80897172241538e-43,1.83071320452164e-43,1.84681081658261e-43,1.85723346675692e-43,1.86200437513846e-43,1.86119843412507e-43,1.85493884855514e-43,1.84339318584087e-43,1.82676897077893e-43,1.80530895903994e-43,1.77928621809779e-43,1.74899913529359e-43,1.71476646066959e-43,1.67692247803849e-43,1.6358123823439e-43,1.59178792553853e-43,1.54520337768203e-43,1.4964118353461e-43,1.44576189617946e-43,1.39359470695346e-43,1.34024138276866e-43,1.28602078740897e-43,1.23123765903306e-43,1.1761810613491e-43,1.12112313792504e-43,1.06631814609291e-43,1.01200174674767e-43,9.58390526952408e-44,9.05681733394055e-44,8.5405319616653e-44,8.03663423907939e-44,7.54651852842059e-44,7.07139233669096e-44,6.61228141453783e-44,6.17003594640551e-44,5.74533770085614e-44,5.33870801555493e-44,4.95051649537595e-44,4.58099030487026e-44,4.23022393843492e-44,3.8981893534173e-44,3.58474635350862e-44,3.28965311248576e-44,3.0125767319186e-44,2.75310373104739e-44,2.51075037273183e-44,2.2849727361779e-44,2.0751764549836e-44,1.88072604777355e-44,1.70095377813601e-44,1.53516799052402e-44,1.38266087901283e-44,1.24271565609303e-44,1.11461309880647e-44,9.97637459301594e-45,8.91081736121392e-45,7.94252311093375e-45,7.06472964449858e-45,6.27088287682909e-45,5.5546651957525e-45,4.91001835819248e-45,4.33116126639335e-45,3.8126029989019e-45,3.34915149254767e-45,2.9359182846932e-45,2.56831973026268e-45,2.24207510628071e-45,1.95320200870217e-45,1.69800943306057e-45,1.47308891277776e-45,1.27530406772307e-45,1.10177889160452e-45,9.49885080793406e-46,8.17228679938491e-46,7.01636291859732e-46,6.01141071295701e-46,5.13968694605559e-46,4.38523470914059e-46,3.73374734778138e-46,3.17243636517119e-46,2.68990424088585e-46,2.27602289950057e-46,1.9218183780841e-46,1.61936207560686e-46,1.36166882065139e-46,1.14260186607462e-46,9.56784809718163e-47,7.99520347937145e-47,6.66715692483626e-47,5.54814419873334e-47,4.60734474442337e-47,3.81812010481617e-47,3.15750733737816e-47,2.60576386829195e-47,2.14596015438815e-47,1.76361651272656e-47,1.4463805255279e-47,1.18374152191159e-47,9.66778767936085e-48,7.87940154132541e-48,6.40848347456084e-48,5.20131565723186e-48,4.21276331484163e-48,3.40499764111879e-48,2.74639169716864e-48,2.21056885125875e-48,1.77558522066641e-48,1.4232293897096e-48,1.13842439054446e-48,9.08718536218205e-49,7.23853183355481e-49,5.75396872481477e-49,4.56436547728e-49,3.61317697007255e-49,2.85426282776067e-49,2.25006257567997e-49,1.77007283716193e-49,1.38958009855724e-49,1.08860904913323e-49,8.51052204945432e-50,6.63951519248475e-50,5.16907035562976e-50,4.01591418854227e-50,3.11352467468565e-50,2.40888521472606e-50,1.85984095429285e-50,1.43295124507328e-50,1.10174966753404e-50,8.45337915714165e-51,6.47252409570405e-51,4.94553078572468e-51,3.77092634811209e-51,2.86932073701247e-51,2.17874323005584e-51,1.65093095579541e-51,1.24838251614871e-51,9.42024832022366e-52,7.09370185088015e-52,5.33064078383381e-52,3.99743868400967e-52,2.9914387202409e-52,2.23395446791571e-52,1.66480905813404e-52,1.23808496543347e-52,9.18824096177586e-53,6.80471920554839e-53,5.02902678063796e-53,3.708972338598e-53,2.7297265701813e-53,2.0048440976117e-53,1.46939301881975e-53,1.07470988785247e-53,7.84405127103597e-54,5.71328000782312e-54,4.15266121457001e-54,3.01205848651179e-54,2.18019935079314e-54,1.57479823028803e-54,1.13514028534659e-54,8.16526082461484e-55,5.86119936585422e-55,4.19854519465187e-55,3.00128389330949e-55,2.14097319155923e-55,1.52409236534877e-55,1.08269779545297e-55,7.67536653055074e-56,5.42983836987821e-56,3.83328038500748e-56,2.7005372876918e-56,1.89856589930096e-56,1.33197808866988e-56,9.32533391767083e-57,6.51519786306819e-57,4.5424142110865e-57,3.16039790212908e-57,2.19428332299794e-57,1.52033588546219e-57,1.05119260571586e-57,7.25305473196802e-58,4.99408027179789e-58,3.43151569208619e-58,2.35294820049511e-58,1.61003252755387e-58,1.09939267889849e-58,7.4914681519062e-59,5.09421113922173e-59,3.45686843751723e-59,2.34090973737717e-59,1.5819122587703e-59,1.06678284108946e-59,7.17902652853917e-60,4.82115396903287e-60,3.23096572714397e-60,2.1607753043884e-60,1.44205814102906e-60,9.60399312044234e-61,6.38288201173994e-61,4.23328686794817e-61,2.80178295453891e-61,1.85049188471174e-61,1.21965159338886e-61,8.0219563911803e-62,5.26527080188255e-62,3.44871284864902e-62,2.254183487459e-62,1.47033873919859e-62,9.57065017088485e-63,6.21672119783286e-63,4.02974204300351e-63,2.60668773498027e-63,1.68266118687299e-63,1.08392754415592e-63,6.96786510578623e-64,4.46987237138191e-64,2.86145168913813e-64,1.82798917530303e-64,1.16535093238133e-64,7.41371254417343e-65,4.70663656460674e-65,2.98182047481756e-65,1.8851600480793e-65,1.18935326347454e-65,7.48806173906298e-66,4.70461263962209e-66,2.94967544034346e-66,1.84552741059776e-66,1.15229233838143e-66,7.1796083702947e-67,4.46410851224866e-67,2.76990348641749e-67,1.71510391261323e-67,1.05977127796264e-67,6.53476176034286e-68,4.02108524085874e-68,2.46917975078879e-68,1.51306658584044e-68,9.25250398711889e-69,5.64620221293805e-69,3.43834523981853e-69,2.08948107360276e-69,1.26713623007051e-69,7.66838805254081e-70,4.63106377631129e-70,2.79095830511475e-70,1.67850191745566e-70,1.00736357095886e-70,6.03318368482196e-71,3.60580935354639e-71,2.15057642455231e-71,1.27997918383486e-71,7.60233213971196e-72,4.50595322465538e-72,2.66515471373332e-72,1.57309183820197e-72,9.26577258842716e-73,5.44634442964607e-73,3.19465875906974e-73,1.86999202501215e-73,1.09232265237334e-73,6.36733987696787e-74,3.70391516686327e-74,2.1501063245689e-74,1.24553159537951e-74,7.2002150444679e-75,4.15367098414535e-75,2.39119296661172e-75,1.37370368452065e-75,7.87530546733768e-76,4.50544466256598e-76,2.57219457665993e-76,1.46543271639426e-76,8.33151258419008e-77,4.72691434597816e-77,2.67625515883512e-77,1.51207456747247e-77,8.52540082591496e-78,4.79680773237072e-78,2.69330614753322e-78,1.50908964854987e-78,8.43801444392494e-79,4.70827038495104e-79,2.62167246612306e-79,1.45677130105395e-79,8.07793264918048e-80,4.46997387850118e-80,2.46834379704363e-80,1.36019827504603e-80,7.47988114374981e-81,4.10471568318846e-81,2.24785022708396e-81,1.22842195014448e-81,6.69921123131739e-82,3.64582385160363e-82,1.97999274358551e-82,1.07306844000369e-82,5.80346209253194e-83,3.13215170350874e-83,1.68691939646385e-83,9.06654416973009e-84,4.86278578033968e-84,2.60270173205094e-84,1.39014329942278e-84,7.40952976421906e-85,3.94110158936086e-85,2.09189806983599e-85,1.10804989072218e-85,5.85698373372474e-86,3.08947458651205e-86,1.62626435458155e-86,8.54266872880719e-87,4.47808048046476e-87,2.34253522501543e-87,1.2228586851881e-87,6.37033573176536e-88,3.31164882352617e-88,1.71799596242402e-88,8.89397506453736e-89,4.59478910691578e-89,2.36881511026765e-89,1.21868833215044e-89,6.25676795046201e-90,3.20555586489443e-90,1.63890038880244e-90,8.36175951741119e-91,4.25734352372134e-91,2.16309514616939e-91,1.09675205672847e-91,5.54928715888119e-92,2.80195945561682e-92,1.41182998468225e-92,7.09902756331489e-93,3.56214201726342e-93,1.78369052146883e-93,8.91299546237359e-94,4.4445088260115e-94,2.21166714861404e-94,1.09827644143245e-94,5.44251300197426e-95,2.69143062114822e-95,1.32819796272265e-95,6.54091246167653e-96,3.21447291445344e-96,1.57643878438756e-96,7.71507865513301e-97,3.76790124521725e-97,1.83634624734536e-97,8.93111206103419e-98,4.33463378856483e-98,2.09939999581431e-98,1.01469116418038e-98,4.89405078662944e-99,2.35558603857458e-99,1.13142397702881e-99,5.42310097778357E-100,2.59397574365033E-100,1.23816931501783E-100,5.89780038825428E-101,2.80347062024674E-101,1.32983529456095E-101,6.29499816463963E-102,2.97364600496541E-102,1.40177668690348E-102,6.59423325754391E-103,3.09560603322858E-103,1.45018353538678E-103,6.77947654173703E-104,3.16275288962129E-104,1.47241511377853E-104,6.84055247416488E-105,3.17137791432422E-105,1.46723852847737E-105,6.77406492213929E-106,3.12100089395867E-106,1.43494196961222E-106,6.58370995563476E-107,3.01441434712201E-107,1.37730813631634E-107,6.27993551946637E-108,2.85742712219803E-108,1.29745124576585E-108,5.87899158684368E-109,2.65834006404369E-109,1.19953836088149E-109,5.40149094352555E-110,2.42721959761429E-110,1.08842972621158E-110,4.87065787903876E-111,2.17505760178409E-111,9.69281239355982E-112,4.31047129890494E-112,1.91291474626558E-112,8.47154025810286E-113,3.74390697767677E-113,1.65113896639163E-113,7.26671471523569E-114,3.19145335166454E-114,1.39873292478015E-114,6.11754258818722E-115,2.67002367112135E-115,1.16291809558647E-115,5.0545099033854E-116,2.19232472471839E-116,9.48913484913898E-117,4.09868235021124E-117,1.76667966984267E-117,7.59918938138434E-118,3.26191493205675E-118,1.39724929912463E-118,5.97270516198381E-119,2.54779311393563E-119,1.0845589158539E-119,4.60721039019781E-120,1.95307467008092E-120,8.26219720811377E-121,3.48793331098216E-121,1.46938869807483E-121,6.17733457575556E-122,2.59156114393787E-122,1.08496993053581E-122,4.53283437757935E-123,1.88980897154544E-123,7.86252190619075E-124,3.2643877326573E-124,1.35250074317153E-124,5.59202615850069E-125,</v>
      </c>
      <c r="M5" s="4" t="s">
        <v>226</v>
      </c>
      <c r="Q5" s="4"/>
      <c r="R5" s="4"/>
    </row>
    <row r="6" spans="1:18" ht="15" customHeight="1">
      <c r="A6" s="6" t="s">
        <v>46</v>
      </c>
      <c r="B6" s="4">
        <f>VLOOKUP($A6,Globals!$J$30:$L$34,2,FALSE)</f>
        <v>0.1</v>
      </c>
      <c r="C6" s="4">
        <f>VLOOKUP($A6,Globals!$J$30:$L$34,3,FALSE)</f>
        <v>0</v>
      </c>
      <c r="K6" s="4" t="s">
        <v>234</v>
      </c>
      <c r="L6" s="4">
        <f>STupidExcelMean(L5)</f>
        <v>9.9251351342794744E+51</v>
      </c>
      <c r="M6" s="4">
        <f>STupidExcelVariance(L5,L6)</f>
        <v>2.3959694081509975E+114</v>
      </c>
      <c r="N6" t="s">
        <v>229</v>
      </c>
      <c r="Q6" s="4"/>
      <c r="R6" s="4"/>
    </row>
    <row r="7" spans="1:18" ht="15" customHeight="1">
      <c r="F7" s="21" t="s">
        <v>58</v>
      </c>
      <c r="Q7" s="4"/>
      <c r="R7" s="4"/>
    </row>
    <row r="8" spans="1:18" ht="15" customHeight="1">
      <c r="F8" s="6" t="s">
        <v>21</v>
      </c>
      <c r="G8">
        <f>VLOOKUP($F8,Globals!$N$30:$P$36,2,FALSE)</f>
        <v>100000000000</v>
      </c>
      <c r="H8">
        <f>VLOOKUP($F8,Globals!$N$30:$P$36,3,FALSE)</f>
        <v>0.78030414607237897</v>
      </c>
      <c r="K8" t="s">
        <v>70</v>
      </c>
      <c r="L8" s="26">
        <f>G16*P8</f>
        <v>2.6563132345414381E+34</v>
      </c>
      <c r="M8" s="26">
        <f>H16</f>
        <v>2.8210645112533266</v>
      </c>
      <c r="N8">
        <v>-1</v>
      </c>
      <c r="O8" t="s">
        <v>78</v>
      </c>
      <c r="P8">
        <f>p_biological*p_not_care_about_animals*p_factory_farming</f>
        <v>0.16799999999999998</v>
      </c>
      <c r="Q8" s="4"/>
      <c r="R8" s="4"/>
    </row>
    <row r="9" spans="1:18" ht="15" customHeight="1">
      <c r="A9" s="21" t="s">
        <v>55</v>
      </c>
      <c r="F9" s="6" t="s">
        <v>42</v>
      </c>
      <c r="G9">
        <f>VLOOKUP($F9,Globals!$A$17:$F$24,4,FALSE)</f>
        <v>1</v>
      </c>
      <c r="H9">
        <f>VLOOKUP($F9,Globals!$A$17:$F$24,6,FALSE)</f>
        <v>0</v>
      </c>
      <c r="K9" t="s">
        <v>72</v>
      </c>
      <c r="L9" s="26">
        <f>G22*P9</f>
        <v>8.9599999999999976E+36</v>
      </c>
      <c r="M9" s="26">
        <f>H22</f>
        <v>3.4812165842895157</v>
      </c>
      <c r="N9">
        <v>-1</v>
      </c>
      <c r="O9" t="s">
        <v>90</v>
      </c>
      <c r="P9">
        <f>p_biological*p_not_care_about_animals*p_spread_was</f>
        <v>0.22399999999999998</v>
      </c>
      <c r="Q9" s="4"/>
      <c r="R9" s="4"/>
    </row>
    <row r="10" spans="1:18" ht="15" customHeight="1">
      <c r="A10" s="6" t="s">
        <v>47</v>
      </c>
      <c r="B10" s="4">
        <f>VLOOKUP($A10,Globals!$A$17:$F$24,4,FALSE)</f>
        <v>1000</v>
      </c>
      <c r="C10" s="4">
        <f>VLOOKUP($A10,Globals!$A$17:$F$24,6,FALSE)</f>
        <v>1</v>
      </c>
      <c r="F10" s="32" t="s">
        <v>60</v>
      </c>
      <c r="G10" s="26">
        <f>PRODUCT(G$3:G$4)*PRODUCT(G8:G9)</f>
        <v>3.1622776601683788E+34</v>
      </c>
      <c r="H10" s="26">
        <f>SUM(H$3:H$4)+SUM(H8:H9)</f>
        <v>2.7310645112533267</v>
      </c>
      <c r="K10" t="s">
        <v>73</v>
      </c>
      <c r="L10" s="26">
        <f>G28*P10</f>
        <v>2.8334007835108666E+40</v>
      </c>
      <c r="M10" s="26">
        <f>H28</f>
        <v>4.1513686573257056</v>
      </c>
      <c r="N10">
        <v>-1</v>
      </c>
      <c r="O10" t="s">
        <v>91</v>
      </c>
      <c r="P10">
        <f>p_biological*p_not_care_about_animals*p_spread_was</f>
        <v>0.22399999999999998</v>
      </c>
      <c r="Q10" s="4"/>
      <c r="R10" s="4"/>
    </row>
    <row r="11" spans="1:18" ht="15" customHeight="1">
      <c r="A11" s="31" t="s">
        <v>60</v>
      </c>
      <c r="B11" s="26">
        <f>PRODUCT($B$3:$B$6)*B10</f>
        <v>3.1622776601683793E+48</v>
      </c>
      <c r="C11" s="26">
        <f>SUM(C$3:C$6)+C10</f>
        <v>4.5113686573257059</v>
      </c>
      <c r="K11" t="s">
        <v>74</v>
      </c>
      <c r="L11" s="26">
        <f>G35*P11</f>
        <v>6.7199999999999966E+38</v>
      </c>
      <c r="M11" s="26">
        <f>H35</f>
        <v>5.3218248764342739</v>
      </c>
      <c r="N11">
        <v>-1</v>
      </c>
      <c r="O11" t="s">
        <v>92</v>
      </c>
      <c r="P11">
        <f>p_biological*p_not_care_about_animals*p_suffering_simulations</f>
        <v>0.16799999999999998</v>
      </c>
      <c r="Q11" s="4"/>
      <c r="R11" s="4"/>
    </row>
    <row r="12" spans="1:18" ht="15" customHeight="1">
      <c r="B12" s="4"/>
      <c r="K12" t="s">
        <v>76</v>
      </c>
      <c r="L12" s="26">
        <f>B16*P12</f>
        <v>4.7434164902525701E+43</v>
      </c>
      <c r="M12" s="26">
        <f>C16</f>
        <v>4.9513686573257054</v>
      </c>
      <c r="N12">
        <v>-1</v>
      </c>
      <c r="O12" t="s">
        <v>94</v>
      </c>
      <c r="P12">
        <f>p_computronium*p_paperclip</f>
        <v>7.5000000000000011E-2</v>
      </c>
      <c r="Q12" s="4"/>
      <c r="R12" s="4"/>
    </row>
    <row r="13" spans="1:18" ht="15" customHeight="1">
      <c r="F13" s="1" t="s">
        <v>61</v>
      </c>
      <c r="K13" t="s">
        <v>77</v>
      </c>
      <c r="L13" s="26">
        <f>B21*P13</f>
        <v>1.5811388300841899E+46</v>
      </c>
      <c r="M13" s="26">
        <f>C21</f>
        <v>4.5113686573257059</v>
      </c>
      <c r="N13">
        <v>-1</v>
      </c>
      <c r="O13" t="s">
        <v>95</v>
      </c>
      <c r="P13">
        <f>p_computronium*p_dolorium</f>
        <v>5.000000000000001E-3</v>
      </c>
      <c r="Q13" s="4"/>
      <c r="R13" s="4"/>
    </row>
    <row r="14" spans="1:18" ht="15" customHeight="1">
      <c r="A14" s="21" t="s">
        <v>56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K14" t="s">
        <v>232</v>
      </c>
      <c r="L14" s="4" t="str">
        <f>WriteArray(SumLognormDists(L8:M13))</f>
        <v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9.88131291682493E-324,1.00295326105773E-321,6.53401816625049E-320,4.21317443884998E-318,2.67974096699648E-316,1.68075811529373E-314,1.03955527097089E-312,6.34044964843011E-311,3.81349133279253E-309,2.26180848825459E-307,1.32287675321539E-305,7.62980711827111E-304,4.33948792281089E-302,2.4338527066333E-300,1.34611175248776E-298,7.34174153645528E-297,3.94864739123529E-295,2.09425248804866E-293,1.09532068444675E-291,5.64917775567007E-290,2.87316809154088E-288,1.44101603739684E-286,7.12703222514924E-285,3.4760090964395E-283,1.67180456118951E-281,7.92907771410716E-280,3.70845112105529E-278,1.71039063633556E-276,7.77913089958415E-275,3.48899237046018E-273,1.54312918774606E-271,6.73035595567465E-270,2.89472572899506E-268,1.22775187826837E-266,5.13508636661577E-265,2.11796617014614E-263,8.61439081322974E-262,3.45513143783485E-260,1.36659300472663E-258,5.33026253271356E-257,2.05018458340677E-255,7.77629013771383E-254,2.90862177718322E-252,1.07284634351248E-250,3.90232517183093E-249,1.39973306102506E-247,4.95111486668835E-246,1.72701847350554E-244,5.94055947717354E-243,2.01508924384161E-241,6.74059107862769E-240,2.22350765234509E-238,7.23296592808156E-237,2.32023272963628E-235,7.33979979180674E-234,2.28967906671416E-232,7.04373404402575E-231,2.13682730803544E-229,6.39255165830944E-228,1.88589548509183E-226,5.48655527874447E-225,1.57405851927802E-223,4.45329208670171E-222,1.24245565479565E-220,3.41837924066504E-219,9.27469079321855E-218,2.48152533794654E-216,6.54754200113991E-215,1.70364227049798E-213,4.37138733373E-212,1.10611727725993E-210,2.7600967454031E-209,6.79186301636486E-208,1.64814440216705E-206,3.94406058094922E-205,9.30752305229766E-204,2.16604334624581E-202,4.97099014383142E-201,1.12502366047024E-199,2.51086676810005E-198,5.52623317545589E-197,1.19944002382735E-195,2.5672722963035E-194,5.4188817644688E-193,1.1279556890996E-191,2.31536417576988E-190,4.68696568034621E-189,9.35642028980833E-188,1.84193139312429E-186,3.57588262916394E-185,6.84604014660632E-184,1.29253500780804E-182,2.4065350166074E-181,4.41864761935881E-180,8.00081417391891E-179,1.42865364651931E-177,2.51575304922412E-176,4.36875487164596E-175,7.48163126644756E-174,1.26352610155035E-172,2.10436842813048E-171,3.45628328076717E-170,5.59818483974006E-169,8.94202437155089E-168,1.40856062460374E-166,2.18809760153544E-165,3.35204365499519E-164,5.06413010748712E-163,7.54488538003416E-162,1.1085452754515E-160,1.6062295918911E-159,2.2951740009662E-158,3.23428158190627E-157,4.49463757486455E-156,6.15979974510362E-155,8.3251871747648E-154,1.10962787166615E-152,1.45853579196018E-151,1.89066098696223E-150,2.41694925962117E-149,3.04704712065527E-148,3.78834088056382E-147,4.64491378590802E-146,5.61649637471229E-145,6.69750469492051E-144,7.87627365972308E-143,9.13459530203982E-142,1.04476615242994E-140,1.17844869766669E-139,1.31088506228672E-138,1.4380747101585E-137,1.55582858430097E-136,1.6599923222903E-135,1.74668677076882E-134,1.81254665494808E-133,1.85493703644801E-132,1.87212818237063E-131,1.86341267492241E-130,1.82915371083635E-129,1.77075999452532E-128,1.69058964337426E-127,1.59179223994593E-126,1.4781037709264E-125,1.35361303765667E-124,1.22251981499267E-123,1.08890448401853E-122,9.56526280263307E-122,8.2866314371072E-121,7.08001056580483E-120,5.96575397648004E-119,4.95761873983061E-118,4.06310531095711E-117,3.28413525682815E-116,2.61795902130897E-115,2.05818483657926E-114,1.59582958158813E-113,1.22030997116495E-112,9.20314456390971E-112,6.8451931482743E-111,5.02133865259143E-110,3.63277620768335E-109,2.59205438483373E-108,1.82405082254483E-107,1.26595471598058E-106,8.66540553435249E-106,5.84992362800073E-105,3.89496183168113E-104,2.55769685961036E-103,1.65649055215166E-102,1.05809359888231E-101,6.66585207435645E-101,4.141760445586E-100,2.53812664987721e-99,1.53405853055676e-98,9.14475869467773e-98,5.37657407272729e-97,3.11776586496192e-96,1.78314761142315e-95,1.00586226832197e-94,5.59627036035889e-94,3.0709261409691e-93,1.66208095625872e-92,8.87255580564453e-92,4.67154738038582e-91,2.42599533167312e-90,1.24261938956255e-89,6.27779425532423e-89,3.12823010650682e-88,1.53749916797615e-87,7.45345525486647e-87,3.56392863789251e-86,1.68085801011843e-85,7.81926405215756e-85,3.58786222271185e-84,1.62383885660582e-83,7.24919407366222e-83,3.19211513984245e-82,1.38647441922644e-81,5.9400788001053e-81,2.51028018702048e-80,1.04641638133077e-79,4.30270898856433e-79,1.7451685874906e-78,6.98222297561327e-78,2.75558611404043e-77,1.07275694915774e-76,4.11963734078219e-76,1.56059518565107e-75,5.83174598764384e-75,2.14974791857544e-74,7.81737116322548e-74,2.80428377844162e-73,9.92373405856692e-73,3.46436970150723e-72,1.19309070869994e-71,4.05347139888267e-71,1.35859378991715e-70,4.49226736851612e-70,1.46541212720842e-69,4.71603585200826e-69,1.49734761937206e-68,4.69031126540712e-68,1.44950473426495e-67,4.41959226501594e-67,1.32952104560345e-66,3.94606955080356e-66,1.15557209459092e-65,3.3388634668521e-65,9.51867135822943e-65,2.67754677983526e-64,7.43169931346496e-64,2.03534042929486e-63,5.50036715390041e-63,1.46676356463551e-62,3.85967548612412e-62,1.00224170740816e-61,2.56823197281239e-61,6.49449774630063e-61,1.62075083871273e-60,3.99168722510763e-60,9.70234964334118e-60,2.32749377749864e-59,5.51064945111653e-59,1.28775013827991e-58,2.97021151599399e-58,6.76212174621108e-58,1.51960889635803e-57,3.37091527615781e-57,7.3815150026021e-57,1.59565834489102e-56,3.40523206698648e-56,7.17434449471515e-56,1.49232492667845e-55,3.06484020445565e-55,6.21489612277254e-55,1.24440156114996e-54,2.4604108896982e-54,4.80391935391146e-54,9.26288125639788e-54,1.76392846842674e-53,3.31759469235972e-53,6.16306903584407e-53,1.13090682918748e-52,2.04992679498733e-52,3.67077841528444e-52,6.49402223948674e-52,1.13509863112068e-51,1.96041065326882e-51,3.34568076925315e-51,5.64257418495239e-51,9.40497619097575e-51,1.54938396013764e-50,2.52299039990409e-50,4.0612763335994e-50,6.46302803088569e-50,1.01688812911803e-49,1.58201988576845e-49,2.4338352611065e-49,3.70297343762784e-49,5.57225126636795e-49,8.29416598363442e-49,1.22128960282281e-48,1.77914414675557e-48,2.56444499687504e-48,3.65770942687348e-48,5.16300856580663e-48,7.2130511790465e-48,9.97476694150547e-48,1.36552426232696e-47,1.85077906318198e-47,2.48378480622558e-47,3.3008320447742e-47,4.34439040588367e-47,5.66338516053542e-47,7.31325973421464e-47,9.35576381203923e-47,1.18584085759948e-46,1.48935370843523e-46,1.85369693912832e-46,2.28661989004063e-46,2.79581384219529e-46,3.38864407529495e-46,4.07184481172668e-46,4.8511855808774e-46,5.73112058033874e-46,6.71443536079588e-46,7.8019073770155e-46,8.99199839754999e-46,1.02805972534407e-45,1.16608307890387e-45,1.31229590865579e-45,1.46543680860309e-45,1.623966872081e-45,1.78609068308667e-45,1.94978826745059e-45,2.11285731650576e-45,2.27296443778878e-45,2.42770367751684e-45,2.57466013271507e-45,2.711476156243e-45,2.83591747727687e-45,2.94593652540481e-45,3.03973036052492e-45,3.11579086511707e-45,3.17294523271673e-45,3.21038526127996e-45,3.22768450166308e-45,3.2248028855549e-45,3.20207902924339e-45,3.16021094684515e-45,3.10022638044514e-45,3.02344434214503e-45,2.93142974838376e-45,2.82594320159906e-45,2.70888803725091e-45,2.58225671112366e-45,2.44807846413538e-45,2.30836998555019e-45,2.16509051942869e-45,2.0201025437446e-45,1.87513881724067e-45,1.73177625493886e-45,1.59141677612366e-45,1.45527498241883e-45,1.32437227863976e-45,1.19953685215416e-45,1.08140878071836e-45,9.70449444151678e-46,8.66954369000371e-46,7.71068632591535e-46,6.82803987115228e-46,6.02056928207811e-46,5.28627018211587e-46,4.62234874284068e-46,4.02539338817418e-46,3.49153458057186e-46,3.01658999280018e-46,2.59619333441279e-46,2.22590596013923e-46,1.90131112061932e-46,1.61809131632428e-46,1.37208968321917e-46,1.15935668022913e-46,9.76183575045199e-47,8.19124350502691e-47,6.85007694609364e-47,5.70940709687257e-47,4.74305895935469e-47,3.92752846758675e-47,3.241859505265e-47,2.66749237208846e-47,2.18809347740888e-47,1.78937446207397e-47,1.45890745361206e-47,1.1859417832798e-47,9.61226259159775e-48,7.76840009024665e-48,6.2603398246616e-48,5.03084429267054e-48,4.03159040675874e-48,3.22195939389868e-48,2.5679531809474e-48,2.04123240059048e-48,1.61826913370115e-48,1.27960618488429e-48,1.0092139358493e-48,7.93935516829556e-49,6.23011075161654e-49,4.87672213026602e-49,3.80798138416097e-49,2.96625663285641e-49,2.3050584144191e-49,1.78700727565007e-49,1.38214428713358e-49,1.06653289324329e-49,8.21106851751584e-50,6.30724912885587e-50,4.83398277621617e-50,3.69661735607557e-50,2.82063714085098e-50,2.14754287490029e-50,1.63153531770387e-50,1.23685494093707e-50,9.35655278488923e-51,7.0630856584807e-51,5.32060203528979e-51,3.99963637828096e-51,3.0003984543944e-51,2.24616080010208e-51,1.67807199009418e-51,1.25110014784502e-51,9.3086947619046e-52,6.91200126613207e-52,5.12200292192935e-52,3.78790559964127e-52,2.79565614920588e-52,2.05918461615635e-52,1.51368348932346e-52,1.11046320139762e-52,8.13024000512385e-53,5.94063960335736e-53,4.33205558861661e-53,3.15272392384422e-53,2.28985997373848e-53,1.65982678678853e-53,1.20073489381189e-53,8.66885127065465e-54,6.24605011954855e-54,4.49136361399658e-54,3.22313932371378e-54,2.30837979178201e-54,1.64991638017166e-54,1.17690718910364e-54,8.37813215141018e-55,5.95217902939798e-55,4.22014741275212e-55,2.98607821476306e-55,2.10860739425834e-55,1.4859709995379e-55,1.04506689546649e-55,7.33493209807392e-56,5.13766135362521e-56,3.5912973263869e-56,2.50526069466103e-56,1.74409184280644e-56,1.21171324440729e-56,8.40124553432991e-57,5.81299683567166e-57,4.01391689561793e-57,2.76597257335319e-57,1.90212000738997e-57,1.30538279495342e-57,8.94019892677788e-58,6.11033799107598e-58,4.16765239663813e-58,2.83677848212261e-58,1.92693264824573e-58,1.30621402512923e-58,8.83625799564336e-59,5.96524426755965e-59,4.01877282791139e-59,2.70186511086726e-59,1.81275231579614e-59,1.21371720562903e-59,8.10961870001396e-60,5.40738031022953e-60,3.59812819263467e-60,2.38929229245372e-60,1.58330497169438e-60,1.04703749775193e-60,6.90974463640623e-61,4.5505470464682e-61,2.99065852387876e-61,1.96142372171518e-61,1.2837402997094e-61,8.38462939307552e-62,5.46501439449577e-62,3.55467007959251e-62,2.30731905010146e-62,1.49456976642394e-62,9.66105939430346e-63,6.23208212753331e-63,4.01181857715492e-63,2.57720493956534e-63,1.65217495924619e-63,1.05696934193395e-63,6.74788836689885e-64,4.2990491158392e-64,2.73322776372584e-64,1.73411551783498e-64,1.09794073900856e-64,6.93710621304983e-65,4.37397459125383e-65,2.75215277625234e-65,1.72809295315336e-65,1.08282892582395e-65,6.77096706556327e-66,4.22512512972048e-66,2.63103358592475e-66,1.63497484733209e-66,1.01389633760918e-66,6.27442247999897e-67,3.87482078039395e-67,2.38796015929226e-67,1.46858830791103e-67,9.01302404497526e-68,5.51999151649393e-68,3.3736781904889e-68,2.05762490260106e-68,1.25235086856393e-68,7.60646808092272e-69,4.61038547749742e-69,2.78861494739267e-69,1.68320472420967e-69,1.01387022452787e-69,6.09431353428356e-70,3.65564637197247e-70,2.18826787420765e-70,1.30717483636089e-70,7.79226523946408e-71,4.6354360738151e-71,2.75178345565969e-71,1.63017667184861e-71,9.63722111496868e-72,5.68546088225644e-72,3.34715792846323e-72,1.96645214738375e-72,1.1528881790939e-72,6.74508755301253e-73,3.93808036510275e-73,2.29444744235667e-73,1.33403796147154e-73,7.74024622465795e-74,4.48164919382144e-74,2.5895089487773e-74,1.49311559133413e-74,8.59143846179502e-75,4.93326856416681e-75,2.82683226322176e-75,1.61644789273556e-75,9.22400975626782e-76,5.25259791942466e-76,2.98486646129306e-76,1.69266878962287e-76,9.57889439020884e-77,5.4094746395904e-77,3.04853430346825e-77,1.7144442393938e-77,9.62170224233078e-78,5.38860959201794e-78,3.01160337275387e-78,1.67963558698376e-78,9.34821276093065e-79,5.19204355427627e-79,2.87769176963832e-79,1.59164578110455e-79,8.78506059799288e-80,4.83881795720426e-80,2.65968363320407e-80,1.45887084484705e-80,7.9854587225249e-81,4.36193355343871e-81,2.37768527075643e-81,1.29337906768504e-81,7.02091023733663e-82,3.80326983613225e-82,2.05597096505921e-82,1.10910567906155e-82,5.97069640634429e-83,3.20754790718898e-83,1.71956030615135e-83,9.19936315263839e-84,4.91127443278855e-84,2.61653605596947e-84,1.39109030128891e-84,7.38040160940152e-85,3.9075157380598e-85,2.06451261762852e-85,1.08850494826244e-85,5.72716018800191e-86,3.00707531869684e-86,1.5755976735298e-86,8.23839102356395e-87,4.29868393019616e-87,2.23833283362707e-87,1.16308070878173e-87,6.03102421383937e-88,3.12081713155282e-88,1.61154188371376e-88,8.30445042796008e-89,4.27047533543621e-89,2.1914802311749e-89,1.12226369236452e-89,5.73519622869518e-90,2.92481002079906e-90,1.48848016288271e-90,7.55934988195055e-91,3.83108552626024e-91,1.9375604027411e-91,9.77877951017051e-92,4.92504333291082e-92,2.47532059296968e-92,1.24150607432478e-92,6.21387104108828e-93,3.10364195977137e-93,1.54695251709592e-93,7.69446344417914e-94,3.8192288729562e-94,1.89177296452528e-94,9.35100584689135e-95,4.61257695935258e-95,2.27051776150877e-95,1.11532686243482e-95,5.46733140939436e-96,2.67451240025795e-96,1.30559899939393e-96,6.36020299805541e-97,3.09191909046604e-97,1.49996538971014e-97,7.26156666477985e-98,3.50812768077423e-98,1.69128355255338e-98,8.1367960411486e-99,3.90648718840387e-99,1.87160996039834e-99,8.94829430907479E-100,4.2693439009043E-100,2.03272199237644E-100,9.65808001749595E-101,4.57930508814428E-101,2.16672764030375E-101,1.02306925496492E-101,4.82060679086869E-102,2.26670157905873E-102,1.06361131786955E-102,4.98043775161126E-103,2.32727683162314E-103,1.0852368665091E-103,5.05006530390344E-104,2.34512184464028E-104,1.0867503593449E-104,5.02562564330376E-105,2.31924398948703E-105,1.06806751549337E-105,4.90847897703469E-106,2.2510810186419E-106,1.03022308843306E-106,4.7050841309901E-107,2.14436875303328E-107,9.75275937554995E-108,4.42640869791583E-108,2.00480194253538E-108,9.06123514986948E-109,4.08694967940935E-109,1.83953113614823E-109,8.26249023634524E-110,3.70348627264782E-110,1.65655737890334E-110,7.39431915876026E-111,3.29371384666133E-111,1.46409583302331E-111,6.4945506704812E-112,2.87491282907444E-112,1.26997806302086E-112,5.59839742221646E-113,2.46278896690185E-113,1.08115171696505E-113,4.73633110231572E-114,2.07058678498225E-114,9.03318265496796E-115,3.93263932702331E-115,1.70853317755138E-115,7.40727876383011E-116,3.20471885948728E-116,1.3836210442664E-116,5.96129149032248E-117,2.56306449829232E-117,1.09970117978258E-117,4.70853525797912E-118,2.01183770776962E-118,8.57819754671793E-119,3.65001901246708E-119,1.54985188226032E-119,6.56721523373544E-120,2.77695148931624E-120,1.17179415046284E-120,4.9343545232319E-121,2.07350633217419E-121,8.69513595670432E-122,3.63867598347553E-122,1.51951989158159E-122,6.33235705687345E-123,2.63342165425277E-123,1.09287732096027E-123,4.52604045154048E-124,1.87051612685603E-124,7.71437050232312E-125,3.17494014525836E-125,1.30396701819145E-125,5.34433519334492E-126,2.18583206058415E-126,8.92145968738157E-127,</v>
      </c>
      <c r="M14" s="4" t="s">
        <v>226</v>
      </c>
    </row>
    <row r="15" spans="1:18" ht="15" customHeight="1">
      <c r="A15" s="6" t="s">
        <v>48</v>
      </c>
      <c r="B15" s="4">
        <f>VLOOKUP($A15,Globals!$A$17:$F$24,4,FALSE)</f>
        <v>0.2</v>
      </c>
      <c r="C15" s="4">
        <f>VLOOKUP($A15,Globals!$A$17:$F$24,6,FALSE)</f>
        <v>1.44</v>
      </c>
      <c r="F15" s="6" t="s">
        <v>43</v>
      </c>
      <c r="G15">
        <f>VLOOKUP($F15,Globals!$A$17:$F$24,4,FALSE)</f>
        <v>5</v>
      </c>
      <c r="H15">
        <f>VLOOKUP($F15,Globals!$A$17:$F$24,6,FALSE)</f>
        <v>0.09</v>
      </c>
      <c r="K15" s="4" t="s">
        <v>233</v>
      </c>
      <c r="L15" s="4">
        <f>STupidExcelMean(L14)</f>
        <v>2.5260339072773361E+51</v>
      </c>
      <c r="M15" s="4">
        <f>STupidExcelVariance(L14,L15)</f>
        <v>1.5113997487584372E+113</v>
      </c>
      <c r="N15" s="8" t="s">
        <v>229</v>
      </c>
    </row>
    <row r="16" spans="1:18" ht="15" customHeight="1">
      <c r="A16" s="31" t="s">
        <v>60</v>
      </c>
      <c r="B16" s="26">
        <f>PRODUCT($B$3:$B$6)*B15</f>
        <v>6.3245553203367596E+44</v>
      </c>
      <c r="C16" s="26">
        <f>SUM(C$3:C$6)+C15</f>
        <v>4.9513686573257054</v>
      </c>
      <c r="F16" s="32" t="s">
        <v>60</v>
      </c>
      <c r="G16" s="26">
        <f>PRODUCT(G$3:G$4)*PRODUCT(G14:G15)</f>
        <v>1.5811388300841894E+35</v>
      </c>
      <c r="H16" s="26">
        <f>SUM(H$3:H$4)+SUM(H14:H15)</f>
        <v>2.8210645112533266</v>
      </c>
    </row>
    <row r="17" spans="1:23" ht="15" customHeight="1">
      <c r="K17" s="4" t="s">
        <v>230</v>
      </c>
      <c r="L17" s="4">
        <f>L6-L15</f>
        <v>7.3991012270021376E+51</v>
      </c>
      <c r="M17">
        <f>DifferenceVariance(L6:M6,L15:M15)</f>
        <v>2.5471093830769836E+114</v>
      </c>
    </row>
    <row r="18" spans="1:23" ht="15" customHeight="1">
      <c r="K18" s="47" t="s">
        <v>134</v>
      </c>
      <c r="L18" s="34">
        <f>EXP(BucketMu(L17,M17))</f>
        <v>3.4303160870117568E+46</v>
      </c>
      <c r="M18" s="34">
        <f>(BucketSigma(L17,M17) / LN(10))^2</f>
        <v>4.6329187530560025</v>
      </c>
    </row>
    <row r="19" spans="1:23" ht="15" customHeight="1">
      <c r="A19" s="21" t="s">
        <v>57</v>
      </c>
      <c r="F19" s="1" t="s">
        <v>63</v>
      </c>
      <c r="S19" s="4"/>
      <c r="T19" s="4"/>
      <c r="U19" s="4"/>
      <c r="V19" s="4"/>
      <c r="W19" s="4"/>
    </row>
    <row r="20" spans="1:23" ht="15" customHeight="1">
      <c r="A20" s="6" t="s">
        <v>49</v>
      </c>
      <c r="B20" s="4">
        <f>VLOOKUP($A20,Globals!$A$17:$F$24,4,FALSE)</f>
        <v>1000</v>
      </c>
      <c r="C20" s="4">
        <f>VLOOKUP($A20,Globals!$A$17:$F$24,6,FALSE)</f>
        <v>1</v>
      </c>
      <c r="F20" t="s">
        <v>23</v>
      </c>
      <c r="G20">
        <f>VLOOKUP($F20,Globals!$N$30:$P$36,2,FALSE)</f>
        <v>316227766016837.94</v>
      </c>
      <c r="H20">
        <f>VLOOKUP($F20,Globals!$N$30:$P$36,3,FALSE)</f>
        <v>1.1704562191085683</v>
      </c>
      <c r="S20" s="41"/>
      <c r="T20" s="4"/>
      <c r="U20" s="4"/>
      <c r="V20" s="4"/>
      <c r="W20" s="4"/>
    </row>
    <row r="21" spans="1:23" ht="15" customHeight="1">
      <c r="A21" s="31" t="s">
        <v>60</v>
      </c>
      <c r="B21" s="26">
        <f>PRODUCT($B$3:$B$6)*B20</f>
        <v>3.1622776601683793E+48</v>
      </c>
      <c r="C21" s="26">
        <f>SUM(C$3:C$6)+C20</f>
        <v>4.5113686573257059</v>
      </c>
      <c r="F21" s="6" t="s">
        <v>44</v>
      </c>
      <c r="G21">
        <f>VLOOKUP($F21,Globals!$A$17:$F$24,4,FALSE)</f>
        <v>0.4</v>
      </c>
      <c r="H21">
        <f>VLOOKUP($F21,Globals!$A$17:$F$24,6,FALSE)</f>
        <v>0.36</v>
      </c>
      <c r="L21" s="4"/>
      <c r="M21" s="4"/>
      <c r="N21" s="49"/>
      <c r="S21" s="16"/>
      <c r="T21" s="4"/>
      <c r="U21" s="4"/>
      <c r="V21" s="4"/>
      <c r="W21" s="4"/>
    </row>
    <row r="22" spans="1:23" ht="15" customHeight="1">
      <c r="F22" s="32" t="s">
        <v>60</v>
      </c>
      <c r="G22" s="26">
        <f>PRODUCT(G$3:G$4)*PRODUCT(G20:G21)</f>
        <v>3.9999999999999993E+37</v>
      </c>
      <c r="H22" s="26">
        <f>SUM(H$3:H$4)+SUM(H20:H21)</f>
        <v>3.4812165842895157</v>
      </c>
      <c r="L22" s="3"/>
      <c r="M22" s="3"/>
      <c r="S22" s="16"/>
      <c r="T22" s="4"/>
      <c r="U22" s="4"/>
      <c r="V22" s="4"/>
      <c r="W22" s="4"/>
    </row>
    <row r="23" spans="1:23" ht="15" customHeight="1">
      <c r="B23" s="4"/>
      <c r="C23" s="4"/>
      <c r="K23" s="4"/>
      <c r="L23" s="4"/>
      <c r="M23" s="4"/>
      <c r="S23" s="16"/>
      <c r="T23" s="4"/>
      <c r="U23" s="4"/>
      <c r="V23" s="4"/>
      <c r="W23" s="4"/>
    </row>
    <row r="24" spans="1:23" ht="15" customHeight="1">
      <c r="B24" s="4"/>
      <c r="C24" s="4"/>
      <c r="L24" s="4"/>
      <c r="M24" s="4"/>
      <c r="S24" s="16"/>
      <c r="T24" s="4"/>
      <c r="U24" s="4"/>
      <c r="V24" s="4"/>
      <c r="W24" s="4"/>
    </row>
    <row r="25" spans="1:23" ht="15" customHeight="1">
      <c r="B25" s="4"/>
      <c r="C25" s="4"/>
      <c r="F25" s="1" t="s">
        <v>64</v>
      </c>
      <c r="M25" s="49"/>
      <c r="S25" s="16"/>
      <c r="T25" s="4"/>
      <c r="U25" s="4"/>
      <c r="V25" s="4"/>
      <c r="W25" s="4"/>
    </row>
    <row r="26" spans="1:23" ht="15" customHeight="1">
      <c r="B26" s="4"/>
      <c r="C26" s="4"/>
      <c r="F26" t="s">
        <v>62</v>
      </c>
      <c r="G26">
        <f>VLOOKUP($F26,Globals!$N$30:$P$36,2,FALSE)</f>
        <v>1E+19</v>
      </c>
      <c r="H26">
        <f>VLOOKUP($F26,Globals!$N$30:$P$36,3,FALSE)</f>
        <v>1.5606082921447579</v>
      </c>
      <c r="M26" s="49"/>
      <c r="S26" s="42"/>
      <c r="T26" s="4"/>
      <c r="U26" s="4"/>
      <c r="V26" s="4"/>
      <c r="W26" s="4"/>
    </row>
    <row r="27" spans="1:23" ht="15" customHeight="1">
      <c r="A27" s="16"/>
      <c r="B27" s="4"/>
      <c r="C27" s="4"/>
      <c r="F27" t="s">
        <v>45</v>
      </c>
      <c r="G27">
        <f>VLOOKUP($F27,Globals!$A$17:$F$24,4,FALSE)</f>
        <v>0.04</v>
      </c>
      <c r="H27">
        <f>VLOOKUP($F27,Globals!$A$17:$F$24,6,FALSE)</f>
        <v>0.64000000000000012</v>
      </c>
      <c r="M27" s="49"/>
      <c r="S27" s="4"/>
      <c r="T27" s="4"/>
      <c r="U27" s="4"/>
      <c r="V27" s="4"/>
      <c r="W27" s="4"/>
    </row>
    <row r="28" spans="1:23" ht="15" customHeight="1">
      <c r="F28" s="32" t="s">
        <v>60</v>
      </c>
      <c r="G28" s="26">
        <f>PRODUCT(G$3:G$4)*PRODUCT(G26:G27)</f>
        <v>1.2649110640673514E+41</v>
      </c>
      <c r="H28" s="26">
        <f>SUM(H$3:H$4)+SUM(H26:H27)</f>
        <v>4.1513686573257056</v>
      </c>
      <c r="S28" s="4"/>
      <c r="T28" s="4"/>
      <c r="U28" s="4"/>
      <c r="V28" s="4"/>
      <c r="W28" s="4"/>
    </row>
    <row r="29" spans="1:23" ht="15" customHeight="1">
      <c r="S29" s="25"/>
      <c r="T29" s="4"/>
      <c r="U29" s="4"/>
      <c r="V29" s="4"/>
      <c r="W29" s="4"/>
    </row>
    <row r="30" spans="1:23" ht="15" customHeight="1">
      <c r="S30" s="4"/>
      <c r="T30" s="4"/>
      <c r="U30" s="4"/>
      <c r="V30" s="4"/>
      <c r="W30" s="4"/>
    </row>
    <row r="31" spans="1:23" ht="15" customHeight="1">
      <c r="A31" s="16"/>
      <c r="B31" s="4"/>
      <c r="C31" s="4"/>
      <c r="F31" s="1" t="s">
        <v>65</v>
      </c>
      <c r="S31" s="4"/>
      <c r="T31" s="4"/>
      <c r="U31" s="4"/>
      <c r="V31" s="4"/>
      <c r="W31" s="4"/>
    </row>
    <row r="32" spans="1:23" ht="15" customHeight="1">
      <c r="A32" s="16"/>
      <c r="B32" s="4"/>
      <c r="C32" s="4"/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  <c r="S32" s="4"/>
      <c r="T32" s="4"/>
      <c r="U32" s="4"/>
      <c r="V32" s="4"/>
      <c r="W32" s="4"/>
    </row>
    <row r="33" spans="1:23" ht="15" customHeight="1">
      <c r="A33" s="16"/>
      <c r="B33" s="4"/>
      <c r="C33" s="4"/>
      <c r="F33" t="s">
        <v>66</v>
      </c>
      <c r="G33">
        <f>VLOOKUP($F33,Globals!$N$30:$P$36,2,FALSE)</f>
        <v>3.1622776601683791E-2</v>
      </c>
      <c r="H33">
        <f>VLOOKUP($F33,Globals!$N$30:$P$36,3,FALSE)</f>
        <v>1.1704562191085683</v>
      </c>
      <c r="S33" s="4"/>
      <c r="T33" s="4"/>
      <c r="U33" s="4"/>
      <c r="V33" s="4"/>
      <c r="W33" s="4"/>
    </row>
    <row r="34" spans="1:23" ht="15" customHeight="1">
      <c r="A34" s="16"/>
      <c r="B34" s="4"/>
      <c r="C34" s="4"/>
      <c r="F34" t="s">
        <v>45</v>
      </c>
      <c r="G34">
        <f>VLOOKUP($F34,Globals!$A$17:$F$24,4,FALSE)</f>
        <v>0.04</v>
      </c>
      <c r="H34">
        <f>VLOOKUP($F34,Globals!$A$17:$F$24,6,FALSE)</f>
        <v>0.64000000000000012</v>
      </c>
      <c r="S34" s="16"/>
      <c r="T34" s="4"/>
      <c r="U34" s="4"/>
      <c r="V34" s="4"/>
      <c r="W34" s="4"/>
    </row>
    <row r="35" spans="1:23" ht="15" customHeight="1">
      <c r="A35" s="16"/>
      <c r="B35" s="4"/>
      <c r="C35" s="4"/>
      <c r="F35" s="28" t="s">
        <v>60</v>
      </c>
      <c r="G35" s="26">
        <f>PRODUCT(G$3:G$4)*PRODUCT(G32:G34)</f>
        <v>3.9999999999999985E+39</v>
      </c>
      <c r="H35" s="26">
        <f>SUM(H$3:H$4)+SUM(H32:H34)</f>
        <v>5.3218248764342739</v>
      </c>
      <c r="S35" s="16"/>
      <c r="T35" s="4"/>
      <c r="U35" s="4"/>
      <c r="V35" s="4"/>
      <c r="W35" s="4"/>
    </row>
    <row r="36" spans="1:23" ht="15" customHeight="1">
      <c r="A36" s="16"/>
      <c r="B36" s="4"/>
      <c r="C36" s="4"/>
      <c r="S36" s="4"/>
      <c r="T36" s="4"/>
      <c r="U36" s="4"/>
      <c r="V36" s="4"/>
      <c r="W36" s="4"/>
    </row>
    <row r="37" spans="1:23" ht="15" customHeight="1">
      <c r="A37" s="16"/>
      <c r="B37" s="4"/>
      <c r="C37" s="4"/>
      <c r="S37" s="4"/>
      <c r="T37" s="4"/>
      <c r="U37" s="4"/>
      <c r="V37" s="4"/>
      <c r="W37" s="4"/>
    </row>
    <row r="38" spans="1:23" ht="15" customHeight="1">
      <c r="S38" s="25"/>
      <c r="T38" s="4"/>
      <c r="U38" s="4"/>
      <c r="V38" s="4"/>
      <c r="W38" s="4"/>
    </row>
    <row r="39" spans="1:23" ht="15" customHeight="1">
      <c r="S39" s="4"/>
      <c r="T39" s="4"/>
      <c r="U39" s="4"/>
      <c r="V39" s="4"/>
      <c r="W39" s="4"/>
    </row>
    <row r="40" spans="1:23" ht="15" customHeight="1">
      <c r="S40" s="4"/>
      <c r="T40" s="4"/>
      <c r="U40" s="4"/>
      <c r="V40" s="4"/>
      <c r="W40" s="4"/>
    </row>
    <row r="41" spans="1:23" ht="15" customHeight="1">
      <c r="S41" s="4"/>
      <c r="T41" s="4"/>
      <c r="U41" s="4"/>
      <c r="V41" s="4"/>
      <c r="W41" s="4"/>
    </row>
    <row r="42" spans="1:23" ht="15" customHeight="1">
      <c r="S42" s="4"/>
      <c r="T42" s="4"/>
      <c r="U42" s="4"/>
      <c r="V42" s="4"/>
      <c r="W42" s="4"/>
    </row>
    <row r="43" spans="1:23" ht="15" customHeight="1">
      <c r="S43" s="16"/>
      <c r="T43" s="4"/>
      <c r="U43" s="4"/>
      <c r="V43" s="4"/>
      <c r="W43" s="4"/>
    </row>
    <row r="44" spans="1:23" ht="15" customHeight="1">
      <c r="S44" s="16"/>
      <c r="T44" s="4"/>
      <c r="U44" s="4"/>
      <c r="V44" s="4"/>
      <c r="W44" s="4"/>
    </row>
    <row r="45" spans="1:23" ht="15" customHeight="1">
      <c r="S45" s="4"/>
      <c r="T45" s="4"/>
      <c r="U45" s="4"/>
      <c r="V45" s="4"/>
      <c r="W45" s="4"/>
    </row>
    <row r="46" spans="1:23" ht="15" customHeight="1">
      <c r="S46" s="4"/>
      <c r="T46" s="4"/>
      <c r="U46" s="4"/>
      <c r="V46" s="4"/>
      <c r="W46" s="4"/>
    </row>
    <row r="47" spans="1:23" ht="15" customHeight="1">
      <c r="S47" s="25"/>
      <c r="T47" s="4"/>
      <c r="U47" s="4"/>
      <c r="V47" s="4"/>
      <c r="W47" s="4"/>
    </row>
    <row r="48" spans="1:23" ht="15" customHeight="1">
      <c r="S48" s="4"/>
      <c r="T48" s="4"/>
      <c r="U48" s="4"/>
      <c r="V48" s="4"/>
      <c r="W48" s="4"/>
    </row>
    <row r="49" spans="19:23" ht="15" customHeight="1">
      <c r="S49" s="4"/>
      <c r="T49" s="4"/>
      <c r="U49" s="4"/>
      <c r="V49" s="4"/>
      <c r="W49" s="4"/>
    </row>
    <row r="50" spans="19:23" ht="15" customHeight="1">
      <c r="S50" s="4"/>
      <c r="T50" s="4"/>
      <c r="U50" s="4"/>
      <c r="V50" s="4"/>
      <c r="W50" s="4"/>
    </row>
    <row r="51" spans="19:23" ht="15" customHeight="1">
      <c r="S51" s="4"/>
      <c r="T51" s="4"/>
      <c r="U51" s="4"/>
      <c r="V51" s="4"/>
      <c r="W51" s="4"/>
    </row>
    <row r="52" spans="19:23" ht="15" customHeight="1">
      <c r="S52" s="16"/>
      <c r="T52" s="4"/>
      <c r="U52" s="4"/>
      <c r="V52" s="4"/>
      <c r="W52" s="4"/>
    </row>
    <row r="53" spans="19:23" ht="15" customHeight="1">
      <c r="S53" s="16"/>
      <c r="T53" s="4"/>
      <c r="U53" s="4"/>
      <c r="V53" s="4"/>
      <c r="W53" s="4"/>
    </row>
    <row r="54" spans="19:23" ht="15" customHeight="1">
      <c r="S54" s="4"/>
      <c r="T54" s="4"/>
      <c r="U54" s="4"/>
      <c r="V54" s="4"/>
      <c r="W54" s="4"/>
    </row>
    <row r="55" spans="19:23" ht="15" customHeight="1">
      <c r="S55" s="4"/>
      <c r="T55" s="4"/>
      <c r="U55" s="4"/>
      <c r="V55" s="4"/>
      <c r="W55" s="4"/>
    </row>
    <row r="56" spans="19:23" ht="15" customHeight="1">
      <c r="S56" s="25"/>
      <c r="T56" s="4"/>
      <c r="U56" s="4"/>
      <c r="V56" s="4"/>
      <c r="W56" s="4"/>
    </row>
    <row r="57" spans="19:23" ht="15" customHeight="1">
      <c r="S57" s="4"/>
      <c r="T57" s="4"/>
      <c r="U57" s="4"/>
      <c r="V57" s="4"/>
      <c r="W57" s="4"/>
    </row>
    <row r="58" spans="19:23" ht="15" customHeight="1">
      <c r="S58" s="4"/>
      <c r="T58" s="4"/>
      <c r="U58" s="4"/>
      <c r="V58" s="4"/>
      <c r="W58" s="4"/>
    </row>
    <row r="59" spans="19:23" ht="15" customHeight="1">
      <c r="S59" s="4"/>
      <c r="T59" s="4"/>
      <c r="U59" s="4"/>
      <c r="V59" s="4"/>
      <c r="W59" s="4"/>
    </row>
    <row r="60" spans="19:23" ht="15" customHeight="1">
      <c r="S60" s="4"/>
      <c r="T60" s="4"/>
      <c r="U60" s="4"/>
      <c r="V60" s="4"/>
      <c r="W60" s="4"/>
    </row>
    <row r="61" spans="19:23" ht="15" customHeight="1">
      <c r="S61" s="4"/>
      <c r="T61" s="4"/>
      <c r="U61" s="4"/>
      <c r="V61" s="4"/>
      <c r="W61" s="4"/>
    </row>
    <row r="62" spans="19:23" ht="15" customHeight="1">
      <c r="S62" s="4"/>
      <c r="T62" s="4"/>
      <c r="U62" s="4"/>
      <c r="V62" s="4"/>
      <c r="W62" s="4"/>
    </row>
    <row r="63" spans="19:23" ht="15" customHeight="1">
      <c r="S63" s="16"/>
      <c r="T63" s="4"/>
      <c r="U63" s="4"/>
      <c r="V63" s="4"/>
      <c r="W63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42"/>
  <sheetViews>
    <sheetView workbookViewId="0">
      <selection activeCell="A15" sqref="A15:C17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7" t="s">
        <v>155</v>
      </c>
      <c r="F1" s="1" t="s">
        <v>79</v>
      </c>
    </row>
    <row r="2" spans="1:16">
      <c r="B2" t="s">
        <v>0</v>
      </c>
      <c r="C2" t="s">
        <v>1</v>
      </c>
      <c r="G2" s="8" t="s">
        <v>235</v>
      </c>
      <c r="H2" s="8" t="s">
        <v>236</v>
      </c>
      <c r="I2" t="s">
        <v>107</v>
      </c>
    </row>
    <row r="3" spans="1:16">
      <c r="A3" s="29" t="s">
        <v>120</v>
      </c>
      <c r="B3" s="27">
        <v>50000000000</v>
      </c>
      <c r="C3" s="27">
        <v>1000000000000</v>
      </c>
      <c r="D3" t="s">
        <v>243</v>
      </c>
      <c r="F3" s="28" t="s">
        <v>60</v>
      </c>
      <c r="G3" s="26">
        <v>1</v>
      </c>
      <c r="H3" s="26">
        <f>I3^2</f>
        <v>6.25E-2</v>
      </c>
      <c r="I3">
        <v>0.25</v>
      </c>
    </row>
    <row r="4" spans="1:16">
      <c r="A4" s="29" t="s">
        <v>114</v>
      </c>
      <c r="B4" s="15">
        <v>0.1</v>
      </c>
      <c r="C4" s="15">
        <v>0.5</v>
      </c>
      <c r="D4" t="s">
        <v>225</v>
      </c>
      <c r="F4" s="33" t="s">
        <v>97</v>
      </c>
      <c r="G4" s="34">
        <f>ParetoPosterior(median,alpha,G3:H3)</f>
        <v>1.0718443947358864</v>
      </c>
      <c r="H4" s="4"/>
    </row>
    <row r="5" spans="1:16">
      <c r="A5" s="29" t="s">
        <v>115</v>
      </c>
      <c r="B5" s="15">
        <v>5.0000000000000001E-3</v>
      </c>
      <c r="C5" s="15">
        <v>0.18</v>
      </c>
      <c r="F5" s="33" t="s">
        <v>108</v>
      </c>
      <c r="G5" s="34">
        <f>LognormPosterior(mu_global_poverty,sigma_global_poverty,G3:H3)</f>
        <v>1.1516259366300541</v>
      </c>
      <c r="H5" s="4"/>
    </row>
    <row r="6" spans="1:16">
      <c r="A6" s="29" t="s">
        <v>116</v>
      </c>
      <c r="B6" s="15">
        <v>6.0000000000000001E-3</v>
      </c>
      <c r="C6" s="15">
        <v>0.2</v>
      </c>
    </row>
    <row r="7" spans="1:16">
      <c r="A7" s="4" t="s">
        <v>110</v>
      </c>
      <c r="B7" s="19">
        <f>1000/C3*interest_rate</f>
        <v>5.0000000000000008E-11</v>
      </c>
      <c r="C7" s="19">
        <f>1000/B3*interest_rate</f>
        <v>1.0000000000000001E-9</v>
      </c>
    </row>
    <row r="8" spans="1:16">
      <c r="F8" s="1" t="s">
        <v>109</v>
      </c>
    </row>
    <row r="9" spans="1:16">
      <c r="G9" t="s">
        <v>2</v>
      </c>
      <c r="H9" t="s">
        <v>34</v>
      </c>
      <c r="J9" s="25"/>
      <c r="K9" s="4"/>
      <c r="L9" s="4"/>
      <c r="M9" s="4"/>
      <c r="N9" s="25"/>
      <c r="O9" s="4"/>
      <c r="P9" s="4"/>
    </row>
    <row r="10" spans="1:16">
      <c r="F10" t="s">
        <v>114</v>
      </c>
      <c r="G10">
        <f>GEOMEAN($B$4,$C$4)</f>
        <v>0.22360679774997896</v>
      </c>
      <c r="H10">
        <f>LogVariance($B$4,$C$4)</f>
        <v>0.27270459618181209</v>
      </c>
      <c r="J10" s="4"/>
      <c r="K10" s="4"/>
      <c r="L10" s="4"/>
      <c r="M10" s="4"/>
      <c r="N10" s="4"/>
      <c r="O10" s="4"/>
      <c r="P10" s="4"/>
    </row>
    <row r="11" spans="1:16">
      <c r="F11" s="4" t="s">
        <v>115</v>
      </c>
      <c r="G11">
        <f>GEOMEAN($B$5,$C$5)</f>
        <v>0.03</v>
      </c>
      <c r="H11">
        <f>LogVariance($B$5,$C$5)</f>
        <v>0.60719464694576297</v>
      </c>
      <c r="J11" s="4"/>
      <c r="K11" s="4"/>
      <c r="L11" s="4"/>
      <c r="M11" s="4"/>
      <c r="N11" s="4"/>
      <c r="O11" s="4"/>
      <c r="P11" s="4"/>
    </row>
    <row r="12" spans="1:16" ht="20">
      <c r="A12" s="7" t="s">
        <v>67</v>
      </c>
      <c r="F12" t="s">
        <v>110</v>
      </c>
      <c r="G12">
        <f>GEOMEAN($B$7,$C$7)</f>
        <v>2.2360679774997899E-10</v>
      </c>
      <c r="H12">
        <f>LogVariance($B$7,$C$7)</f>
        <v>0.50759954989056688</v>
      </c>
      <c r="J12" s="4"/>
      <c r="K12" s="4"/>
      <c r="L12" s="4"/>
      <c r="M12" s="4"/>
      <c r="N12" s="4"/>
      <c r="O12" s="4"/>
      <c r="P12" s="4"/>
    </row>
    <row r="13" spans="1:16">
      <c r="A13" s="25" t="s">
        <v>244</v>
      </c>
      <c r="B13" s="4"/>
      <c r="C13" s="4"/>
      <c r="F13" t="s">
        <v>134</v>
      </c>
      <c r="G13">
        <f>VLOOKUP(F13,'EV of Far Future'!$K$17:$M$18,2,FALSE)</f>
        <v>3.4303160870117568E+46</v>
      </c>
      <c r="H13">
        <f>VLOOKUP(F13,'EV of Far Future'!$K$17:$M$18,3,FALSE)</f>
        <v>4.6329187530560025</v>
      </c>
      <c r="J13" s="4"/>
      <c r="K13" s="4"/>
      <c r="L13" s="4"/>
      <c r="M13" s="4"/>
      <c r="N13" s="4"/>
      <c r="O13" s="4"/>
      <c r="P13" s="4"/>
    </row>
    <row r="14" spans="1:16">
      <c r="A14" t="s">
        <v>241</v>
      </c>
      <c r="B14">
        <f>G15-G25</f>
        <v>-5.0715324096542938E+40</v>
      </c>
      <c r="C14">
        <f>DifferenceVariance(G15:H15,G25:H25)</f>
        <v>3.0379575268280052E+97</v>
      </c>
      <c r="F14" s="28" t="s">
        <v>60</v>
      </c>
      <c r="G14" s="26">
        <f>PRODUCT(G10:G13)</f>
        <v>5.1454741305176351E+34</v>
      </c>
      <c r="H14" s="26">
        <f>SUM(H10:H13)</f>
        <v>6.0204175460741443</v>
      </c>
      <c r="J14" s="4"/>
      <c r="K14" s="4"/>
      <c r="L14" s="4"/>
      <c r="M14" s="4"/>
      <c r="N14" s="4"/>
      <c r="O14" s="4"/>
      <c r="P14" s="4"/>
    </row>
    <row r="15" spans="1:16">
      <c r="A15" s="28" t="s">
        <v>242</v>
      </c>
      <c r="B15" s="26">
        <f>EXP(BucketMu(ABS(B14),C14))</f>
        <v>4.6664601504928205E+32</v>
      </c>
      <c r="C15" s="26">
        <f>(BucketSigma(B14,C14) / LN(10))^2</f>
        <v>6.98011262918825</v>
      </c>
      <c r="F15" s="4" t="s">
        <v>234</v>
      </c>
      <c r="G15">
        <f>meanFromParams(G14:H14)</f>
        <v>4.3922519737777953E+41</v>
      </c>
      <c r="H15">
        <f>VarianceFromParams(G14:H14)</f>
        <v>1.4057179436442581E+97</v>
      </c>
      <c r="J15" s="4"/>
      <c r="K15" s="4"/>
      <c r="L15" s="4"/>
      <c r="M15" s="4"/>
      <c r="N15" s="4"/>
      <c r="O15" s="4"/>
      <c r="P15" s="4"/>
    </row>
    <row r="16" spans="1:16">
      <c r="A16" s="33" t="s">
        <v>97</v>
      </c>
      <c r="B16" s="34">
        <f>ParetoPosterior(median,alpha,B15:C15)*SIGN(B14)</f>
        <v>-3.9574710943274464E+16</v>
      </c>
      <c r="J16" s="4"/>
      <c r="K16" s="4"/>
      <c r="L16" s="4"/>
      <c r="M16" s="4"/>
      <c r="N16" s="4"/>
      <c r="O16" s="4"/>
      <c r="P16" s="4"/>
    </row>
    <row r="17" spans="1:16">
      <c r="A17" s="33" t="s">
        <v>108</v>
      </c>
      <c r="B17" s="34">
        <f>LognormPosterior(mu_far_future,sigma_far_future,B15:C15)*SIGN(B14)</f>
        <v>-99.176028089081441</v>
      </c>
      <c r="J17" s="4"/>
      <c r="K17" s="4"/>
      <c r="L17" s="4"/>
      <c r="M17" s="4"/>
      <c r="N17" s="4"/>
      <c r="O17" s="4"/>
      <c r="P17" s="4"/>
    </row>
    <row r="18" spans="1:16">
      <c r="F18" s="1" t="s">
        <v>117</v>
      </c>
      <c r="J18" s="4"/>
      <c r="K18" s="4"/>
      <c r="L18" s="4"/>
      <c r="M18" s="4"/>
      <c r="N18" s="4"/>
      <c r="O18" s="4"/>
      <c r="P18" s="4"/>
    </row>
    <row r="19" spans="1:16">
      <c r="G19" s="8" t="s">
        <v>235</v>
      </c>
      <c r="H19" s="8" t="s">
        <v>237</v>
      </c>
      <c r="J19" s="4"/>
      <c r="K19" s="4"/>
      <c r="L19" s="4"/>
      <c r="M19" s="4"/>
      <c r="N19" s="4"/>
      <c r="O19" s="4"/>
      <c r="P19" s="4"/>
    </row>
    <row r="20" spans="1:16">
      <c r="A20" s="30" t="s">
        <v>105</v>
      </c>
      <c r="B20" s="5">
        <f>B16+G4</f>
        <v>-3.9574710943274464E+16</v>
      </c>
      <c r="F20" t="s">
        <v>114</v>
      </c>
      <c r="G20">
        <f>GEOMEAN($B$4,$C$4)</f>
        <v>0.22360679774997896</v>
      </c>
      <c r="H20">
        <f>LogVariance($B$4,$C$4)</f>
        <v>0.27270459618181209</v>
      </c>
      <c r="J20" s="25"/>
      <c r="K20" s="4"/>
      <c r="L20" s="4"/>
      <c r="M20" s="4"/>
      <c r="N20" s="25"/>
      <c r="O20" s="4"/>
      <c r="P20" s="4"/>
    </row>
    <row r="21" spans="1:16">
      <c r="A21" s="30" t="s">
        <v>106</v>
      </c>
      <c r="B21" s="5">
        <f>B17+G5</f>
        <v>-98.024402152451387</v>
      </c>
      <c r="F21" s="4" t="s">
        <v>116</v>
      </c>
      <c r="G21">
        <f>GEOMEAN($B$6,$C$6)</f>
        <v>3.4641016151377546E-2</v>
      </c>
      <c r="H21">
        <f>LogVariance($B$6,$C$6)</f>
        <v>0.59415429945387477</v>
      </c>
      <c r="J21" s="4"/>
      <c r="K21" s="4"/>
      <c r="L21" s="4"/>
      <c r="M21" s="4"/>
      <c r="N21" s="4"/>
      <c r="O21" s="4"/>
      <c r="P21" s="4"/>
    </row>
    <row r="22" spans="1:16">
      <c r="F22" t="s">
        <v>110</v>
      </c>
      <c r="G22">
        <f>GEOMEAN($B$7,$C$7)</f>
        <v>2.2360679774997899E-10</v>
      </c>
      <c r="H22">
        <f>LogVariance($B$7,$C$7)</f>
        <v>0.50759954989056688</v>
      </c>
      <c r="J22" s="4"/>
      <c r="K22" s="4"/>
      <c r="L22" s="4"/>
      <c r="M22" s="4"/>
      <c r="N22" s="4"/>
      <c r="O22" s="4"/>
      <c r="P22" s="4"/>
    </row>
    <row r="23" spans="1:16">
      <c r="F23" t="s">
        <v>134</v>
      </c>
      <c r="G23">
        <f>VLOOKUP(F23,'EV of Far Future'!$K$17:$M$18,2,FALSE)</f>
        <v>3.4303160870117568E+46</v>
      </c>
      <c r="H23">
        <f>VLOOKUP(F23,'EV of Far Future'!$K$17:$M$18,3,FALSE)</f>
        <v>4.6329187530560025</v>
      </c>
      <c r="J23" s="4"/>
      <c r="K23" s="4"/>
      <c r="L23" s="4"/>
      <c r="M23" s="4"/>
      <c r="N23" s="4"/>
      <c r="O23" s="4"/>
      <c r="P23" s="4"/>
    </row>
    <row r="24" spans="1:16">
      <c r="F24" s="28" t="s">
        <v>60</v>
      </c>
      <c r="G24" s="26">
        <f>PRODUCT(G20:G23)</f>
        <v>5.9414817487252251E+34</v>
      </c>
      <c r="H24" s="26">
        <f>SUM(H20:H23)</f>
        <v>6.0073771985822564</v>
      </c>
      <c r="J24" s="4"/>
      <c r="K24" s="4"/>
      <c r="L24" s="4"/>
      <c r="M24" s="4"/>
      <c r="N24" s="4"/>
      <c r="O24" s="4"/>
      <c r="P24" s="4"/>
    </row>
    <row r="25" spans="1:16">
      <c r="F25" t="s">
        <v>233</v>
      </c>
      <c r="G25">
        <f>meanFromParams(G24:H24)</f>
        <v>4.8994052147432247E+41</v>
      </c>
      <c r="H25">
        <f>VarianceFromParams(G24:H24)</f>
        <v>1.6322395831837041E+97</v>
      </c>
    </row>
    <row r="36" spans="1:2">
      <c r="A36" s="25"/>
      <c r="B36" s="4"/>
    </row>
    <row r="37" spans="1:2">
      <c r="A37" s="4"/>
      <c r="B37" s="4"/>
    </row>
    <row r="38" spans="1:2">
      <c r="A38" s="4"/>
      <c r="B38" s="4"/>
    </row>
    <row r="39" spans="1:2">
      <c r="A39" s="4"/>
      <c r="B39" s="4"/>
    </row>
    <row r="40" spans="1:2">
      <c r="A40" s="4"/>
      <c r="B40" s="4"/>
    </row>
    <row r="41" spans="1:2">
      <c r="A41" s="25"/>
      <c r="B41" s="4"/>
    </row>
    <row r="42" spans="1:2">
      <c r="A42" s="4"/>
      <c r="B4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56"/>
  <sheetViews>
    <sheetView workbookViewId="0">
      <selection activeCell="L47" sqref="L47:N47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  <col min="8" max="8" width="12.83203125" bestFit="1" customWidth="1"/>
    <col min="13" max="13" width="12.83203125" bestFit="1" customWidth="1"/>
  </cols>
  <sheetData>
    <row r="1" spans="1:14" ht="20">
      <c r="A1" s="7" t="s">
        <v>155</v>
      </c>
      <c r="G1" s="1" t="s">
        <v>79</v>
      </c>
      <c r="L1" s="25" t="s">
        <v>80</v>
      </c>
    </row>
    <row r="2" spans="1:14">
      <c r="B2" t="s">
        <v>0</v>
      </c>
      <c r="C2" t="s">
        <v>1</v>
      </c>
      <c r="D2" s="8" t="s">
        <v>235</v>
      </c>
      <c r="E2" s="8" t="s">
        <v>236</v>
      </c>
      <c r="H2" s="8" t="s">
        <v>235</v>
      </c>
      <c r="I2" s="8" t="s">
        <v>236</v>
      </c>
      <c r="M2" s="8" t="s">
        <v>235</v>
      </c>
      <c r="N2" s="8" t="s">
        <v>236</v>
      </c>
    </row>
    <row r="3" spans="1:14">
      <c r="A3" s="29" t="s">
        <v>149</v>
      </c>
      <c r="B3" s="15">
        <v>0.7</v>
      </c>
      <c r="C3" s="27">
        <v>13</v>
      </c>
      <c r="F3" s="8" t="s">
        <v>153</v>
      </c>
      <c r="G3" t="s">
        <v>84</v>
      </c>
      <c r="H3">
        <f>D5</f>
        <v>3016.620625799671</v>
      </c>
      <c r="I3">
        <f>E5</f>
        <v>0.49504262895320128</v>
      </c>
      <c r="L3" s="4" t="s">
        <v>78</v>
      </c>
      <c r="M3">
        <f>VLOOKUP($L3,'EV of Far Future'!$O$3:$P$13,2,FALSE)</f>
        <v>0.16799999999999998</v>
      </c>
      <c r="N3">
        <v>0</v>
      </c>
    </row>
    <row r="4" spans="1:14">
      <c r="A4" s="29" t="s">
        <v>223</v>
      </c>
      <c r="B4" s="15">
        <v>3</v>
      </c>
      <c r="C4" s="27">
        <v>4</v>
      </c>
      <c r="D4">
        <f>GEOMEAN(B4,C4)</f>
        <v>3.4641016151377548</v>
      </c>
      <c r="E4">
        <f>LogVariance(B4,C4)</f>
        <v>4.8745107090250664E-2</v>
      </c>
      <c r="F4" t="s">
        <v>224</v>
      </c>
      <c r="G4" t="s">
        <v>43</v>
      </c>
      <c r="H4">
        <f>VLOOKUP($G4,Globals!A17:F24,4,FALSE)</f>
        <v>5</v>
      </c>
      <c r="I4">
        <f>VLOOKUP($G4,Globals!A17:F24,5,FALSE)</f>
        <v>0.3</v>
      </c>
      <c r="L4" s="4" t="s">
        <v>86</v>
      </c>
      <c r="M4">
        <v>1</v>
      </c>
      <c r="N4">
        <v>0</v>
      </c>
    </row>
    <row r="5" spans="1:14">
      <c r="A5" t="s">
        <v>84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28" t="s">
        <v>60</v>
      </c>
      <c r="H5" s="26">
        <f>PRODUCT(H3:H4)</f>
        <v>15083.103128998355</v>
      </c>
      <c r="I5" s="26">
        <f>SUM(I3:I4)</f>
        <v>0.79504262895320132</v>
      </c>
      <c r="L5" s="4" t="s">
        <v>70</v>
      </c>
      <c r="M5">
        <f>VLOOKUP($L5,'EV of Far Future'!$K$3:$N$13,2,FALSE)</f>
        <v>2.6563132345414381E+34</v>
      </c>
      <c r="N5">
        <f>VLOOKUP($L5,'EV of Far Future'!$K$3:$N$13,3,FALSE)</f>
        <v>2.8210645112533266</v>
      </c>
    </row>
    <row r="6" spans="1:14">
      <c r="A6" t="s">
        <v>83</v>
      </c>
      <c r="D6">
        <f>PRODUCT(D4:D5)</f>
        <v>10449.880382090505</v>
      </c>
      <c r="E6">
        <f>SUM(E4:E5)</f>
        <v>0.54378773604345199</v>
      </c>
      <c r="G6" s="33" t="s">
        <v>97</v>
      </c>
      <c r="H6" s="34">
        <f>ParetoPosterior(median,alpha,H5:I5)</f>
        <v>278.14172544025013</v>
      </c>
      <c r="L6" s="4" t="s">
        <v>82</v>
      </c>
      <c r="M6">
        <f>1/factory_farmed_animals</f>
        <v>5.0000000000000002E-11</v>
      </c>
      <c r="N6">
        <v>0</v>
      </c>
    </row>
    <row r="7" spans="1:14">
      <c r="A7" s="29" t="s">
        <v>130</v>
      </c>
      <c r="B7" s="15">
        <v>0.01</v>
      </c>
      <c r="C7" s="15">
        <v>0.01</v>
      </c>
      <c r="D7">
        <f>GEOMEAN(B7,C7)</f>
        <v>0.01</v>
      </c>
      <c r="E7">
        <f>LogVariance(B7,C7)</f>
        <v>0</v>
      </c>
      <c r="F7" t="s">
        <v>131</v>
      </c>
      <c r="G7" s="33" t="s">
        <v>85</v>
      </c>
      <c r="H7" s="35">
        <f>LognormPosterior(mu_factory_farming,sigma_factory_farming,H5:I5)</f>
        <v>38.692316763766371</v>
      </c>
      <c r="I7" t="s">
        <v>220</v>
      </c>
      <c r="L7" s="4" t="s">
        <v>119</v>
      </c>
      <c r="M7">
        <f>$D$8</f>
        <v>626.99282292543035</v>
      </c>
      <c r="N7">
        <f>$E$8</f>
        <v>0.54378773604345199</v>
      </c>
    </row>
    <row r="8" spans="1:14">
      <c r="A8" t="s">
        <v>119</v>
      </c>
      <c r="D8">
        <f>D6*(interest_rate+D7)</f>
        <v>626.99282292543035</v>
      </c>
      <c r="E8">
        <f>E6+E7</f>
        <v>0.54378773604345199</v>
      </c>
      <c r="H8" s="38"/>
      <c r="L8" s="28" t="s">
        <v>60</v>
      </c>
      <c r="M8" s="26">
        <f>PRODUCT(M3:M7)</f>
        <v>1.3990110401394262E+26</v>
      </c>
      <c r="N8" s="26">
        <f>SUM(N3:N7)</f>
        <v>3.3648522472967786</v>
      </c>
    </row>
    <row r="9" spans="1:14">
      <c r="H9" s="3"/>
      <c r="L9" s="4"/>
      <c r="M9" s="4"/>
      <c r="N9" s="4"/>
    </row>
    <row r="10" spans="1:14">
      <c r="L10" s="4"/>
      <c r="M10" s="38"/>
      <c r="N10" s="38"/>
    </row>
    <row r="11" spans="1:14" ht="20">
      <c r="A11" s="7" t="s">
        <v>67</v>
      </c>
      <c r="M11" s="39"/>
      <c r="N11" s="3"/>
    </row>
    <row r="12" spans="1:14">
      <c r="A12" s="1" t="s">
        <v>249</v>
      </c>
      <c r="B12" t="s">
        <v>235</v>
      </c>
      <c r="C12" t="s">
        <v>237</v>
      </c>
      <c r="M12" s="3"/>
    </row>
    <row r="13" spans="1:14">
      <c r="A13" s="4" t="s">
        <v>230</v>
      </c>
      <c r="B13">
        <f>H48-M47</f>
        <v>3.8619482376529779E+36</v>
      </c>
      <c r="C13">
        <f>DifferenceVariance(H48:I48,M47:N47)</f>
        <v>1.3161887255400694E+86</v>
      </c>
      <c r="G13" s="1" t="s">
        <v>88</v>
      </c>
      <c r="L13" s="1" t="s">
        <v>102</v>
      </c>
      <c r="N13" s="4"/>
    </row>
    <row r="14" spans="1:14">
      <c r="A14" s="28" t="s">
        <v>242</v>
      </c>
      <c r="B14" s="26">
        <f>EXP(BucketMu(ABS(B13),C13))</f>
        <v>1.3000313158802182E+30</v>
      </c>
      <c r="C14" s="26">
        <f>(BucketSigma(B13,C13) / LN(10))^2</f>
        <v>5.6222483627585396</v>
      </c>
      <c r="H14" s="8" t="s">
        <v>235</v>
      </c>
      <c r="I14" s="8" t="s">
        <v>237</v>
      </c>
      <c r="L14" s="4"/>
      <c r="M14" s="8" t="s">
        <v>235</v>
      </c>
      <c r="N14" s="8" t="s">
        <v>237</v>
      </c>
    </row>
    <row r="15" spans="1:14">
      <c r="A15" s="33" t="s">
        <v>97</v>
      </c>
      <c r="B15" s="34">
        <f>ParetoPosterior(median,alpha,B14:C14)*SIGN(B13)</f>
        <v>1.4731890413275635E+17</v>
      </c>
      <c r="G15" t="s">
        <v>90</v>
      </c>
      <c r="H15">
        <f>VLOOKUP($G15,'EV of Far Future'!$O$3:$P$13,2,FALSE)</f>
        <v>0.22399999999999998</v>
      </c>
      <c r="I15">
        <v>0</v>
      </c>
      <c r="L15" t="s">
        <v>90</v>
      </c>
      <c r="M15">
        <f>VLOOKUP($G15,'EV of Far Future'!$O$3:$P$13,2,FALSE)</f>
        <v>0.22399999999999998</v>
      </c>
      <c r="N15">
        <v>0</v>
      </c>
    </row>
    <row r="16" spans="1:14">
      <c r="A16" s="33" t="s">
        <v>108</v>
      </c>
      <c r="B16" s="34">
        <f>LognormPosterior(mu_far_future,sigma_far_future,B14:C14)*SIGN(B13)</f>
        <v>159.11913767478637</v>
      </c>
      <c r="G16" s="4" t="s">
        <v>86</v>
      </c>
      <c r="H16" s="2">
        <v>0.1</v>
      </c>
      <c r="I16">
        <v>0</v>
      </c>
      <c r="J16" t="s">
        <v>87</v>
      </c>
      <c r="L16" s="4" t="s">
        <v>103</v>
      </c>
      <c r="M16" s="2">
        <v>0.02</v>
      </c>
      <c r="N16">
        <v>0</v>
      </c>
    </row>
    <row r="17" spans="1:14">
      <c r="G17" s="4" t="s">
        <v>72</v>
      </c>
      <c r="H17">
        <f>VLOOKUP($G17,'EV of Far Future'!$K$3:$N$13,2,FALSE)</f>
        <v>8.9599999999999976E+36</v>
      </c>
      <c r="I17">
        <f>VLOOKUP($G17,'EV of Far Future'!$K$3:$N$13,3,FALSE)</f>
        <v>3.4812165842895157</v>
      </c>
      <c r="L17" s="4" t="s">
        <v>72</v>
      </c>
      <c r="M17">
        <f>VLOOKUP($G17,'EV of Far Future'!$K$3:$N$13,2,FALSE)</f>
        <v>8.9599999999999976E+36</v>
      </c>
      <c r="N17">
        <f>VLOOKUP($G17,'EV of Far Future'!$K$3:$N$13,3,FALSE)</f>
        <v>3.4812165842895157</v>
      </c>
    </row>
    <row r="18" spans="1:14">
      <c r="A18" s="4"/>
      <c r="B18" s="4"/>
      <c r="C18" s="4"/>
      <c r="G18" s="4" t="s">
        <v>82</v>
      </c>
      <c r="H18">
        <f>1/factory_farmed_animals</f>
        <v>5.0000000000000002E-11</v>
      </c>
      <c r="I18">
        <v>0</v>
      </c>
      <c r="L18" s="4" t="s">
        <v>82</v>
      </c>
      <c r="M18">
        <f>1/factory_farmed_animals</f>
        <v>5.0000000000000002E-11</v>
      </c>
      <c r="N18">
        <v>0</v>
      </c>
    </row>
    <row r="19" spans="1:14">
      <c r="A19" s="30" t="s">
        <v>105</v>
      </c>
      <c r="B19" s="5">
        <f>B15+H6</f>
        <v>1.4731890413275664E+17</v>
      </c>
      <c r="C19" s="4"/>
      <c r="G19" s="4" t="s">
        <v>119</v>
      </c>
      <c r="H19">
        <f>$D$8</f>
        <v>626.99282292543035</v>
      </c>
      <c r="I19">
        <f>$E$8</f>
        <v>0.54378773604345199</v>
      </c>
      <c r="L19" s="4" t="s">
        <v>119</v>
      </c>
      <c r="M19">
        <f>$D$8</f>
        <v>626.99282292543035</v>
      </c>
      <c r="N19">
        <f>$E$8</f>
        <v>0.54378773604345199</v>
      </c>
    </row>
    <row r="20" spans="1:14">
      <c r="A20" s="30" t="s">
        <v>106</v>
      </c>
      <c r="B20" s="5">
        <f>B16+H7</f>
        <v>197.81145443855274</v>
      </c>
      <c r="G20" s="28" t="s">
        <v>60</v>
      </c>
      <c r="H20" s="26">
        <f>PRODUCT(H15:H19)</f>
        <v>6.2919983766212771E+27</v>
      </c>
      <c r="I20" s="26">
        <f>SUM(I15:I19)</f>
        <v>4.0250043203329682</v>
      </c>
      <c r="L20" s="28" t="s">
        <v>60</v>
      </c>
      <c r="M20" s="26">
        <f>PRODUCT(M15:M19)</f>
        <v>1.2583996753242552E+27</v>
      </c>
      <c r="N20" s="26">
        <f>SUM(N15:N19)</f>
        <v>4.0250043203329682</v>
      </c>
    </row>
    <row r="21" spans="1:14">
      <c r="G21" s="4"/>
      <c r="H21" s="4"/>
      <c r="L21" s="4"/>
      <c r="M21" s="4"/>
    </row>
    <row r="22" spans="1:14">
      <c r="G22" s="4"/>
      <c r="H22" s="38"/>
      <c r="L22" s="4"/>
      <c r="M22" s="38"/>
    </row>
    <row r="23" spans="1:14">
      <c r="G23" s="1" t="s">
        <v>101</v>
      </c>
      <c r="L23" s="1" t="s">
        <v>104</v>
      </c>
    </row>
    <row r="24" spans="1:14">
      <c r="H24" s="8" t="s">
        <v>235</v>
      </c>
      <c r="I24" s="8" t="s">
        <v>237</v>
      </c>
      <c r="M24" s="8" t="s">
        <v>235</v>
      </c>
      <c r="N24" s="8" t="s">
        <v>237</v>
      </c>
    </row>
    <row r="25" spans="1:14">
      <c r="G25" t="s">
        <v>91</v>
      </c>
      <c r="H25">
        <f>VLOOKUP($G25,'EV of Far Future'!$O$3:$P$13,2,FALSE)</f>
        <v>0.22399999999999998</v>
      </c>
      <c r="I25">
        <v>0</v>
      </c>
      <c r="L25" t="s">
        <v>91</v>
      </c>
      <c r="M25">
        <f>VLOOKUP($G25,'EV of Far Future'!$O$3:$P$13,2,FALSE)</f>
        <v>0.22399999999999998</v>
      </c>
      <c r="N25">
        <v>0</v>
      </c>
    </row>
    <row r="26" spans="1:14">
      <c r="C26" s="4"/>
      <c r="D26" s="4"/>
      <c r="G26" s="4" t="s">
        <v>86</v>
      </c>
      <c r="H26" s="2">
        <v>0.05</v>
      </c>
      <c r="I26">
        <v>0</v>
      </c>
      <c r="L26" s="4" t="s">
        <v>103</v>
      </c>
      <c r="M26" s="2">
        <v>0.01</v>
      </c>
      <c r="N26">
        <v>0</v>
      </c>
    </row>
    <row r="27" spans="1:14">
      <c r="D27" s="4"/>
      <c r="G27" s="4" t="s">
        <v>73</v>
      </c>
      <c r="H27">
        <f>VLOOKUP($G27,'EV of Far Future'!$K$3:$N$13,2,FALSE)</f>
        <v>2.8334007835108666E+40</v>
      </c>
      <c r="I27">
        <f>VLOOKUP($G27,'EV of Far Future'!$K$3:$N$13,3,FALSE)</f>
        <v>4.1513686573257056</v>
      </c>
      <c r="L27" s="4" t="s">
        <v>73</v>
      </c>
      <c r="M27">
        <f>VLOOKUP($G27,'EV of Far Future'!$K$3:$N$13,2,FALSE)</f>
        <v>2.8334007835108666E+40</v>
      </c>
      <c r="N27">
        <f>VLOOKUP($G27,'EV of Far Future'!$K$3:$N$13,3,FALSE)</f>
        <v>4.1513686573257056</v>
      </c>
    </row>
    <row r="28" spans="1:14">
      <c r="B28" s="4"/>
      <c r="D28" s="4"/>
      <c r="G28" s="4" t="s">
        <v>82</v>
      </c>
      <c r="H28">
        <f>1/factory_farmed_animals</f>
        <v>5.0000000000000002E-11</v>
      </c>
      <c r="I28">
        <v>0</v>
      </c>
      <c r="L28" s="4" t="s">
        <v>82</v>
      </c>
      <c r="M28">
        <f>1/factory_farmed_animals</f>
        <v>5.0000000000000002E-11</v>
      </c>
      <c r="N28">
        <v>0</v>
      </c>
    </row>
    <row r="29" spans="1:14">
      <c r="D29" s="4"/>
      <c r="G29" s="4" t="s">
        <v>119</v>
      </c>
      <c r="H29">
        <f>$D$8</f>
        <v>626.99282292543035</v>
      </c>
      <c r="I29">
        <f>$E$8</f>
        <v>0.54378773604345199</v>
      </c>
      <c r="L29" s="4" t="s">
        <v>119</v>
      </c>
      <c r="M29">
        <f>$D$8</f>
        <v>626.99282292543035</v>
      </c>
      <c r="N29">
        <f>$E$8</f>
        <v>0.54378773604345199</v>
      </c>
    </row>
    <row r="30" spans="1:14">
      <c r="A30" s="25"/>
      <c r="B30" s="4"/>
      <c r="G30" s="28" t="s">
        <v>60</v>
      </c>
      <c r="H30" s="26">
        <f>PRODUCT(H25:H29)</f>
        <v>9.9485229521025843E+30</v>
      </c>
      <c r="I30" s="26">
        <f>SUM(I25:I29)</f>
        <v>4.6951563933691576</v>
      </c>
      <c r="L30" s="28" t="s">
        <v>60</v>
      </c>
      <c r="M30" s="26">
        <f>PRODUCT(M25:M29)</f>
        <v>1.9897045904205165E+30</v>
      </c>
      <c r="N30" s="26">
        <f>SUM(N25:N29)</f>
        <v>4.6951563933691576</v>
      </c>
    </row>
    <row r="31" spans="1:14">
      <c r="G31" s="4"/>
      <c r="H31" s="4"/>
      <c r="L31" s="4"/>
      <c r="M31" s="4"/>
    </row>
    <row r="32" spans="1:14">
      <c r="B32" s="4"/>
      <c r="G32" s="4"/>
      <c r="H32" s="38"/>
      <c r="L32" s="4"/>
      <c r="M32" s="38"/>
    </row>
    <row r="33" spans="2:14">
      <c r="B33" s="4"/>
      <c r="G33" s="1" t="s">
        <v>96</v>
      </c>
      <c r="L33" s="1" t="s">
        <v>184</v>
      </c>
    </row>
    <row r="34" spans="2:14">
      <c r="B34" s="4"/>
      <c r="H34" s="8" t="s">
        <v>235</v>
      </c>
      <c r="I34" s="8" t="s">
        <v>237</v>
      </c>
      <c r="M34" s="8" t="s">
        <v>235</v>
      </c>
      <c r="N34" s="8" t="s">
        <v>237</v>
      </c>
    </row>
    <row r="35" spans="2:14">
      <c r="B35" s="4"/>
      <c r="G35" t="s">
        <v>92</v>
      </c>
      <c r="H35">
        <f>VLOOKUP($G35,'EV of Far Future'!$O$3:$P$13,2,FALSE)</f>
        <v>0.16799999999999998</v>
      </c>
      <c r="I35">
        <v>0</v>
      </c>
      <c r="L35" t="s">
        <v>92</v>
      </c>
      <c r="M35">
        <f>VLOOKUP($G35,'EV of Far Future'!$O$3:$P$13,2,FALSE)</f>
        <v>0.16799999999999998</v>
      </c>
      <c r="N35">
        <v>0</v>
      </c>
    </row>
    <row r="36" spans="2:14">
      <c r="B36" s="4"/>
      <c r="G36" s="4" t="s">
        <v>86</v>
      </c>
      <c r="H36" s="2">
        <v>0.1</v>
      </c>
      <c r="I36">
        <v>0</v>
      </c>
      <c r="L36" s="4" t="s">
        <v>103</v>
      </c>
      <c r="M36" s="2">
        <v>0.01</v>
      </c>
      <c r="N36">
        <v>0</v>
      </c>
    </row>
    <row r="37" spans="2:14">
      <c r="G37" s="4" t="s">
        <v>74</v>
      </c>
      <c r="H37">
        <f>VLOOKUP($G37,'EV of Far Future'!$K$3:$N$13,2,FALSE)</f>
        <v>6.7199999999999966E+38</v>
      </c>
      <c r="I37">
        <f>VLOOKUP($G37,'EV of Far Future'!$K$3:$N$13,3,FALSE)</f>
        <v>5.3218248764342739</v>
      </c>
      <c r="L37" s="4" t="s">
        <v>74</v>
      </c>
      <c r="M37">
        <f>VLOOKUP($G37,'EV of Far Future'!$K$3:$N$13,2,FALSE)</f>
        <v>6.7199999999999966E+38</v>
      </c>
      <c r="N37">
        <f>VLOOKUP($G37,'EV of Far Future'!$K$3:$N$13,3,FALSE)</f>
        <v>5.3218248764342739</v>
      </c>
    </row>
    <row r="38" spans="2:14">
      <c r="G38" s="4" t="s">
        <v>82</v>
      </c>
      <c r="H38">
        <f>1/factory_farmed_animals</f>
        <v>5.0000000000000002E-11</v>
      </c>
      <c r="I38">
        <v>0</v>
      </c>
      <c r="L38" s="4" t="s">
        <v>82</v>
      </c>
      <c r="M38">
        <f>1/factory_farmed_animals</f>
        <v>5.0000000000000002E-11</v>
      </c>
      <c r="N38">
        <v>0</v>
      </c>
    </row>
    <row r="39" spans="2:14">
      <c r="G39" s="4" t="s">
        <v>119</v>
      </c>
      <c r="H39">
        <f>$D$8</f>
        <v>626.99282292543035</v>
      </c>
      <c r="I39">
        <f>$E$8</f>
        <v>0.54378773604345199</v>
      </c>
      <c r="L39" s="4" t="s">
        <v>119</v>
      </c>
      <c r="M39">
        <f>$D$8</f>
        <v>626.99282292543035</v>
      </c>
      <c r="N39">
        <f>$E$8</f>
        <v>0.54378773604345199</v>
      </c>
    </row>
    <row r="40" spans="2:14">
      <c r="G40" s="28" t="s">
        <v>60</v>
      </c>
      <c r="H40" s="26">
        <f>PRODUCT(H35:H39)</f>
        <v>3.5392490868494674E+29</v>
      </c>
      <c r="I40" s="26">
        <f>SUM(I35:I39)</f>
        <v>5.8656126124777259</v>
      </c>
      <c r="L40" s="28" t="s">
        <v>60</v>
      </c>
      <c r="M40" s="26">
        <f>PRODUCT(M35:M39)</f>
        <v>3.5392490868494672E+28</v>
      </c>
      <c r="N40" s="26">
        <f>SUM(N35:N39)</f>
        <v>5.8656126124777259</v>
      </c>
    </row>
    <row r="42" spans="2:14">
      <c r="G42" t="s">
        <v>246</v>
      </c>
      <c r="L42" t="s">
        <v>245</v>
      </c>
    </row>
    <row r="43" spans="2:14">
      <c r="G43" t="s">
        <v>247</v>
      </c>
      <c r="H43">
        <f>M8</f>
        <v>1.3990110401394262E+26</v>
      </c>
      <c r="I43">
        <f>N8</f>
        <v>3.3648522472967786</v>
      </c>
      <c r="L43" t="s">
        <v>247</v>
      </c>
      <c r="M43">
        <f>M20</f>
        <v>1.2583996753242552E+27</v>
      </c>
      <c r="N43">
        <f>N20</f>
        <v>4.0250043203329682</v>
      </c>
    </row>
    <row r="44" spans="2:14">
      <c r="H44">
        <f>H20</f>
        <v>6.2919983766212771E+27</v>
      </c>
      <c r="I44">
        <f>I20</f>
        <v>4.0250043203329682</v>
      </c>
      <c r="M44">
        <f>M30</f>
        <v>1.9897045904205165E+30</v>
      </c>
      <c r="N44">
        <f>N30</f>
        <v>4.6951563933691576</v>
      </c>
    </row>
    <row r="45" spans="2:14">
      <c r="H45">
        <f>H30</f>
        <v>9.9485229521025843E+30</v>
      </c>
      <c r="I45">
        <f>I30</f>
        <v>4.6951563933691576</v>
      </c>
      <c r="L45" s="4"/>
      <c r="M45" s="4">
        <f>M40</f>
        <v>3.5392490868494672E+28</v>
      </c>
      <c r="N45" s="4">
        <f>N40</f>
        <v>5.8656126124777259</v>
      </c>
    </row>
    <row r="46" spans="2:14">
      <c r="G46" s="4"/>
      <c r="H46" s="4">
        <f>H40</f>
        <v>3.5392490868494674E+29</v>
      </c>
      <c r="I46" s="4">
        <f>I40</f>
        <v>5.8656126124777259</v>
      </c>
      <c r="L46" s="4" t="s">
        <v>248</v>
      </c>
      <c r="M46" t="str">
        <f>WriteArray(SumLognormDists(M43:N45))</f>
        <v>0,0,0,0,0,0,6.27706357771124E-300,9.09277274237728E-298,2.11668429798315E-296,3.77466004343391E-295,5.9394323680548E-294,9.95070521314644E-293,1.52004257562118E-291,2.2403600497362E-290,3.23863220334549E-289,4.62691374156297E-288,6.55422337291953E-287,9.21900794224276E-286,1.28840687969657E-284,1.78957245337235E-283,2.47073987684132E-282,3.39086516596649E-281,4.62605434245514E-280,6.27382824067853E-279,8.45821019251136E-278,1.13357254249294E-276,1.51023885916252E-275,2.00017350114826E-274,2.63339201328114E-273,3.44658688780498E-272,4.48424005072844E-271,5.79981845850673E-270,7.4570299326484E-269,9.53110657138644E-268,1.21100721116318E-266,1.5295937784161E-265,1.92057589726559E-264,2.39724729732687E-263,2.97454271334135E-262,3.66904975472611E-261,4.49896923361981E-260,5.48401314490864E-259,6.64522979900119E-258,8.00474653581416E-257,9.5854220840144E-256,1.1410403034083E-254,1.35025820917954E-253,1.58839597486286E-252,1.85749156717259E-251,2.15934013430399E-250,2.49540710682999E-249,2.8667374175523E-248,3.27386367221187E-247,3.71671659823345E-246,4.19454150243378E-245,4.70582474410338E-244,5.24823434291356E-243,5.81857876294135E-242,6.41278762401357E-241,7.02591757943624E-240,7.65218586738995E-239,8.28503310817835E-238,8.91721581172071E-237,9.5409278235814E-236,1.01479486298886E-234,1.0729815127605E-233,1.12780122184309E-232,1.17841764752432E-231,1.22403062291907E-230,1.26389707949008E-229,1.29735112395454E-228,1.32382251407868E-227,1.34285281814121E-226,1.3541086185952E-225,1.35739122865972E-224,1.3526425261992E-223,1.33994666554697E-222,1.31952759682754E-221,1.29174249495079E-220,1.25707136766974E-219,1.21610326514016E-218,1.16951964443254E-217,1.11807554496489E-216,1.06257930017612E-215,1.00387154431752E-214,9.42804270527343E-214,8.80220658995718E-213,8.1693632557118E-212,7.53722546747314E-211,6.91291902946423E-210,6.30286655456943E-209,5.71270040601856E-208,5.14720534803972E-207,4.61029022608117E-206,4.10498691859093E-205,3.63347390309425E-204,3.19712108741224E-203,2.79655208599008E-202,2.43171987143918E-201,2.10199169028048E-200,1.80623927712453E-199,1.54293070316465E-198,1.31022061807948E-197,1.10603615227946E-196,9.28156302314649E-196,7.74283192105759E-195,6.42104156587412E-194,5.29344107820412E-193,4.33808098095521E-192,3.53414377610928E-191,2.86218549438204E-190,2.30429650451287E-189,1.84419136877624E-188,1.46723833804332E-187,1.16043928446642E-186,9.12370578323783E-186,7.13094739114959E-185,5.5405173911754E-184,4.27937711939198E-183,3.28577608694972E-182,2.50797125199916E-181,1.90298054083536E-180,1.43540139390636E-179,1.07631556769734E-178,8.02293255720452E-178,5.94502850921812E-177,4.37927322596613E-176,3.20684125655733E-175,2.3344265945978E-174,1.68931384697219E-173,1.21525618883639E-172,8.69065963105914E-172,6.17824407656574E-171,4.36621204105228E-170,3.06741153583156E-169,2.1422332361364E-168,1.48726707430435E-167,1.02645212758508E-166,7.04232367111184E-166,4.80309119491696E-165,3.25651642843401E-164,2.19489286314951E-163,1.47062184712805E-162,9.795268768858E-162,6.48573768002608E-161,4.26903881327554E-160,2.79337056012173E-159,1.81699924777159E-158,1.17492112897482E-157,7.55249548568599E-157,4.82614151487169E-156,3.0657551875592E-155,1.93598842580328E-154,1.21533479207604E-153,7.58432646972641E-153,4.70506953083666E-152,2.90163670069863E-151,1.77888557673371E-150,1.08412910907151E-149,6.568134475606E-149,3.95577089567912E-148,2.36836326408258E-147,1.40959262121231E-146,8.34001942022806E-146,4.90533503748971E-145,2.86812770479755E-144,1.66708028959233E-143,9.63258386682103E-143,5.5329578092867E-142,3.15936806081372E-141,1.79337627993592E-140,1.0119777883113E-139,5.67673902627935E-139,3.16559459765234E-138,1.75485044555184E-137,9.67059956985943E-137,5.29779558637404E-136,2.88513094559348E-135,1.56194028498851E-134,8.40604903594932E-134,4.49726043464574E-133,2.39184379753591E-132,1.26457990994691E-131,6.64643039974031E-131,3.47263705772739E-130,1.80367843357576E-129,9.31295800527943E-129,4.78018851712791E-128,2.43910942505959E-127,1.23721864991983E-126,6.23864938100872E-126,3.12725776595264E-125,1.55835283573186E-124,7.71963845117602E-124,3.80151938593383E-123,1.86100087468816E-122,9.05659817325632E-122,4.38139906404023E-121,2.10712232779941E-120,1.0073860890267E-119,4.78774982321617E-119,2.26201918865469E-118,1.06240594998688E-117,4.96037049382483E-117,2.30232795374884E-116,1.06230627293004E-115,4.87261202767886E-115,2.22179244977692E-114,1.00710498774251E-113,4.53811663741644E-113,2.03285427816717E-112,9.05245908501618E-112,4.00734434927275E-111,1.76350447646582E-110,7.71482934567966E-110,3.35510392865154E-109,1.45049277806224E-108,6.23383276313959E-108,2.66332858663881E-107,1.13116100622942E-106,4.77588891828147E-106,2.0045374316252E-105,8.36381333563206E-105,3.46916332891006E-104,1.4304591610324E-103,5.86349458251944E-103,2.38928518017461E-102,9.6785410220359E-102,3.89746563444193E-101,1.56021783104091E-100,6.20895871911682E-100,2.45630872798832e-99,9.66001553965825e-99,3.77662135874405e-98,1.46777627453644e-97,5.67083659267115e-97,2.17803727245433e-96,8.31599923245258e-96,3.15641854909794e-95,1.19098365613659e-94,4.46733109009198e-94,1.66579540844856e-93,6.17485008945069e-93,2.27542471966731e-92,8.335465903653e-92,3.03548925621933e-91,1.09890207590784e-90,3.95476626642485e-90,1.41486252257491e-89,5.03198481149908e-89,1.77908262991231e-88,6.25294631537057e-88,2.18476700097104e-87,7.58852670503357e-87,2.62024429204328e-86,8.99410895616375e-86,3.06906874546056e-85,1.04108758629611e-84,3.51075213050022e-84,1.17691578115313e-83,3.92213911297524e-83,1.29937067479879e-82,4.27932884925085e-82,1.40104107636451e-81,4.55993608762092e-81,1.47536473545705e-80,4.74540052039812e-80,1.5173272500885e-79,4.82301517758424e-79,1.52402140234299e-78,4.7873662060826e-78,1.49498027036178e-77,4.64095740510486e-77,1.43223109002279e-76,4.39391942792474e-76,1.34006123459828e-75,4.06285056581726e-75,1.22453384051251e-74,3.66897337930791e-74,1.09282908919142e-73,3.23589142262082e-73,9.52510421212862e-73,2.78727439857633e-72,8.1081916553191e-72,2.34478308294742e-71,6.74086800177222e-71,1.92647579813456e-70,5.47325870127801e-70,1.54583516022226e-69,4.34025529796934e-69,1.21144127177717e-68,3.36143374622058e-68,9.27218216280005e-68,2.54258027416793e-67,6.93111047353624e-67,1.87830671482062e-66,5.06017874220671e-66,1.35519246193421e-65,3.60804534680563e-65,9.54946424785411e-65,2.51259307350878e-64,6.5720606647113e-64,1.70890274849171e-63,4.4174296207912e-63,1.13516388195118e-62,2.8999082372114e-62,7.36456068095361e-62,1.85928714799146e-61,4.66641392741686e-61,1.16427979527262e-60,2.88781196970642e-60,7.12062405373721e-60,1.7454400668133e-59,4.25333619873821e-59,1.03036837628839e-58,2.48138138624308e-58,5.94063493417792e-58,1.41387401506295e-57,3.34523956496804e-57,7.86832994758954e-57,1.8398266023496e-56,4.2767157485332e-56,9.88287289207557e-56,2.27036425122908e-55,5.1849855835673e-55,1.17717066211231e-54,2.65687641186091e-54,5.96133474099033e-54,1.32970740467114e-53,2.94855532044066e-53,6.49984925674573e-53,1.42442077672851e-52,3.10323402597258e-52,6.72097341910732e-52,1.4470763905038e-51,3.09736640132857e-51,6.59076415571649e-51,1.3941876908495e-50,2.93190050258404e-50,6.12942806903879e-50,1.27389505879783e-49,2.63202837776465e-49,5.40618544528127e-49,1.10391342634942e-48,2.24090295506175e-48,4.52225760321961e-48,9.07260540359731e-48,1.80947876519897e-47,3.58773184279037e-47,7.07182903496832e-47,1.3857634637239e-46,2.69955590362898e-46,5.22807372269357e-46,1.00655506740523e-45,1.9265493622643e-45,3.66580888508642e-45,6.93436812730301e-45,1.3040423262631e-44,2.43794853896877e-44,4.53112215745885e-44,8.37212575392847e-44,1.53785292701214e-43,2.8082987862429e-43,5.09825597168995e-43,9.2013203649207e-43,1.65093221267205e-42,2.94482368072642e-42,5.22204629779605e-42,9.20606237974404e-42,1.61346407774778e-41,2.81123600698659e-41,4.86954482144961e-41,8.38557657656836e-41,1.43559338151748e-40,2.44334271996287e-40,4.13420710172624e-40,6.95433257446148e-40,1.1629862201243e-39,1.93352627390599e-39,3.19582143246609e-39,5.25136716695812e-39,8.57867595503741e-39,1.39324246039509e-38,2.24953250062092e-38,3.61091746737678e-38,5.76239696076569e-38,9.14217898490466e-38,1.4419753411058e-37,2.26114368829261e-37,3.5250182079169e-37,5.46333866580175e-37,8.41819790683064e-37,1.28957054390257e-36,1.9639786996488e-36,2.9736844948893e-36,4.47631066123888e-36,6.69905519743578e-36,9.96725820683711e-36,1.47437347675345e-35,2.16825227844403e-35,3.17017685633612e-35,4.60818014649882e-35,6.65960710380589e-35,9.56845720049397e-35,1.36681695056969e-34,1.94113134464915e-34,2.7407955968936e-34,3.84748195187011e-34,5.36977194051635e-34,7.45101636241657e-34,1.02791397484846e-33,1.40987557176046e-33,1.92259930841753e-33,2.606645745107e-33,3.51367646195546e-33,4.70900748780212e-33,6.2746024724503e-33,8.31253878602237e-33,1.09489693079215e-32,1.43385875797813e-32,1.86695835905103e-32,2.41690512204684e-32,3.11087759939176e-32,3.9811293275385e-32,5.06560627932633e-32,6.40855562648178e-32,8.06110023763496e-32,1.00817479507255e-31,1.25367994090955e-31,1.55006134723758e-31,1.90556852971537e-31,2.32924895623937e-31,2.83090404487242e-31,3.42101213252044e-31,4.11061410747595e-31,4.9111580952798e-31,5.83430060661607e-31,6.89166290763463e-31,8.09454304816045e-31,9.45358595112145e-31,1.09784161730821e-30,1.26772403126615e-30,1.45564284692756e-30,1.66200865171264e-30,1.88696331211384e-30,2.13033972361817e-30,2.39162531514168e-30,2.66993108299237e-30,2.96396792311766e-30,3.27203194010585e-30,3.59200023205389e-30,3.92133838159905e-30,4.25712052995203e-30,4.59606248289176e-30,4.93456781090279e-30,5.26878638024076e-30,5.59468421186541e-30,5.90812303769628e-30,6.20494743647821e-30,6.48107701210244e-30,6.73260075062592e-30,6.9558704795903e-30,7.14759027019129e-30,7.30489867832793e-30,7.42544091603149e-30,7.50742837391253e-30,7.54968336416937e-30,7.55166750161492e-30,7.51349276066821e-30,7.43591490879702e-30,7.32030968870952e-30,7.16863276964409e-30,6.98336508109232e-30,6.76744565248734e-30,6.52419448722574e-30,6.25722828264319e-30,5.9703719601116e-30,5.66756898950542e-30,5.35279338527447e-30,5.02996602910183e-30,4.70287765388198e-30,4.37512042687279e-30,4.05002962028735e-30,3.73063638024422e-30,3.41963212433835e-30,3.11934463672746e-30,2.83172550716129e-30,2.55834819260191e-30,2.30041567843064e-30,2.05877648759737e-30,1.83394763287713e-30,1.62614302799819e-30,1.43530586261718e-30,1.26114349595266e-30,1.10316352435092e-30,9.60709817950598e-31,8.3299748931776e-31,7.19145941094224e-31,6.18209329840984e-31,5.29203970156917e-31,4.51132379187599e-31,3.83003820930477e-31,3.23851348182005e-31,2.72745455144335e-31,2.28804544726055e-31,1.91202481851291e-31,1.59173549098539e-31,1.32015145965876e-31,1.0908858075613e-31,8.98182975188714e-32,7.36898627622168e-32,6.02470107343747e-32,4.90880147129584e-32,3.98616173430934e-32,3.2262717668978e-32,2.60279777458104e-32,2.09314788468928e-32,1.67805271767558e-32,1.34116822234331e-32,1.06870577136487e-32,8.49092563131176e-33,6.72663780675778e-33,5.31386694060294e-33,4.18615926798388e-33,3.2887840257268e-33,2.57686006867499e-33,2.01373700936147e-33,1.56960676656131e-33,1.22032107482793e-33,9.46391039811695e-34,7.32145975600627e-34,5.6503032469375e-34,4.35019272064353e-34,3.34135591491824e-34,2.5605220590539e-34,1.9576683184294e-34,1.49336861651591e-34,1.1366428422092e-34,8.63219385289672e-35,6.54137275709523e-35,4.94625946994291e-35,3.73210869000423e-35,2.81002105052224e-35,2.11130368353726e-35,1.58301517267046e-35,1.18445774513117e-35,8.84424129819081e-36,6.5904343724323e-36,4.90100823817871e-36,3.6373059716527e-36,2.69402690918096e-36,1.99138862330563e-36,1.46908210554367e-36,1.08162245333718e-36,7.94782338900999e-37,5.82863183858067e-37,4.26612600636636e-37,3.11639031027109e-37,2.27207860161478e-37,1.6532943998467e-37,1.20069902075414e-37,8.70315698868039e-38,6.29621531411835e-38,4.54614871471146e-38,3.27619753075615e-38,2.3564585505438e-38,1.69166200637532e-38,1.212082287784e-38,8.66793961496795e-39,6.18678972691956e-39,4.40738403982607e-39,3.133738611801e-39,2.22387915025773e-39,1.57516583335104e-39,1.1135459988202e-39,7.85700210774695e-40,5.53314971616544e-40,3.88915098800487e-40,2.72837450331624e-40,1.91038063307959e-40,1.3350653294628e-40,9.31218836971152e-41,6.48287351640571e-41,4.50453378846438e-41,3.12391067039736e-41,2.16228923971617e-41,1.49381003623766e-41,1.03001456458088e-41,7.08855624121389e-42,4.86898786844698e-42,3.33799859790205e-42,2.28402190915656e-42,1.55984402299977e-42,1.06323444688418e-42,7.2334262927333e-43,4.91163937119863e-43,3.32871445181268e-43,2.25161728469071e-43,1.52013063373886e-43,1.0243206614581e-43,6.88906144520858e-44,4.62438246374529e-44,3.09825738254255e-44,2.07181913813801e-44,1.38279362398376e-44,9.21159212742467e-45,6.12469549173094e-45,4.06450331359702e-45,2.692181873981e-45,1.77981983365435e-45,1.17441953155636e-45,7.73476203699336e-46,5.08449770999635e-46,3.33601158206291e-46,2.1846731673416e-46,1.42799246995254e-46,9.3163761711938e-47,6.06667822238744e-47,3.94311092590855e-47,2.55806995104611e-47,1.65642805910794e-47,1.07058435397522e-47,6.90651285765548e-48,4.44721272252969e-48,2.85831254893746e-48,1.83368997832061e-48,1.17418952515901e-48,7.5049596757528e-49,4.78804515086372e-49,3.04908640843371e-49,1.93813856969993e-49,1.22971808264863e-49,7.78814543799923e-50,4.9234835743321e-50,3.10687042333381e-50,1.95698875269485e-50,1.23046841352131e-50,7.72275125082631e-51,4.8383315178331e-51,3.02582521818444e-51,1.88894543225481e-51,1.17713193739147e-51,7.32257633954589e-52,4.54714355491558e-52,2.81872334797516e-52,1.74424862481461e-52,1.07748113044709e-52,6.64445835159518e-53,4.09035948722034e-53,2.51373096138976e-53,1.54217992786409e-53,9.44525799970731e-54,5.77509054161219e-54,3.52511834961468e-54,2.14813885307299e-54,1.30685866189561e-54,7.93736696427836e-55,4.81293364714126e-55,2.91362016450548e-55,1.76096110027207e-55,1.06258709020997e-55,6.40149595132729e-56,3.8503911247559e-56,2.3122721843434e-56,1.38639866166812e-56,8.29959181026081e-57,4.96077056789096e-57,2.96053190034908e-57,1.76409893763208e-57,1.04957412139833e-57,6.23511766843669e-58,3.69846847356287e-58,2.19053023519833e-58,1.29548070018252e-58,7.65017312139369e-59,4.51101636069353e-59,2.65610050247943e-59,1.56165694233916e-59,9.1685737970322e-60,5.37522744513276e-60,3.14683964669891e-60,1.83966511764884e-60,1.07397184095413e-60,6.2609526015304e-61,3.64489181627148e-61,2.11898915947677e-61,1.23019994062014e-61,7.13228013449019e-62,4.12942412892416e-62,2.38759965949386e-62,1.37862699137658e-62,7.94963972495078e-63,4.57789133898401e-63,2.63270771691704e-63,1.5120303970068e-63,8.67242366827435e-64,4.96756683736946e-64,2.84165404113378e-64,1.62339319739242e-64,9.26193778780548e-65,5.27722979061481e-65,3.00286877782476e-65,1.70644741831215e-65,9.68446182372275e-66,5.48887994498683e-66,3.106827133075e-66,1.75620354871734e-66,9.91416485258038e-67,5.58933202900322e-67,3.14691477619333e-67,1.76941629142064e-67,9.93558771917214e-68,5.57152403679676e-68,3.1201081511328e-68,1.74493260427485e-68,9.74538750382815e-69,5.4353685367065e-69,3.02737491124843e-69,1.6838700449422e-69,9.35306269091956e-70,5.18799716844187e-70,2.87371620852645e-70,1.58958551531448e-70,8.78046193985317e-71,4.84330515305161e-71,2.66780961542166e-71,1.46741815852921e-71,8.06002736217975e-72,4.42079355279036e-72,2.42126637004748e-72,1.32422280807263e-72,7.23191436047085e-73,3.94381727559042e-73,2.14757928229148e-73,1.16774543769642e-73,6.34032301859177e-74,3.43745118091154e-74,1.86089300540364e-74,1.00592078798137e-74,5.4295211712913e-75,2.92625756099272e-75,1.57476150725914e-75,8.4618683100009e-76,4.54009587386938e-76,2.43225548199181e-76,1.30105882691362e-76,6.94906666925983e-77,3.70592058367585e-77,1.97335019449075e-77,1.04917766648684e-77,5.56966639878849e-78,2.95218186588487e-78,1.56238972381492e-78,8.25594130628146e-79,4.35585532812077e-79,2.29460875970119e-79,1.20689912252693e-79,6.33810230485823e-80,3.32332138200702e-80,1.73983949239373e-80,9.09428883118391e-81,4.7462436897748e-81,2.4731594286807e-81,1.28669048174315e-81,6.6836715908066e-82,3.46636539669216e-82,1.79494451423674e-82,9.27992415723455e-83,4.79020208637002e-83,2.46875838530383e-83,1.27033438004699e-83,6.52636902834089e-84,3.34763996896982e-84,1.71442647751028e-84,8.76620210635028e-85,4.47523765357001e-85,2.28103673977871e-85,1.16080582639965e-85,5.89790254538936e-86,2.99189214899696e-86,1.51531960488904e-86,7.66252974930432e-87,3.86856061676048e-87,1.95000460074004e-87,9.8136502717994e-88,4.93098816520641e-88,2.47369147646379e-88,1.23898217030362e-88,6.19572750956589e-89,3.09333588925942e-89,1.54194603277333e-89,7.67394011037815e-90,3.81306845764002e-90,1.8916361407541e-90,9.36930238079962e-91,4.63322529152745e-91,2.28752558021774e-91,1.12759918734628e-91,5.5494467381075e-92,2.72678346109407e-92,1.33769635708109e-92,6.55194545150304e-93,3.20397227621982e-93,1.56427423481652e-93,7.62504875100231e-94,3.71088825294784e-94,1.80309488594459e-94,8.74711182561214e-95,4.23658682047732e-95,2.04867385518247e-95,9.89087634283666e-96,4.76762300652464e-96,2.29442669229855e-96,1.10243139294736e-96,5.28851848307389e-97,2.53292025559396e-97,1.21119484033125e-97,5.78244462901792e-98,2.75622014405335e-98,1.31165991484677e-98,6.23208677615575e-99,2.95631439238208e-99,1.40014368009109e-99,6.6206317770012E-100,3.12558339031328E-100,1.47321983570015E-100,6.93280239992621E-101,3.25727833386969E-101,1.52793785664022E-101,7.15585073786001E-102,3.3459666363804E-102,1.56202032645595E-102,7.28042092413493E-103,3.38790343175984E-103,1.57402010260631E-103,7.3011998834475E-104,3.3812937935593E-104,1.56342220747359E-104,7.21729306744414E-105,3.32642009236044E-105,1.5306804513925E-105,7.03228816124363E-106,3.22562190511315E-106,1.4771851609067E-106,6.75400044908148E-107,3.08313047244831E-107,1.40516521180344E-107,6.39392502887405E-108,2.90477402852094E-108,1.31753398683421E-108,5.9664493782588E-109,2.69758259644844E-109,1.21769408963199E-109,5.48790140087925E-110,2.46932956108597E-110,1.10931903111576E-110,4.97552054021491E-111,2.22805154581575E-111,9.96131318206838E-112,4.44644171790092E-112,1.98158753802489E-112,8.81695386868332E-113,3.91677407967277E-113,1.73717320724054E-113,7.69240903775186E-114,3.40084048809785E-114,1.50111789080194E-114,6.61527625392401E-115,2.91062204312856E-115,1.27858112209395E-115,5.60757907217487E-116,2.45542780214424E-116,1.07345433881719E-116,4.68537791840203E-117,2.0417864668128E-117,8.88342947912887E-118,3.85882995061509E-118,1.67353679620476E-118,7.24635379139802E-119,3.13262525871602E-119,1.35207878942721E-119,5.82639866504208E-120,2.50670390695079E-120,1.07673919235423E-120,4.61766738919248E-121,1.97714907728664E-121,8.45202607261975E-122,3.60733837994144E-122,1.53715470762433E-122,6.53962610962405E-123,2.77774836931914E-123,1.17797893979728E-123,4.98754461288886E-124,2.10834026634997E-124,8.89814043231548E-125,3.74940583062064E-125,1.57735805423354E-125,6.62525757689397E-126,2.77830480251138E-126,1.16321944708137E-126,4.86237065019245E-127,2.02926661607359E-127,8.45541255780226E-128,3.51750834858545E-128,1.46096601515642E-128,6.05828545456301E-129,2.5082105718282E-129,1.03677113604138E-129,4.27864686733623E-130,1.76292823141295E-130,7.25216144302141E-131,2.9785502877656E-131,1.22136944904814E-131,5.00027408635389E-132,2.04383207697614E-132,8.34067605092234E-133,3.39830174718727E-133,1.38237944092851E-133,5.61432095078292E-134,2.27652198236747E-134,9.21618327846068E-135,3.72507481569692E-135,1.50322343920623E-135,6.05643025812174E-136,2.4362090068768E-136,9.78401276824805E-137,3.92305249416779E-137,1.57049251341681E-137,6.27700195335635E-138,2.50480141244342E-138,9.9792746982512E-139,3.96944051372444E-139,1.57639213979742E-139,6.25034321666014E-140,2.47427583306062E-140,9.77905757506328E-141,3.8587845875887E-141,1.52022793876155E-141,5.97959164758853E-142,2.34822109832533E-142,9.2068504186297E-143,3.60402530165659E-143,1.40854010638416E-143,5.49610784732479E-144,2.14114420115764E-144,8.32800985274561E-145,3.23400871532109E-145,1.2538505764193E-145,4.85349989179907E-146,1.87572387774235E-146,7.23748092305027E-147,2.78811446367287E-147,1.072354575379E-147,4.1178532102542E-148,1.57873034115071E-148,6.0429596223342E-149,2.30938356897159E-149,8.81144415291739E-150,3.35662447419817E-150,1.27662417128912E-150,4.84761378192062E-151,1.83779727138504E-151,6.95619640489037E-152,2.62875862828401E-152,9.91823123056926E-153,3.7361335278791E-153,1.40512574780559E-153,5.27609536655481E-154,1.97794733666862E-154,7.4032336109662E-155,2.76651370421112E-155,1.0321643152212E-155,3.84476231722736E-156,1.42986421074898E-156,5.30914684227133E-157,1.9681551054663E-157,7.2844798651949E-158,2.69179768731825E-158,9.93095299848833E-159,3.65800318765753E-159,1.34524651328535E-159,4.93928758120001E-160,1.81063700941669E-160,6.62678858742123E-161,2.42147216140134E-161,8.83406291152921E-162,3.21770434775847E-162,1.17013623804253E-162,4.24845833582712E-163,1.54003623793539E-163,5.5735918069888E-164,2.0139283729635E-164,7.26536645031521E-165,2.61683096484668E-165,9.41019143437002E-166,3.37851529375324E-166,1.2110385343126E-166,4.33405758858857E-167,1.54858852008203E-167,5.52436080811745E-168,1.96758126224215E-168,</v>
      </c>
      <c r="N46" t="s">
        <v>226</v>
      </c>
    </row>
    <row r="47" spans="2:14">
      <c r="G47" s="4" t="s">
        <v>248</v>
      </c>
      <c r="H47" t="str">
        <f>WriteArray(SumLognormDists(H43:I46))</f>
        <v>0,0,0,0,0,0,0,0,0,0,0,0,0,0,0,0,0,0,0,0,0,0,0,0,0,0,0,0,0,0,0,0,0,0,0,0,0,0,0,0,0,0,0,0,0,0,0,0,0,0,0,0,0,0,0,0,0,0,0,0,0,0,0,0,0,0,0,0,0,0,0,0,0,0,0,0,0,0,0,0,0,0,0,0,0,0,0,0,0,4.29180210783268E-311,1.22067887319638E-309,3.42368348357937E-308,9.51172928097892E-307,2.61958206914552E-305,7.15191161055692E-304,1.935664039207E-302,5.19344535934662E-301,1.38133469637929E-299,3.64216881007441E-298,9.52004597477357E-297,2.46681098012134E-295,6.33651665310362E-294,1.61355285910797E-292,4.07318139437244E-291,1.01930058055658E-289,2.52865038266571E-288,6.21861007793993E-287,1.51605835861746E-285,3.66400953268656E-284,8.7784003418879E-283,2.08493400955069E-281,4.9089365251245E-280,1.14577864058118E-278,2.65113754619911E-277,6.08109884067224E-276,1.38277066900501E-274,3.11699840961137E-273,6.96532458182122E-272,1.5429950251112E-270,3.38848924990494E-269,7.37676842486418E-268,1.59200589541324E-266,3.40597698616491E-265,7.22365997457987E-264,1.51876808410176E-262,3.16551403442179E-261,6.54057111025971E-260,1.33969451979849E-258,2.72028623664583E-257,5.47573189284182E-256,1.09266876733217E-254,2.16149233481187E-253,4.23874920368283E-252,8.2402545665918E-251,1.58804372833883E-249,3.03391383002171E-248,5.74596555547099E-247,1.07880219770025E-245,2.00788895382724E-244,3.70473082234022E-243,6.77630216069359E-242,1.2287061768068E-240,2.20862777980962E-239,3.93564816800373E-238,6.95231257581387E-237,1.21747944007779E-235,2.11355397861836E-234,3.63734463647744E-233,6.20547456119826E-232,1.04950624032247E-230,1.75960249217651E-229,2.92458109843842E-228,4.81872748750275E-227,7.87083306665153E-226,1.27446735187148E-224,2.04576830869623E-223,3.25539684858424E-222,5.13536400228647E-221,8.03079185159578E-220,1.24498865083953E-218,1.91334084802921E-217,2.91500473946677E-216,4.40256930267401E-215,6.59163566001386E-214,9.78363606773698E-213,1.43955257220221E-211,2.09978563556287E-210,3.03628564285787E-209,4.35241774098898E-208,6.1849877474118E-207,8.71299545021576E-206,1.21679256993093E-204,1.68455841695117E-203,2.31193763638001E-202,3.14547844606265E-201,4.24246159685004E-200,5.67243831334243E-199,7.51869293032758E-198,9.87951598887787E-197,1.28691478913849E-195,1.66182301101873E-194,2.12735833053218E-193,2.69971228358812E-192,3.39637255141613E-191,4.23578803613562E-190,5.23689933266595E-189,6.41852731638877E-188,7.79862031836275E-187,9.3933699791138E-186,1.12162169771234E-184,1.32767798071419E-183,1.55797518044993E-182,1.81238226614411E-181,2.09006896329185E-180,2.38942293345676E-179,2.70799024409283E-178,3.04244598613585E-177,3.38860096081403E-176,3.74144885224456E-175,4.0952562749084E-174,4.4436956347757E-173,4.78001802006515E-172,5.09726053433534E-171,5.38847981987332E-170,5.64700122032899E-169,5.86667131193257E-168,6.04210057066941E-167,6.16888286140943E-166,6.24377928654118E-165,6.26485568915118E-164,6.23156566209141E-163,6.14477408964295E-162,6.00671980585117E-161,5.82091962015435E-160,5.59201945357476E-159,5.32560138077792E-158,5.02795775922642E-157,4.70584518241795E-156,4.36623163084101E-155,4.01604990350739E-154,3.66196926438145E-153,3.3101953689211E-152,2.96630613447604E-151,2.63512850310605E-150,2.32065824348508E-149,2.02602226415654E-148,1.75348054685947E-147,1.50446289515474E-146,1.27963431752355E-145,1.07898205925332E-144,9.01917047500006E-144,7.47382760545834E-143,6.13965185863883E-142,4.99998483669425E-141,4.03662108082621E-140,3.23066346134786E-139,2.56324418082769E-138,2.01610362557169E-137,1.57202851103389E-136,1.21515805791462E-135,9.31172191564501E-135,7.0737904131282E-134,5.32720528732801E-133,3.97714865500924E-132,2.94353669531329E-131,2.15969497354823E-130,1.57087203620862E-129,1.1326995392409E-128,8.09681581393287E-128,5.7377221757848E-127,4.03079387338088E-126,2.80716269058165E-125,1.93807507969316E-124,1.32647703393174E-123,9.0002609387311E-123,6.05392169947605E-122,4.03687161651801E-121,2.66857629365968E-120,1.74880330731161E-119,1.13613274020622E-118,7.31718546725088E-118,4.67181936951711E-117,2.95702590410366E-116,1.85545932115935E-115,1.15418409487895E-114,7.11747895159524E-114,4.35115822613497E-113,2.63700687192375E-112,1.58432936018036E-111,9.43642794243714E-111,5.57183003936247E-110,3.26149183792869E-109,1.89261842803909E-108,1.08877539310403E-107,6.20929261994561E-107,3.51054616891438E-106,1.9675968557345E-105,1.09326780221017E-104,6.02207476935448E-104,3.28847858756766E-103,1.78021856981145E-102,9.55391152298013E-102,5.08298502969501E-101,2.68093524150928E-100,1.40179286812557e-99,7.26627034735994e-99,3.73395945495067e-98,1.90220860440915e-97,9.60676892472112e-97,4.80980388732592e-96,2.38730759837428e-95,1.17468262767345e-94,5.73012420942279e-94,2.77101593235804e-93,1.32845143153258e-92,6.31370357895575e-92,2.97477912097583e-91,1.38949654902049e-90,6.43417127225622e-90,2.9536589492034e-89,1.34419059634441e-88,6.06449061513345e-88,2.71244518358101e-87,1.20271015567158e-86,5.28682037389176e-86,2.30389088471407e-85,9.95321170737987e-85,4.26283745475154e-84,1.80995891130917e-83,7.61856696759545e-83,3.1791624187936e-82,1.31518613448736e-81,5.39382728636016e-81,2.19301898964637e-80,8.83941507614541e-80,3.53216256285772e-79,1.39924609482858e-78,5.49520676054787e-78,2.13949235363835e-77,8.25799211465349e-77,3.15991553986676e-76,1.19870974842067e-75,4.50806762169065e-75,1.68075690403538e-74,6.21237642517133e-74,2.27640370523463e-73,8.26950960695716e-73,2.97816993026957e-72,1.06330716066587e-71,3.76363807842342e-71,1.32067856979375e-70,4.59437971144638e-70,1.58451895843246e-69,5.41762725716235e-69,1.8363787731576e-68,6.17102360202284e-68,2.05586360174909e-67,6.79006430092702e-67,2.22329112697078e-66,7.21708809676521e-66,2.32258317367311e-65,7.41010771269057e-65,2.34380852863302e-64,7.34961344768343e-64,2.2848201829153e-63,7.04182334071068e-63,2.15161326846251e-62,6.51763022491048e-62,1.95732106957874e-61,5.82749243993929e-61,1.72008184870163e-60,5.03343790564494e-60,1.46025599270329e-59,4.1999337449989e-59,1.19758275226463e-58,3.38546850609515e-58,9.48817502127167e-58,2.63631792414899e-57,7.26213966633381e-57,1.98327837283144e-56,5.36976865997719e-56,1.44138787733153e-55,3.83583683135143e-55,1.01203131010465e-54,2.64717677523545e-54,6.86479749445889e-54,1.76493592303029e-53,4.49870203504836e-53,1.13685022841488e-52,2.84824729442792e-52,7.07475237627101e-52,1.74222649523704e-51,4.25361845234965e-51,1.02961234033007e-50,2.47087627224462e-50,5.8788325489996e-50,1.38673925896527e-49,3.24311970017709e-49,7.51962927757538e-49,1.7286060310054e-48,3.93969533786696e-48,8.90219646765379e-48,1.99434622650849e-47,4.42969401640183e-47,9.75478411159869e-47,2.1297731782518e-46,4.61022182470745e-46,9.89427817922648e-46,2.10533548427732e-45,4.441549501753e-45,9.29019516889414e-45,1.92660847139344e-44,3.96133511317686e-44,8.07551851814893e-44,1.63222951240942e-43,3.27096052788839e-43,6.49911135948122e-43,1.28032026008102e-42,2.50075200909298e-42,4.8429663146853e-42,9.29913535650203e-42,1.77037601610065e-41,3.34181085296845e-41,6.25450912510177e-41,1.16065000897441e-40,2.13554007547927e-40,3.89595862889492e-40,7.04730276500374e-40,1.26396596620965e-39,2.24777904455346e-39,3.96350703913703e-39,6.929716684335e-39,1.20133262058362e-38,2.06502440252308e-38,3.51968246848571e-38,5.94840436192688e-38,9.96824218904081e-38,1.65638104964132e-37,2.7291540817003e-37,4.45886813013531e-37,7.22358352630508e-37,1.16041968004007e-36,1.84847976860829e-36,2.91980978065969e-36,4.57338509993929e-36,7.10342114994288e-36,1.09407543545637e-35,1.67101493744165e-35,2.53087286915641e-35,3.80120209153147e-35,5.66155916634498e-35,8.36218112943486e-35,1.22482948252008e-34,1.77913333035477e-34,2.56284642073767e-34,3.66119172067886e-34,5.18696023512257e-34,7.28784042005738e-34,1.01551278984416e-33,1.40338833040256e-33,1.92345381032441e-33,2.61458538671897e-33,3.52490175455993e-33,4.71325035534791e-33,6.25071552086753e-33,8.22207387941939e-33,1.07271012605148e-32,1.3881614424626e-32,1.78181119742942e-32,2.2685863890934e-32,2.86502906674797e-32,3.58914734504918e-32,4.46016483314211e-32,5.49815629240456e-32,6.72356129568569e-32,8.15657311624538e-32,9.81640694123876e-32,1.1720459557018e-31,1.38833815168948e-31,1.63160919571784e-31,1.90247750316949e-31,2.20099046600277e-31,2.52653501686119e-31,2.87776187165695e-31,3.25252905136408e-31,3.64786993056006e-31,4.05999032137747e-31,4.48429798500528e-31,4.9154665083672e-31,5.34753376218971e-31,5.77403326761534e-31,6.18815486295678e-31,6.58292921422078e-31,6.95142908889251e-31,7.28697903882559e-31,7.58336432056354e-31,7.83502959463498e-31,8.03725822542664e-31,8.18632384366734e-31,8.27960718504863e-31,8.31567299266224e-31,8.29430384755435e-31,8.21649002898384e-31,8.08437675252569e-31,7.90117224161426e-31,7.67102192311922e-31,7.39885549197112e-31,7.09021458833884e-31,6.75106933505018e-31,6.38763199225317e-31,6.00617553534957e-31,5.61286411539162e-31,5.21360120508606e-31,4.81389986849134e-31,4.41877812312663e-31,4.03268089027182e-31,3.65942864232296e-31,3.3021916282193e-31,2.96348754231297e-31,2.64519973054392e-31,2.34861251176823e-31,2.07445992452384e-31,1.8229841682896e-31,1.59400016020188e-31,1.38696293315871e-31,1.20103501632016e-31,1.03515142191742e-31,8.88080374201502e-32,7.58478423978386e-32,6.44939068870659e-32,5.46034425751811e-32,4.60349865236514e-32,3.86511812533008e-32,3.23209143591212e-32,2.69208763757296e-32,2.23366054561748e-32,1.84630921238391e-32,1.52050178451027e-32,1.24766983976662e-32,1.02017978756904e-32,8.31287248651238e-33,6.75079574597995e-33,5.46410883369539e-33,4.40833216121068e-33,3.54526695166177e-33,2.84230903916668e-33,2.27179129231055e-33,1.81036609857839e-33,1.43843521156893e-33,1.13963091704819e-33,9.00349848388489e-34,7.09338792840648e-34,5.57330387284611e-34,4.3672561563348e-34,3.41319404618203e-34,2.66065292506761e-34,2.06875047841215e-34,1.60449183752e-34,1.24134498812361e-34,9.58050378817187e-35,7.37631744185776e-35,5.66578450696987e-35,4.34172999199208e-35,3.31940547295398e-35,2.53200360821674e-35,1.92701912003072e-35,1.46330883751804e-35,1.10872605041567e-35,8.38224348904983e-36,6.32343450141182e-36,4.76004423437218e-36,3.57554443237449e-36,2.68011955736376e-36,2.00472175178065e-36,1.49640354280997e-36,1.11466509485673e-36,8.28604168319873e-37,6.1469899094207e-37,4.55088498130543e-37,3.36242158723395e-37,2.4793399689382e-37,1.82453405757719e-37,1.33999730406261e-37,9.82190522974894e-38,7.18506935624293e-38,5.24581410270094e-38,3.82247445264046e-38,2.77989812129541e-38,2.01775473741182e-38,1.46172436899723e-38,1.05687209336983e-38,7.62678034376409e-39,5.4931792891826e-39,3.94886002468415e-39,2.83326169437712e-39,2.02894391802724e-39,1.45018393514792e-39,1.03453933352587e-39,7.36618917274332e-40,5.23493929696107e-40,3.71325050834969e-40,2.62888438613118e-40,1.85765098215541e-40,1.31018570363432e-40,9.22313040085943e-41,6.48039115053829e-41,4.544666947267e-41,3.18113019017372e-41,2.22249053691283e-41,1.54980850952827e-41,1.07868925273323e-41,7.49368447897136e-42,5.1960791291504e-42,3.5961515543607e-42,2.48417786675077e-42,1.71281508989402e-42,1.17875082417278e-42,8.09688464589288e-43,5.55135524441169e-43,3.79897084966961e-43,2.59489365817713e-43,1.76913372318484e-43,1.20389919973168e-43,8.17728022105674e-44,5.5439320104944e-44,3.75161437352421e-44,2.53402467195004e-44,1.70842911466392e-44,1.14968203506248e-44,7.72243776447949e-45,5.17759731843915e-45,3.46497938355099e-45,2.31458416238105e-45,1.54328702226287e-45,1.02712514976972e-45,6.82345832035099e-46,4.5247219252315e-46,2.99493312517448e-46,1.97875500183986e-46,1.3049937261195e-46,8.59089140027428e-47,5.64525302490303e-47,3.70293432464249e-47,2.42453313399584e-47,1.58464477808213e-47,1.0338550328586e-47,6.7330772033397e-48,4.37719745953128e-48,2.84059760930921e-48,1.84016529602848e-48,1.1899811114919e-48,7.68178332260947e-49,4.95023137203305e-49,3.18444077787564e-49,2.04497464181218e-49,1.31096969722117e-49,8.38977516890169e-50,5.35998983203297e-50,3.41850858219255e-50,2.1765647960862e-50,1.38347703352706e-50,8.77891817538526e-51,5.56137349239083e-51,3.5172117095608e-51,2.2207198060503e-51,1.39981710774506e-51,8.80916234784384e-52,5.53461310589625e-52,3.47162528770169e-52,2.1740771939346e-52,1.35930609736054e-52,8.48522625335254e-53,5.28831279310778e-53,3.29065302013503e-53,2.04438179966307e-53,1.26812070598172e-53,7.8538312514568e-54,4.85655849912302e-54,2.99850969688115e-54,1.84848415650619e-54,1.13779255729828e-54,6.99280038375431e-55,4.29124612814158e-55,2.62944133637567e-55,1.60877303256752e-55,9.82835195911197e-56,5.99548867077612e-56,3.65199095718161e-56,2.22125897649899e-56,1.34907526574705e-56,8.18170160352733e-57,4.95478088597774e-57,2.996273219669e-57,1.80932748350118e-57,1.09102399728592e-57,6.56954366446794e-58,3.95022809494421e-58,2.37190543608563e-58,1.4222070041421e-58,8.51570048212031e-59,5.09180537384685e-59,3.04031545307484e-59,1.81285206077423e-59,1.07945421619395e-59,6.41867459690154e-60,3.81141932671007e-60,2.26010783812687e-60,1.33836111550588e-60,7.9144308226617e-61,4.67378414229577e-61,2.7562614328397e-61,1.62321116443087e-61,9.5462412684046e-62,5.60650663620997e-62,3.28817151975196e-62,1.9258314838642e-62,1.12637545211715e-62,6.57882606304646e-63,3.8371882290917e-63,2.23499369559742e-63,1.29998075291781e-63,7.55081421407112e-64,4.379712642938e-64,2.53682821311096e-64,1.46733294780707e-64,8.47533614124986e-65,4.88848471490182e-65,2.81565222536077e-65,1.6194572224022e-65,9.30130565184088e-66,5.33458357147129e-66,3.05518469797428e-66,1.7472413295381e-66,9.97803231563898e-67,5.689991244942e-67,3.2400450377839e-67,1.84230410834119e-67,1.04602118817489e-67,5.93043559176558e-68,3.35735854672013e-68,1.89789398327581e-68,1.07129075654065e-68,6.03812438128334e-69,3.39824092095034e-69,1.90968543484956e-69,1.07157664342554e-69,6.00394320779986e-70,3.35892321931413e-70,1.87634202445055e-70,1.04657573335946e-70,5.82873587354441e-71,3.24131711908272e-71,1.79974307924891e-71,9.97791485984898e-72,5.52341733686708e-72,3.05290464151933e-72,1.68482387901566e-72,9.28389638829918e-73,5.10786282171773e-73,2.8059506667899e-73,1.5390454537267e-73,8.42853814515286e-74,4.6087302537049e-74,2.5161551416217e-74,1.37157494731723e-74,7.46494524059752e-75,4.05655766353845e-75,2.20095750131377e-75,1.19230593024305e-75,6.44888900641277e-76,3.48259037086527e-76,1.87775687841687e-76,1.01086932216105e-76,5.43336160562822e-77,2.91581134777508e-77,1.56230840064375e-77,8.35776188323538e-78,4.46404408548382e-78,2.38057362056217e-78,1.26750258299296e-78,6.7379788665673e-79,3.57621383108608e-79,1.89509012119443e-79,1.00264767085445e-79,5.29637203539812e-80,2.79331462083172e-80,1.47086246831542e-80,7.73276379927185e-81,4.0588923687945e-81,2.12711074878526e-81,1.11296659280597e-81,5.81411094107426e-82,3.03244809803215e-82,1.57910877571084e-82,8.20992281345875e-83,4.26161506852536e-83,2.20860097092245e-83,1.14279407717763e-83,5.90372591536836e-84,3.04503079811226e-84,1.56806590870029e-84,8.06202037864054e-85,4.13837908151053e-85,2.1209151908045e-85,1.08523265243214e-85,5.54407109184399e-86,2.82774990988398e-86,1.43998961274978e-86,7.32122529320452e-87,3.71632883114767e-87,1.88343378461881e-87,9.5299879270486e-88,4.81437633805244e-88,2.42824966410937e-88,1.22279086128332e-88,6.14775442516604e-89,3.08593132108582e-89,1.54654073339713e-89,7.73823256697652e-90,3.86569380623005e-90,1.92805020055737e-90,9.60095408872161e-91,4.77326535245553e-91,2.36930982729529e-91,1.17417597940212e-91,5.80964443834571e-92,2.86992740853041e-92,1.41545882077135e-92,6.96993149875352e-93,3.42661017538965e-93,1.68192175632742e-93,8.24236331914018e-94,4.0327618735814e-94,1.96996379441891e-94,9.60768455530514e-95,4.67825658295687e-95,2.27433343483092e-95,1.10389818348339e-95,5.34944435031836e-96,2.58817174068514e-96,1.2502079604653e-96,6.02942880542907e-97,2.90318570859751e-97,1.3956553661148e-97,6.6986344950773e-98,3.2099560504247e-98,1.53573611614811e-98,7.33565352294062e-99,3.49836983500998e-99,1.66570204983126e-99,7.91833019715016E-100,3.75815405831483E-100,1.78082084314212E-100,8.42501256882183E-101,3.97947296113517E-101,1.8766584109146E-101,8.83587511759644E-102,4.153541694789E-102,1.94936086694367E-102,9.13420121187503E-103,4.2732033966661E-103,1.99591119468619E-103,9.30751018364227E-104,4.33341698917537E-104,2.01433684923144E-104,9.34842324676083E-105,4.33160940548698E-105,2.00384839329437E-105,9.25518456442028E-106,4.26785795428308E-106,1.96489559146657E-106,9.03178619767935E-107,4.14488481534477E-107,1.89913540950258E-107,8.68768454806101E-108,3.96786421290292E-108,1.80931509144169E-108,8.2371363595225E-109,3.74406129922705E-109,1.69908181084901E-109,7.69821924295152E-110,3.48233786265635E-110,1.57273726951521E-110,7.09163045147376E-111,3.19257168716229E-111,1.4349602250794E-111,6.43937492737629E-112,2.88504243079649E-112,1.29052178646523E-112,5.76345782921123E-113,2.56983678945198E-113,1.14401734100247E-113,5.0846880760445E-114,2.25631986661777E-114,9.99635478743455E-115,4.42167989256851E-115,1.95270922735333E-115,8.609788855848E-116,3.79011219652422E-116,1.66577474821953E-116,7.30945715502228E-117,3.20227494893199E-117,1.40067298887283E-117,6.11673311603204E-118,2.66690135868286E-118,1.16091123953014E-118,5.04540138004355E-119,2.1892586275705E-119,9.48425147020559E-120,4.1021703728826E-120,1.77145028786128E-120,7.63745891903811E-121,3.2875581827145E-121,1.41287145345828E-121,6.06228703971161E-122,2.59701814078246E-122,1.11075458163707E-122,4.74313936732903E-123,2.02217296765146E-123,8.6074668267635E-124,3.65794403889262E-124,1.55204174787532E-124,6.57467641835112E-125,2.78067357608296E-125,1.17416810461837E-125,4.95011388067511E-126,2.08355392009158E-126,8.75586264501702E-127,3.67365000982016E-127,1.5388676120498E-127,6.43590140767986E-128,2.68733710097239E-128,1.12031346517596E-128,4.66295909881935E-129,1.93770784978237E-129,8.03932588141685E-130,3.33008723789132E-130,1.37719751513392E-130,5.68645350375631E-131,2.34418237722604E-131,9.64819213399256E-132,3.96465254416766E-132,1.62655578954502E-132,6.66250330620116E-133,2.7246489431155E-133,1.11247000991013E-133,4.53493130563852E-134,1.84568573631927E-134,7.49979584467444E-135,3.04260636354386E-135,1.23238595280325E-135,4.98370528327156E-136,2.01216044229006E-136,8.11105794576859E-137,3.26435245371631E-137,1.31165985166903E-137,5.26199038011285E-138,2.1075773199268E-138,8.42794369157653E-139,3.36483967891344E-139,1.34125628587721E-139,5.33781854665938E-140,2.12090142886078E-140,8.41359892447882E-141,3.33232820056844E-141,1.31770554611124E-141,5.20227878143979E-142,2.0505648646722E-142,8.06971216139398E-143,3.17064207827573E-143,1.24377274577842E-143,4.87123964472039E-144,1.90477024156648E-144,7.43618766845779E-145,2.89842941244671E-145,1.12792379053453E-145,4.38229317310123E-146,1.69991709699504E-146,6.58352816382959E-147,2.54562422999106E-147,9.82730730078097E-148,3.78773354061758E-148,1.45756840249277E-148,5.5999366325376E-149,2.1480378154186E-149,8.22631575148147E-150,3.14538252615259E-150,1.20073233711938E-150,4.57639588332617E-151,1.74142834055774E-151,6.61595087991698E-152,2.50947907431874E-152,9.50341133989684E-153,3.59318947229108E-153,1.35639241360738E-153,5.11205158914701E-154,1.92357775523142E-154,7.22651497019519E-155,2.71052058321469E-155,1.01503532059533E-155,3.79502151551667E-156,1.41661544462264E-156,5.27951884812579E-157,1.96445171825759E-157,7.29781779820877E-158,2.7067572932422E-158,1.00232891117435E-158,3.70574764565342E-159,1.36787391500334E-159,5.04104920421331E-160,1.85481435150465E-160,6.81372499070186E-161,2.49904108873995E-161,9.15096374843454E-162,3.34552989782743E-162,1.2211461320775E-162,4.45015362216937E-163,1.61914972674138E-163,5.88171071931329E-164,2.1331674736147E-164,7.72415335284526E-165,</v>
      </c>
      <c r="I47" t="s">
        <v>226</v>
      </c>
      <c r="L47" s="4" t="s">
        <v>230</v>
      </c>
      <c r="M47" s="4">
        <f>STupidExcelMean(M46)</f>
        <v>7.1103301494520754E+35</v>
      </c>
      <c r="N47" s="4">
        <f>STupidExcelVariance(M46,M47)</f>
        <v>1.3128726772742115E+84</v>
      </c>
    </row>
    <row r="48" spans="2:14">
      <c r="G48" s="4" t="s">
        <v>230</v>
      </c>
      <c r="H48" s="4">
        <f>STupidExcelMean(H47)</f>
        <v>4.5729812525981853E+36</v>
      </c>
      <c r="I48" s="4">
        <f>STupidExcelVariance(H47,H48)</f>
        <v>1.3030599987672624E+86</v>
      </c>
      <c r="M48" s="3"/>
    </row>
    <row r="50" spans="9:9">
      <c r="I50" s="3"/>
    </row>
    <row r="53" spans="9:9">
      <c r="I53" s="43"/>
    </row>
    <row r="54" spans="9:9">
      <c r="I54" s="43"/>
    </row>
    <row r="55" spans="9:9">
      <c r="I55" s="43"/>
    </row>
    <row r="56" spans="9:9">
      <c r="I56" s="4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I2" sqref="I2:J2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7" t="s">
        <v>186</v>
      </c>
      <c r="H1" s="7" t="s">
        <v>174</v>
      </c>
    </row>
    <row r="2" spans="1:12">
      <c r="B2" t="s">
        <v>0</v>
      </c>
      <c r="C2" t="s">
        <v>1</v>
      </c>
      <c r="D2" t="s">
        <v>2</v>
      </c>
      <c r="E2" t="s">
        <v>34</v>
      </c>
      <c r="I2" s="8" t="s">
        <v>235</v>
      </c>
      <c r="J2" s="8" t="s">
        <v>236</v>
      </c>
      <c r="K2" t="s">
        <v>0</v>
      </c>
      <c r="L2" t="s">
        <v>1</v>
      </c>
    </row>
    <row r="3" spans="1:12">
      <c r="A3" s="29" t="s">
        <v>187</v>
      </c>
      <c r="B3" s="15">
        <v>0.2</v>
      </c>
      <c r="C3" s="15">
        <v>2</v>
      </c>
      <c r="D3">
        <f>GEOMEAN(B3,C3)</f>
        <v>0.63245553203367588</v>
      </c>
      <c r="E3">
        <f>LogVariance(B3,C3)</f>
        <v>0.39015207303618948</v>
      </c>
      <c r="H3" t="s">
        <v>191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29" t="s">
        <v>188</v>
      </c>
      <c r="B4" s="15">
        <v>0.1</v>
      </c>
      <c r="C4" s="15">
        <v>0.4</v>
      </c>
      <c r="D4">
        <f>GEOMEAN(B4,C4)</f>
        <v>0.2</v>
      </c>
      <c r="E4">
        <f>LogVariance(B4,C4)</f>
        <v>0.23489495370875477</v>
      </c>
      <c r="H4" t="s">
        <v>192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29" t="s">
        <v>189</v>
      </c>
      <c r="B5" s="15">
        <v>10</v>
      </c>
      <c r="C5" s="15">
        <v>10</v>
      </c>
      <c r="H5" t="s">
        <v>195</v>
      </c>
      <c r="I5">
        <f>THL!M8</f>
        <v>1.3990110401394262E+26</v>
      </c>
      <c r="J5">
        <f>THL!N8</f>
        <v>3.3648522472967786</v>
      </c>
    </row>
    <row r="6" spans="1:12">
      <c r="A6" s="29" t="s">
        <v>190</v>
      </c>
      <c r="B6" s="15">
        <v>30000</v>
      </c>
      <c r="C6" s="15">
        <v>60000</v>
      </c>
      <c r="H6" s="28" t="s">
        <v>196</v>
      </c>
      <c r="I6" s="26">
        <f>I5*(1+K3)</f>
        <v>1.399477377152806E+26</v>
      </c>
      <c r="J6" s="26">
        <f>J5*(1-K4)</f>
        <v>3.364291438588896</v>
      </c>
    </row>
    <row r="7" spans="1:12">
      <c r="A7" s="29" t="s">
        <v>213</v>
      </c>
      <c r="B7" s="15">
        <v>500</v>
      </c>
      <c r="C7" s="15">
        <v>5000</v>
      </c>
      <c r="D7">
        <f>GEOMEAN(B7,C7)</f>
        <v>1581.1388300841897</v>
      </c>
      <c r="E7">
        <f>LogVariance(B7,C7)</f>
        <v>0.39015207303618948</v>
      </c>
      <c r="H7" s="28" t="s">
        <v>197</v>
      </c>
      <c r="I7" s="26">
        <f>I5*(1+I3)</f>
        <v>1.4010965626641091E+26</v>
      </c>
      <c r="J7" s="26">
        <f>J5*(1-I4)</f>
        <v>3.363266040735609</v>
      </c>
    </row>
    <row r="8" spans="1:12">
      <c r="A8" s="4" t="s">
        <v>193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28" t="s">
        <v>198</v>
      </c>
      <c r="I8" s="26">
        <f>I5*(1+L3)</f>
        <v>1.4083377804070222E+26</v>
      </c>
      <c r="J8" s="26">
        <f>J5*(1-L4)</f>
        <v>3.3603657776337164</v>
      </c>
    </row>
    <row r="9" spans="1:12">
      <c r="A9" s="4" t="s">
        <v>166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4" t="s">
        <v>205</v>
      </c>
      <c r="I9">
        <f>I6*$D$7</f>
        <v>2.2127680228406781E+29</v>
      </c>
      <c r="J9" s="4">
        <f>J6+$E$7</f>
        <v>3.7544435116250856</v>
      </c>
    </row>
    <row r="10" spans="1:12">
      <c r="H10" s="4" t="s">
        <v>207</v>
      </c>
      <c r="I10">
        <f t="shared" ref="I10:I11" si="0">I7*$D$7</f>
        <v>2.215328179925709E+29</v>
      </c>
      <c r="J10" s="4">
        <f t="shared" ref="J10:J11" si="1">J7+$E$7</f>
        <v>3.7534181137717986</v>
      </c>
    </row>
    <row r="11" spans="1:12">
      <c r="H11" s="4" t="s">
        <v>206</v>
      </c>
      <c r="I11">
        <f t="shared" si="0"/>
        <v>2.2267775504761237E+29</v>
      </c>
      <c r="J11" s="4">
        <f t="shared" si="1"/>
        <v>3.750517850669906</v>
      </c>
    </row>
    <row r="12" spans="1:12">
      <c r="H12" s="33" t="s">
        <v>194</v>
      </c>
      <c r="I12" s="34" t="e">
        <f>LognormPosterior(mu,sigma,I5,J5)</f>
        <v>#VALUE!</v>
      </c>
    </row>
    <row r="13" spans="1:12">
      <c r="H13" s="33" t="s">
        <v>199</v>
      </c>
      <c r="I13" s="34" t="e">
        <f>LognormPosterior(mu,sigma,I9,J9)</f>
        <v>#VALUE!</v>
      </c>
    </row>
    <row r="14" spans="1:12">
      <c r="H14" s="33" t="s">
        <v>200</v>
      </c>
      <c r="I14" s="34" t="e">
        <f>LognormPosterior(mu,sigma,I10,J10)</f>
        <v>#VALUE!</v>
      </c>
    </row>
    <row r="15" spans="1:12">
      <c r="H15" s="33" t="s">
        <v>201</v>
      </c>
      <c r="I15" s="34" t="e">
        <f>LognormPosterior(mu,sigma,I11,J11)</f>
        <v>#VALUE!</v>
      </c>
    </row>
    <row r="16" spans="1:12">
      <c r="H16" s="30" t="s">
        <v>202</v>
      </c>
      <c r="I16" s="5" t="e">
        <f>I13-$I$12</f>
        <v>#VALUE!</v>
      </c>
    </row>
    <row r="17" spans="8:9">
      <c r="H17" s="30" t="s">
        <v>203</v>
      </c>
      <c r="I17" s="5" t="e">
        <f>I14-$I$12</f>
        <v>#VALUE!</v>
      </c>
    </row>
    <row r="18" spans="8:9">
      <c r="H18" s="30" t="s">
        <v>204</v>
      </c>
      <c r="I18" s="5" t="e">
        <f>I15-$I$12</f>
        <v>#VALUE!</v>
      </c>
    </row>
    <row r="19" spans="8:9">
      <c r="H19" s="4"/>
      <c r="I19" s="37"/>
    </row>
    <row r="20" spans="8:9">
      <c r="H20" s="4"/>
      <c r="I20" s="37"/>
    </row>
    <row r="21" spans="8:9">
      <c r="H21" s="4"/>
      <c r="I21" s="37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32"/>
  <sheetViews>
    <sheetView workbookViewId="0">
      <selection activeCell="A13" sqref="A13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5">
      <c r="A1" s="1" t="s">
        <v>135</v>
      </c>
      <c r="B1" t="s">
        <v>156</v>
      </c>
      <c r="G1" s="1" t="s">
        <v>132</v>
      </c>
      <c r="H1" t="s">
        <v>156</v>
      </c>
      <c r="M1" s="1"/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235</v>
      </c>
      <c r="K2" t="s">
        <v>236</v>
      </c>
    </row>
    <row r="3" spans="1:15">
      <c r="A3" s="29" t="s">
        <v>127</v>
      </c>
      <c r="B3" s="15">
        <v>70000</v>
      </c>
      <c r="C3" s="15">
        <v>150000</v>
      </c>
      <c r="G3" s="29" t="s">
        <v>121</v>
      </c>
      <c r="H3" s="15">
        <v>0.03</v>
      </c>
      <c r="I3" s="15">
        <v>0.3</v>
      </c>
      <c r="J3">
        <f>GEOMEAN(H3,I3)</f>
        <v>9.4868329805051374E-2</v>
      </c>
      <c r="K3">
        <f>LogVariance(H3,I3)</f>
        <v>0.39015207303618948</v>
      </c>
      <c r="L3" t="s">
        <v>154</v>
      </c>
    </row>
    <row r="4" spans="1:15">
      <c r="A4" t="s">
        <v>128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29" t="s">
        <v>125</v>
      </c>
      <c r="H4" s="15">
        <v>200</v>
      </c>
      <c r="I4" s="15">
        <v>10000</v>
      </c>
    </row>
    <row r="5" spans="1:15">
      <c r="G5" s="4" t="s">
        <v>164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</row>
    <row r="6" spans="1:15">
      <c r="G6" s="29" t="s">
        <v>122</v>
      </c>
      <c r="H6" s="15">
        <v>0.5</v>
      </c>
      <c r="I6" s="15">
        <v>3</v>
      </c>
      <c r="J6">
        <f>GEOMEAN(H6,I6)</f>
        <v>1.2247448713915889</v>
      </c>
      <c r="K6">
        <f>LogVariance(H6,I6)</f>
        <v>0.30359732347288149</v>
      </c>
    </row>
    <row r="7" spans="1:15">
      <c r="G7" s="29" t="s">
        <v>123</v>
      </c>
      <c r="H7" s="15">
        <v>0.1</v>
      </c>
      <c r="I7" s="15">
        <v>0.7</v>
      </c>
      <c r="J7">
        <f>GEOMEAN(H7,I7)</f>
        <v>0.26457513110645903</v>
      </c>
      <c r="K7">
        <f>LogVariance(H7,I7)</f>
        <v>0.32971675223038288</v>
      </c>
      <c r="M7" s="45"/>
      <c r="N7" s="4"/>
      <c r="O7" s="4"/>
    </row>
    <row r="8" spans="1:15">
      <c r="G8" s="4" t="s">
        <v>136</v>
      </c>
      <c r="J8">
        <f>J3*J5*J6*J7*D4*1000</f>
        <v>2.1213203435596419E-7</v>
      </c>
      <c r="K8">
        <f>K3+K5+K6+K7+E4</f>
        <v>1.8154605085273885</v>
      </c>
      <c r="M8" s="4"/>
      <c r="N8" s="4"/>
      <c r="O8" s="4"/>
    </row>
    <row r="9" spans="1:15" ht="20">
      <c r="A9" s="7" t="s">
        <v>67</v>
      </c>
      <c r="M9" s="4"/>
      <c r="N9" s="4" t="s">
        <v>212</v>
      </c>
      <c r="O9" s="4"/>
    </row>
    <row r="10" spans="1:15">
      <c r="A10" s="1" t="s">
        <v>146</v>
      </c>
      <c r="M10" s="4"/>
      <c r="O10" s="4"/>
    </row>
    <row r="11" spans="1:15">
      <c r="A11" s="30" t="s">
        <v>250</v>
      </c>
      <c r="B11" s="5">
        <f>ParetoPosterior(median,alpha,H26:I26)</f>
        <v>1.7616230324321696E+25</v>
      </c>
      <c r="G11" s="1" t="s">
        <v>133</v>
      </c>
      <c r="H11" s="8" t="s">
        <v>156</v>
      </c>
      <c r="M11" s="4"/>
      <c r="N11" s="4"/>
      <c r="O11" s="4"/>
    </row>
    <row r="12" spans="1:15">
      <c r="A12" s="30" t="s">
        <v>251</v>
      </c>
      <c r="B12" s="5">
        <f>LognormPosterior(mu_far_future,sigma_far_future,H26:I26)</f>
        <v>325.50189986219328</v>
      </c>
      <c r="H12" t="s">
        <v>0</v>
      </c>
      <c r="I12" t="s">
        <v>1</v>
      </c>
      <c r="J12" t="s">
        <v>235</v>
      </c>
      <c r="K12" t="s">
        <v>236</v>
      </c>
      <c r="M12" s="4"/>
      <c r="N12" s="46"/>
      <c r="O12" s="46"/>
    </row>
    <row r="13" spans="1:15">
      <c r="G13" s="29" t="s">
        <v>124</v>
      </c>
      <c r="H13" s="27">
        <v>1000000</v>
      </c>
      <c r="I13" s="27">
        <v>1000000000</v>
      </c>
      <c r="J13">
        <f>GEOMEAN(H13,I13)</f>
        <v>31622776.601683792</v>
      </c>
      <c r="K13">
        <f>LogVariance(H13,I13)</f>
        <v>1.1704562191085683</v>
      </c>
      <c r="M13" s="4"/>
      <c r="N13" s="4"/>
      <c r="O13" s="4"/>
    </row>
    <row r="14" spans="1:15">
      <c r="G14" s="29" t="s">
        <v>126</v>
      </c>
      <c r="H14" s="15">
        <v>2000</v>
      </c>
      <c r="I14" s="15">
        <v>2000</v>
      </c>
      <c r="J14">
        <f>GEOMEAN(H14,I14)</f>
        <v>2000</v>
      </c>
      <c r="K14">
        <f>LogVariance(H14,I14)</f>
        <v>0</v>
      </c>
      <c r="M14" s="4"/>
      <c r="N14" s="4"/>
      <c r="O14" s="4"/>
    </row>
    <row r="15" spans="1:15">
      <c r="A15" s="25"/>
      <c r="B15" s="4"/>
      <c r="G15" t="s">
        <v>137</v>
      </c>
      <c r="H15" s="3">
        <f>1/I13</f>
        <v>1.0000000000000001E-9</v>
      </c>
      <c r="I15" s="3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45"/>
      <c r="N15" s="4"/>
      <c r="O15" s="4"/>
    </row>
    <row r="16" spans="1:15">
      <c r="A16" s="4"/>
      <c r="B16" s="4"/>
      <c r="G16" t="s">
        <v>136</v>
      </c>
      <c r="J16">
        <f>J14*J15*D4*1000</f>
        <v>6.1721339984836745E-7</v>
      </c>
      <c r="K16">
        <f>K14+K15+E4</f>
        <v>1.2995939096785016</v>
      </c>
      <c r="M16" s="4"/>
      <c r="O16" s="4"/>
    </row>
    <row r="17" spans="1:15">
      <c r="A17" s="4"/>
      <c r="B17" s="4"/>
      <c r="M17" s="4"/>
      <c r="O17" s="4"/>
    </row>
    <row r="18" spans="1:15">
      <c r="A18" s="4"/>
      <c r="B18" s="4"/>
      <c r="M18" s="4"/>
      <c r="N18" s="4"/>
      <c r="O18" s="4"/>
    </row>
    <row r="19" spans="1:15">
      <c r="A19" s="4"/>
      <c r="B19" s="4"/>
      <c r="G19" s="1" t="s">
        <v>139</v>
      </c>
      <c r="M19" s="4"/>
      <c r="N19" s="4"/>
      <c r="O19" s="4"/>
    </row>
    <row r="20" spans="1:15">
      <c r="A20" s="25"/>
      <c r="B20" s="4"/>
      <c r="G20" t="s">
        <v>136</v>
      </c>
      <c r="J20">
        <f>GEOMEAN(J8,J16)</f>
        <v>3.6184352162446591E-7</v>
      </c>
      <c r="K20">
        <f>MAX(K8,K16)</f>
        <v>1.8154605085273885</v>
      </c>
      <c r="L20" t="s">
        <v>138</v>
      </c>
      <c r="M20" s="4"/>
      <c r="N20" s="4"/>
      <c r="O20" s="4"/>
    </row>
    <row r="21" spans="1:15">
      <c r="A21" s="4"/>
      <c r="B21" s="4"/>
    </row>
    <row r="22" spans="1:15">
      <c r="A22" s="4"/>
      <c r="B22" s="4"/>
    </row>
    <row r="23" spans="1:15">
      <c r="H23" s="8" t="s">
        <v>235</v>
      </c>
      <c r="I23" s="8" t="s">
        <v>236</v>
      </c>
    </row>
    <row r="24" spans="1:15">
      <c r="G24" t="s">
        <v>136</v>
      </c>
      <c r="H24">
        <f>J20</f>
        <v>3.6184352162446591E-7</v>
      </c>
      <c r="I24">
        <f>K20</f>
        <v>1.8154605085273885</v>
      </c>
      <c r="J24" s="4"/>
      <c r="K24" s="4"/>
      <c r="L24" s="4"/>
      <c r="M24" s="4"/>
    </row>
    <row r="25" spans="1:15">
      <c r="G25" s="4" t="s">
        <v>134</v>
      </c>
      <c r="H25">
        <f>'EV of Far Future'!L18</f>
        <v>3.4303160870117568E+46</v>
      </c>
      <c r="I25">
        <f>'EV of Far Future'!M18</f>
        <v>4.6329187530560025</v>
      </c>
      <c r="J25" s="4"/>
      <c r="K25" s="4"/>
      <c r="L25" s="4"/>
      <c r="M25" s="4"/>
    </row>
    <row r="26" spans="1:15">
      <c r="G26" s="28" t="s">
        <v>60</v>
      </c>
      <c r="H26" s="26">
        <f>PRODUCT(H24:H25)</f>
        <v>1.241237653209392E+40</v>
      </c>
      <c r="I26" s="26">
        <f>SUM(I24:I25)</f>
        <v>6.4483792615833906</v>
      </c>
      <c r="J26" s="4"/>
      <c r="K26" s="4"/>
      <c r="L26" s="4"/>
      <c r="M26" s="4"/>
    </row>
    <row r="27" spans="1:15">
      <c r="G27" s="4"/>
      <c r="H27" s="4"/>
      <c r="I27" s="4"/>
      <c r="J27" s="4"/>
      <c r="K27" s="4"/>
      <c r="L27" s="4"/>
      <c r="M27" s="4"/>
    </row>
    <row r="28" spans="1:15">
      <c r="G28" s="4"/>
      <c r="H28" s="4"/>
      <c r="I28" s="4"/>
      <c r="J28" s="4"/>
      <c r="K28" s="4"/>
      <c r="L28" s="4"/>
      <c r="M28" s="4"/>
    </row>
    <row r="29" spans="1:15">
      <c r="G29" s="4"/>
      <c r="H29" s="4"/>
      <c r="I29" s="4"/>
      <c r="J29" s="4"/>
      <c r="K29" s="4"/>
      <c r="L29" s="4"/>
      <c r="M29" s="4"/>
    </row>
    <row r="30" spans="1:15">
      <c r="G30" s="4"/>
      <c r="H30" s="4"/>
      <c r="I30" s="4"/>
      <c r="J30" s="4"/>
      <c r="K30" s="4"/>
      <c r="L30" s="4"/>
      <c r="M30" s="4"/>
    </row>
    <row r="31" spans="1:15">
      <c r="G31" s="4"/>
      <c r="H31" s="4"/>
      <c r="I31" s="4"/>
      <c r="J31" s="4"/>
      <c r="K31" s="4"/>
      <c r="L31" s="4"/>
      <c r="M31" s="4"/>
    </row>
    <row r="32" spans="1:15">
      <c r="G32" s="4"/>
      <c r="H32" s="4"/>
      <c r="I32" s="4"/>
      <c r="J32" s="4"/>
      <c r="K32" s="4"/>
      <c r="L32" s="4"/>
      <c r="M3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4"/>
  <sheetViews>
    <sheetView tabSelected="1" workbookViewId="0">
      <selection activeCell="B21" sqref="B21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7" t="s">
        <v>155</v>
      </c>
      <c r="H1" s="1" t="s">
        <v>174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6" t="s">
        <v>158</v>
      </c>
      <c r="B3" s="15">
        <v>0.3</v>
      </c>
      <c r="C3" s="15">
        <v>0.3</v>
      </c>
      <c r="D3">
        <f>GEOMEAN(B3,C3)</f>
        <v>0.3</v>
      </c>
      <c r="E3">
        <f>LogVariance(B3,C3)</f>
        <v>0</v>
      </c>
      <c r="H3" t="s">
        <v>175</v>
      </c>
      <c r="I3">
        <f>$D$9*D11</f>
        <v>6.000000000000001E-6</v>
      </c>
      <c r="J3">
        <f>$E$9+E11</f>
        <v>2.1060174845083819</v>
      </c>
    </row>
    <row r="4" spans="1:10">
      <c r="A4" s="36" t="s">
        <v>163</v>
      </c>
      <c r="B4" s="15">
        <v>0.8</v>
      </c>
      <c r="C4" s="15">
        <v>0.8</v>
      </c>
      <c r="D4">
        <f>GEOMEAN(B4,C4)</f>
        <v>0.8</v>
      </c>
      <c r="E4">
        <f>LogVariance(B4,C4)</f>
        <v>0</v>
      </c>
      <c r="H4" t="s">
        <v>176</v>
      </c>
      <c r="I4">
        <f>$D$9*D12</f>
        <v>1.8973665961010282E-5</v>
      </c>
      <c r="J4">
        <f>$E$9+E12</f>
        <v>1.9507603651809473</v>
      </c>
    </row>
    <row r="5" spans="1:10">
      <c r="A5" s="4" t="s">
        <v>164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177</v>
      </c>
      <c r="I5">
        <f>$D$9*D13</f>
        <v>1.4696938456699071E-5</v>
      </c>
      <c r="J5">
        <f>$E$9+E13</f>
        <v>2.0373151147442554</v>
      </c>
    </row>
    <row r="6" spans="1:10">
      <c r="A6" s="29" t="s">
        <v>161</v>
      </c>
      <c r="B6" s="15">
        <v>0.5</v>
      </c>
      <c r="C6" s="15">
        <v>5</v>
      </c>
      <c r="D6">
        <f>GEOMEAN(B6,C6)</f>
        <v>1.5811388300841898</v>
      </c>
      <c r="E6">
        <f>LogVariance(B6,C6)</f>
        <v>0.39015207303618948</v>
      </c>
      <c r="H6" t="s">
        <v>178</v>
      </c>
      <c r="I6">
        <f>$D$9*D14</f>
        <v>1.4696938456699071E-5</v>
      </c>
      <c r="J6">
        <f>$E$9+E14</f>
        <v>2.0373151147442554</v>
      </c>
    </row>
    <row r="7" spans="1:10">
      <c r="A7" s="29" t="s">
        <v>162</v>
      </c>
      <c r="B7" s="15">
        <v>1000</v>
      </c>
      <c r="C7" s="15">
        <v>100000</v>
      </c>
    </row>
    <row r="8" spans="1:10">
      <c r="A8" t="s">
        <v>166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77</v>
      </c>
      <c r="I8">
        <f>VLOOKUP(H8,'EV of Far Future'!$K$3:$M$13,2,FALSE)</f>
        <v>1.5811388300841899E+46</v>
      </c>
      <c r="J8">
        <f>VLOOKUP(H8,'EV of Far Future'!$K$3:$M$13,3,FALSE)</f>
        <v>4.5113686573257059</v>
      </c>
    </row>
    <row r="9" spans="1:10">
      <c r="A9" t="s">
        <v>167</v>
      </c>
      <c r="D9">
        <f>PRODUCT(D3:D6)*D8</f>
        <v>2.6832815729997483E-5</v>
      </c>
      <c r="E9">
        <f>SUM(E3:E6)+E8</f>
        <v>1.8333128883265699</v>
      </c>
      <c r="H9" t="s">
        <v>72</v>
      </c>
      <c r="I9">
        <f>VLOOKUP(H9,'EV of Far Future'!$K$3:$M$13,2,FALSE)</f>
        <v>8.9599999999999976E+36</v>
      </c>
      <c r="J9">
        <f>VLOOKUP(H9,'EV of Far Future'!$K$3:$M$13,3,FALSE)</f>
        <v>3.4812165842895157</v>
      </c>
    </row>
    <row r="10" spans="1:10">
      <c r="H10" t="s">
        <v>73</v>
      </c>
      <c r="I10">
        <f>VLOOKUP(H10,'EV of Far Future'!$K$3:$M$13,2,FALSE)</f>
        <v>2.8334007835108666E+40</v>
      </c>
      <c r="J10">
        <f>VLOOKUP(H10,'EV of Far Future'!$K$3:$M$13,3,FALSE)</f>
        <v>4.1513686573257056</v>
      </c>
    </row>
    <row r="11" spans="1:10">
      <c r="A11" s="29" t="s">
        <v>160</v>
      </c>
      <c r="B11" s="15">
        <v>0.1</v>
      </c>
      <c r="C11" s="15">
        <v>0.5</v>
      </c>
      <c r="D11">
        <f>GEOMEAN(B11,C11)</f>
        <v>0.22360679774997896</v>
      </c>
      <c r="E11">
        <f>LogVariance(B11,C11)</f>
        <v>0.27270459618181209</v>
      </c>
      <c r="H11" t="s">
        <v>74</v>
      </c>
      <c r="I11">
        <f>VLOOKUP(H11,'EV of Far Future'!$K$3:$M$13,2,FALSE)</f>
        <v>6.7199999999999966E+38</v>
      </c>
      <c r="J11">
        <f>VLOOKUP(H11,'EV of Far Future'!$K$3:$M$13,3,FALSE)</f>
        <v>5.3218248764342739</v>
      </c>
    </row>
    <row r="12" spans="1:10">
      <c r="A12" s="29" t="s">
        <v>168</v>
      </c>
      <c r="B12" s="15">
        <v>0.5</v>
      </c>
      <c r="C12" s="15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29" t="s">
        <v>169</v>
      </c>
      <c r="B13" s="15">
        <v>0.3</v>
      </c>
      <c r="C13" s="15">
        <v>1</v>
      </c>
      <c r="D13">
        <f>GEOMEAN(B13,C13)</f>
        <v>0.54772255750516607</v>
      </c>
      <c r="E13">
        <f>LogVariance(B13,C13)</f>
        <v>0.20400222641768539</v>
      </c>
      <c r="H13" t="s">
        <v>95</v>
      </c>
      <c r="I13">
        <f>VLOOKUP(H13,'EV of Far Future'!O3:P13,2,FALSE)</f>
        <v>5.000000000000001E-3</v>
      </c>
      <c r="J13">
        <v>0</v>
      </c>
    </row>
    <row r="14" spans="1:10">
      <c r="A14" s="29" t="s">
        <v>159</v>
      </c>
      <c r="B14" s="15">
        <v>0.3</v>
      </c>
      <c r="C14" s="15">
        <v>1</v>
      </c>
      <c r="D14">
        <f>GEOMEAN(B14,C14)</f>
        <v>0.54772255750516607</v>
      </c>
      <c r="E14">
        <f>LogVariance(B14,C14)</f>
        <v>0.20400222641768539</v>
      </c>
      <c r="H14" t="s">
        <v>90</v>
      </c>
      <c r="I14">
        <f>VLOOKUP(H14,'EV of Far Future'!O8:P18,2,FALSE)</f>
        <v>0.22399999999999998</v>
      </c>
      <c r="J14">
        <v>0</v>
      </c>
    </row>
    <row r="15" spans="1:10">
      <c r="H15" t="s">
        <v>91</v>
      </c>
      <c r="I15">
        <f>VLOOKUP(H15,'EV of Far Future'!O9:P19,2,FALSE)</f>
        <v>0.22399999999999998</v>
      </c>
      <c r="J15">
        <v>0</v>
      </c>
    </row>
    <row r="16" spans="1:10">
      <c r="H16" t="s">
        <v>92</v>
      </c>
      <c r="I16">
        <f>VLOOKUP(H16,'EV of Far Future'!O10:P20,2,FALSE)</f>
        <v>0.16799999999999998</v>
      </c>
      <c r="J16">
        <v>0</v>
      </c>
    </row>
    <row r="17" spans="1:12">
      <c r="K17" s="4"/>
      <c r="L17" s="4"/>
    </row>
    <row r="18" spans="1:12">
      <c r="H18" s="28" t="s">
        <v>170</v>
      </c>
      <c r="I18" s="26">
        <f>I3*I8*I13</f>
        <v>4.7434164902525711E+38</v>
      </c>
      <c r="J18" s="26">
        <f>J3+J8+J13</f>
        <v>6.6173861418340874</v>
      </c>
      <c r="K18" s="4"/>
      <c r="L18" s="4"/>
    </row>
    <row r="19" spans="1:12" ht="20">
      <c r="A19" s="7" t="s">
        <v>67</v>
      </c>
      <c r="H19" s="28" t="s">
        <v>171</v>
      </c>
      <c r="I19" s="26">
        <f>I4*I9*I14</f>
        <v>3.8080906530386058E+31</v>
      </c>
      <c r="J19" s="26">
        <f>J4+J9+J14</f>
        <v>5.4319769494704628</v>
      </c>
      <c r="K19" s="4"/>
      <c r="L19" s="4"/>
    </row>
    <row r="20" spans="1:12">
      <c r="A20" s="30" t="s">
        <v>250</v>
      </c>
      <c r="B20" s="50">
        <f>ParetoPosterior(median,alpha,I24:J24)</f>
        <v>2.8085181896048262E+23</v>
      </c>
      <c r="H20" s="28" t="s">
        <v>172</v>
      </c>
      <c r="I20" s="26">
        <f>I5*I10*I15</f>
        <v>9.3278789942065578E+34</v>
      </c>
      <c r="J20" s="26">
        <f>J5+J10+J15</f>
        <v>6.188683772069961</v>
      </c>
      <c r="K20" s="4"/>
      <c r="L20" s="4"/>
    </row>
    <row r="21" spans="1:12">
      <c r="A21" s="30" t="s">
        <v>252</v>
      </c>
      <c r="B21" s="50">
        <f>LognormPosterior(mu_far_future,sigma_far_future,I24:J24)</f>
        <v>245.10401141025531</v>
      </c>
      <c r="H21" s="28" t="s">
        <v>173</v>
      </c>
      <c r="I21" s="26">
        <f>I6*I11*I16</f>
        <v>1.6592255640074973E+33</v>
      </c>
      <c r="J21" s="26">
        <f>J6+J11+J16</f>
        <v>7.3591399911785293</v>
      </c>
      <c r="K21" s="4"/>
      <c r="L21" s="4"/>
    </row>
    <row r="22" spans="1:12">
      <c r="H22" s="4" t="s">
        <v>248</v>
      </c>
      <c r="I22" s="4" t="str">
        <f>WriteArray(SumLognormDists(I18:J21))</f>
        <v>0,0,0,0,0,0,0,0,0,0,0,0,0,0,0,0,0,0,0,0,0,0,0,0,0,0,0,0,0,0,0,0,0,0,0,0,0,0,0,0,0,0,0,0,0,0,0,0,0,0,0,0,0,0,0,0,0,0,0,0,0,0,0,0,0,0,1.53065170039169E-309,2.47965575463455E-308,3.80091430241266E-307,5.70431030488373E-306,8.51477687251801E-305,1.26345839664347E-303,1.86368512569414E-302,2.73280140217701E-301,3.98352513887864E-300,5.77232834943346E-299,8.31492777622435E-298,1.19066596282277E-296,1.69490520856623E-295,2.39841826324817E-294,3.37387103789239E-293,4.71798000591101E-292,6.5585493551432E-291,9.06324203885286E-290,1.24504048184759E-288,1.70022927283241E-287,2.30810543337189E-286,3.11478410954619E-285,4.17853867129291E-284,5.57243594513466E-283,7.38737156745823E-282,9.73551694938433E-281,1.27541735333778E-279,1.66100091964083E-278,2.15036254434907E-277,2.76743723122884E-276,3.54052908799695E-275,4.50280215541819E-274,5.69274710698764E-273,7.15459840000698E-272,8.93867179268153E-271,1.11015878124073E-269,1.37063431157181E-268,1.68221891145957E-267,2.05242761807969E-266,2.48930226095806E-265,3.00131707337596E-264,3.59724984774787E-263,4.28601634796385E-262,5.07646688168905E-261,5.97714542600961E-260,6.99601346453141E-259,8.1401426842201E-258,9.41538282329621E-257,1.08260131616664E-255,1.23743882864498E-254,1.40605907149593E-253,1.58821045744782E-252,1.78335256797073E-251,1.99063238809692E-250,2.20886733643912E-249,2.43653655844494E-248,2.67178176539683E-247,2.91241863091723E-246,3.15595940629027E-245,3.3996469968277E-244,3.64050027020665E-243,3.87536986540198E-242,4.10100326253158E-241,4.31411738708423E-240,4.5114765848633E-239,4.68997344377476E-238,4.84670967964256E-237,4.9790741651419E-236,5.08481517706858E-235,5.16210407339492E-234,5.20958788567003E-233,5.22642871374019E-232,5.21232832010605E-231,5.16753691523073E-230,5.09284577219964E-229,4.98956397531578E-228,4.85948025727846E-227,4.70481147936342E-226,4.52813982755194E-225,4.33234120908195E-224,4.12050761938623E-223,3.89586639760573E-222,3.66169929686756E-221,3.42126416852749E-220,3.17772181035267E-219,2.93407017628925E-218,2.69308771399942E-217,2.4572871128061E-216,2.22888023728123E-215,2.00975451803342E-214,1.80146059655764E-213,1.60521059686828E-212,1.4218860398996E-211,1.25205413884773E-210,1.09599102073895E-209,9.53710312194565E-209,8.24995501464789E-208,7.09434536133097E-207,6.064552252014E-206,5.15360172294769E-205,4.35360159258355E-204,3.65605112268042E-203,3.05212002423444E-202,2.53289247863771E-201,2.08957384990814E-200,1.71365954937583E-199,1.39706702899642E-198,1.13223309553092E-197,9.12179647959462E-197,7.30551555053661E-196,5.81630733267622E-195,4.60330591217077E-194,3.62174916290693E-193,2.83265034265272E-192,2.20238716663098E-191,1.70223882708456E-190,1.30789678332366E-189,9.98970433883923E-189,7.58504236519909E-188,5.72518637651415E-187,4.29583428180665E-186,3.20428924076037E-185,2.37597701758299E-184,1.75137490131791E-183,1.28334197879019E-182,9.34828841695327E-182,6.76937011840702E-181,4.87293819298955E-180,3.48706516457215E-179,2.48059448014257E-178,1.75419578800187E-177,1.23318140781188E-176,8.61792120849276E-176,5.98693783703949E-175,4.1346018126023E-174,2.83850313379996E-173,1.937188331892E-172,1.31425949741974E-171,8.86374495035614E-171,5.94265146313528E-170,3.96068391663956E-169,2.62414036468028E-168,1.72834694158575E-167,1.13162312019234E-166,7.36545799431409E-166,4.7656791168008E-165,3.06532811455137E-164,1.96000106926405E-163,1.24584167255559E-162,7.87220947790747E-162,4.94490225525559E-161,3.08777822237059E-160,1.91673399676749E-159,1.18278276737665E-158,7.2556373296092E-158,4.42459597382291E-157,2.68224959325162E-156,1.61641291455988E-155,9.6835150308117E-155,5.7668862760797E-154,3.41410930593429E-153,2.0092833030633E-152,1.17552722319278E-151,6.83678639294937E-151,3.95274846044641E-150,2.27182165820296E-149,1.29800757437497E-148,7.37238820844879E-148,4.16262403183308E-147,2.33643791717526E-146,1.30367523730994E-145,7.23123949050211E-145,3.98734925839225E-144,2.1856673322957E-143,1.19100104358622E-142,6.45161685310897E-142,3.47418856194937E-141,1.85980172223007E-140,9.89710994348782E-140,5.23574736531436E-139,2.75345231499404E-138,1.43947814412075E-137,7.4810280029485E-137,3.86497087988055E-136,1.98499750004289E-135,1.013450512316E-134,5.14368099201149E-134,2.59522165176908E-133,1.3016789734575E-132,6.49026428182399E-132,3.21699204107254E-131,1.58513684077718E-130,7.76448682101483E-130,3.78083770383041E-129,1.83017513644202E-128,8.80697294213235E-128,4.21298707290269E-127,2.00347119751159E-126,9.47121404589517E-126,4.45100243202718E-125,2.07940796795002E-124,9.65720230738395E-124,4.458541060011E-123,2.04627542948385E-122,9.33609687789026E-122,4.23444615388637E-121,1.90922867823338E-120,8.55754947173677E-120,3.81303760532444E-119,1.68897423933435E-118,7.43712870752578E-118,3.25550204141818E-117,1.41664527699582E-116,6.12822645261655E-116,2.63535486496351E-115,1.12661125236356E-114,4.78784210715772E-114,2.02272285750607E-113,8.49500903262886E-113,3.54668225934612E-112,1.47201342241934E-111,6.07340696952899E-111,2.49106006580088E-110,1.01570431190183E-109,4.11700838640114E-109,1.65892841357255E-108,6.64515412932194E-108,2.64614763928562E-107,1.04750177380149E-106,4.12218262286577E-106,1.6126181339266E-105,6.27144741425382E-105,2.42457739714284E-104,9.31829440612326E-104,3.56015576349046E-103,1.35217797416125E-102,5.10541548498367E-102,1.91628805614458E-101,7.15028008946533E-101,2.65227144394181E-100,9.78015264268324E-100,3.58514017715233e-99,1.30647044772881e-98,4.73288639011335e-98,1.70445566053737e-97,6.10208954508481e-97,2.17172477959486e-96,7.68359459267068e-96,2.70244987561584e-95,9.44897083293413e-95,3.28431748305514e-94,1.13485304504262e-93,3.89823578408642e-93,1.33116126895286e-92,4.51884502977101e-92,1.52496031652867e-91,5.11592386167391e-91,1.70617728314855e-90,5.65664481147108e-90,1.8643543308571e-89,6.1084766210586e-89,1.98963042536045e-88,6.44239091405698e-88,2.07375297978979e-87,6.63593908246009e-87,2.1109760515641e-86,6.67574751224017e-86,2.09870942579419e-85,6.55904595075977e-85,2.03781672064162e-84,6.29398634387776e-84,1.93251484870329e-83,5.89870116067238e-83,1.7898910919719e-82,5.39925231525258e-82,1.61911461771828e-81,4.82679295059907e-81,1.43046423924158e-80,4.21437091263145e-80,1.23431520779949e-79,3.5938267577366e-79,1.04022213893396e-78,2.99318189158543e-78,8.56206173895688e-78,2.43479275358981e-77,6.88310219984178e-77,1.93439509599531e-76,5.40436996668607e-76,1.50101166150361e-75,4.14440652742851e-75,1.13757517451103e-74,3.10411301889275e-74,8.42044025848053e-74,2.27076463205012e-73,6.08765020174489e-73,1.62243648786425e-72,4.29859342543375e-72,1.13220714785939e-71,2.96460257551108e-71,7.71699734956842e-71,1.99697081381361e-70,5.13732216215027e-70,1.31384407129325e-69,3.34035802789378e-69,8.44276321754887e-69,2.12138177881809e-68,5.29902454413447e-68,1.31587956408522e-67,3.24847638622051e-67,7.97235991931714e-67,1.94508213788852e-66,4.71773039598645e-66,1.13755572167218e-65,2.7268226632731e-65,6.49809472244465e-65,1.53943155550632e-64,3.62560274268871e-64,8.48879059821751e-64,1.97586599576461e-63,4.57209781364644e-63,1.05176859568092e-62,2.40531440835002e-62,5.4685323513053e-62,1.23599671236624e-61,2.77722947416931e-61,6.20375252685003e-61,1.37767173648086e-60,3.04148695209581e-60,6.67537148253633e-60,1.45651360769016e-59,3.15939291429122e-59,6.81307368234696e-59,1.460606596994e-58,3.11296713995979e-58,6.59579742513871e-58,1.3893509744738e-57,2.9094367632533e-57,6.05701397004162e-57,1.25360682267062e-56,2.57939386913206e-56,5.27628149792723e-56,1.07298258475305e-55,2.16926325731897e-55,4.36000692633029e-55,8.71200064241173e-55,1.73063266781164e-54,3.41781587429934e-54,6.71041982935791e-54,1.30981057845316e-53,2.54170758451126e-53,4.90344710003441e-53,9.40452274857462e-53,1.79321323707938e-52,3.39928501988013e-52,6.40625567936656e-52,1.20028003856788e-51,2.23574941399512e-51,4.14024941296718e-51,7.62242821385727e-51,1.3951608422225e-50,2.53875014493816e-50,4.59283724445157e-50,8.26053624014943e-50,1.47707385363752e-49,2.62581227305466e-49,4.6408053765253e-49,8.15439972580851e-49,1.4244931144801e-48,2.47399719761474e-48,4.27178450057602e-48,7.33316676157333e-48,1.25154568965944e-47,2.12361422590221e-47,3.58244209974349e-47,6.00839198664202e-47,1.00187552901663e-46,1.66091207287003e-46,2.73752332673912e-46,4.48588672810944e-46,7.30834538203515e-46,1.18378036085059e-45,1.90636278592896e-45,3.05227316074918e-45,4.85876358197402e-45,7.68977771624606e-45,1.210009015739e-44,1.89300346921548e-44,2.94444474206833e-44,4.55350527218273e-44,7.00132099227376e-44,1.07030400660156e-43,1.62677941606017e-43,2.45836245993699e-43,3.69368879109791e-43,5.51789297962146e-43,8.19570493448195e-43,1.21032205974726e-42,1.77712812777308e-42,2.59442604499192e-42,3.76591281856704e-42,5.43509742154872e-42,7.79927526229788e-42,1.11278892415397e-41,1.57864619420899e-41,2.22675364767057e-41,3.12303484255511e-41,4.35512646969669e-41,6.03873603243821e-41,8.32558502962736e-41,1.14132434593985e-40,1.5557192889046e-40,2.10854812453308e-40,2.84163493244108e-40,3.80792125393205e-40,5.07393666787467e-40,6.72267479404739e-40,8.85690093459858e-40,1.16029071864823e-39,1.51147163493795e-39,1.95787168239378e-39,2.52186865893986e-39,3.23011351152029e-39,4.11408578185154e-39,5.21065588939648e-39,6.56263558896035e-39,8.21929346261198e-39,1.02368077797434e-38,1.26786247200858e-38,1.56156860855289e-38,1.91264875518069e-38,2.32969265840503e-38,2.82198987271611e-38,3.39946024407768e-38,4.07255163031318e-38,4.85210185199701e-38,5.74916274131254e-38,6.77478529762062e-38,7.93976635717652e-38,9.25435881362942e-38,1.07279492405596e-37,1.23687087038937e-37,1.41832245297543e-37,1.61761227163585e-37,1.83496924400054e-37,2.0703525592011e-37,2.32341853828935e-37,2.59349186567764e-37,2.87954265822759e-37,3.18017077577122e-37,3.49359864489476e-37,3.81767366625738e-37,4.14988100788543e-37,4.48736726008406e-37,4.82697505302743e-37,5.16528833043041e-37,5.49868754956214e-37,5.82341365886311e-37,6.13563931018396e-37,6.43154541359496e-37,6.70740085782575e-37,6.95964301507973e-37,7.18495653794905e-37,7.3803479466038e-37,7.54321359936071e-37,7.67139883672674e-37,7.76324638024188e-37,7.81763244009727e-37,7.83398942247556e-37,7.81231460844308e-37,7.75316467848921e-37,7.65763645711499e-37,7.52733472739376e-37,7.36432839512966e-37,7.17109664801399e-37,6.95046704274936e-37,6.70554765268619e-37,6.43965551513032e-37,6.15624363103853e-37,5.85882869483045e-37,5.55092157711511e-37,5.23596236021847e-37,4.91726144995356e-37,4.59794797305937e-37,4.28092633466429e-37,3.96884147013429e-37,3.6640529956808e-37,3.36861815518286e-37,3.08428318750561e-37,2.81248250716564e-37,2.55434490668322e-37,2.31070585378829e-37,2.08212487066194e-37,1.86890694320495e-37,1.67112691169394e-37,1.48865583449361e-37,1.32118838720179e-37,1.1682704537134e-37,1.02932617614933e-37,9.03683850667203e-38,7.90600179700583e-38,6.89282512812197e-38,5.98908823674147e-38,5.18645276276127e-38,4.47661326871747e-38,3.85142387899506e-38,3.3030014549696e-38,2.82380673324811e-38,2.40670522879697e-38,2.04500995395895e-38,1.7325081422414e-38,1.46347420825198e-38,1.23267113899244e-38,1.03534241349387e-38,8.67196403239473e-39,7.24385029357802e-39,6.03478256847987e-39,5.01435801884584e-39,4.15577224350419e-39,3.43551381059697e-39,2.83306030780266e-39,2.33058213666251e-39,1.91265877211718e-39,1.56601089320659e-39,1.27925066620514e-39,1.04265152076007e-39,8.47937991214164e-40,6.88095584102181e-40,5.5720016166969e-40,4.50265982171421e-40,3.63111292724169e-40,2.92240212413382e-40,2.34739556196459e-40,1.88189219440328e-40,1.50584755886356e-40,1.20270827391682e-40,9.58842725876619e-41,7.63056258599364e-41,6.06180114957772e-41,4.80724354799898e-41,3.80585954138513e-41,3.008042452504e-41,2.37356766933141e-41,1.86989444726665e-41,1.47075804216487e-41,1.15500632584691e-41,9.056414357917e-42,7.09032706267517e-42,5.54272151966386e-42,4.32648171159951e-42,3.37216954036344e-42,2.6245437693827e-42,2.03973989017293e-42,1.58299107356281e-42,1.22679080280128e-42,9.49415032956652e-43,7.33736208397684e-43,5.66273585628237e-43,4.36434398408533e-43,3.35908771467403e-43,2.58188205448847e-43,1.98183150899101e-43,1.51919862741283e-43,1.16300549567535e-43,8.89139493538717e-44,6.78859975458388e-44,5.17623080055123e-44,3.94158483272808e-44,2.99745303628541e-44,2.27645140094259e-44,1.72658865940003e-44,1.30780719903545e-44,9.89287609327079e-45,7.47351553271539e-45,5.63832658958878e-45,4.24812907143654e-45,3.19643990359756e-45,2.40190507514571e-45,1.80245575448918e-45,1.35080240574739e-45,1.01096563857992e-45,7.55609139328323e-46,5.63992208130763e-46,4.20400224987628e-46,3.12943215623895e-46,2.3263750806783e-46,1.72704782562673e-46,1.28037819159471e-46,9.47938825354797e-47,7.00856935703175e-47,5.17469034561423e-47,3.81543638871002e-47,2.80936320087391e-47,2.06573389637278e-47,1.51685023276531e-47,1.11227436833807e-47,8.14481362059638e-48,5.95592879051447e-48,4.34926762882963e-48,3.17161350815919e-48,2.30962308543714e-48,1.67956943183032e-48,1.21969182738466e-48,8.84498102830414e-49,6.40527393889095e-49,4.63203597454636e-49,3.34502204903381e-49,2.41222799923284e-49,1.73711880787428e-49,1.24920009354856e-49,8.9706798060101e-50,6.4329345723254e-50,4.6066258269777e-50,3.29417284924205e-50,2.352334663902e-50,1.67741596463505e-50,1.19445846646205e-50,8.49355784595217e-51,6.03109645964985e-51,4.27652151896778e-51,3.02811634994906e-51,2.14112354131947e-51,1.51181254087259e-51,1.0659602244932e-51,7.50534563905662e-52,5.276997050415e-52,3.70500917482921e-52,2.59763329865116e-52,1.81866355092867e-52,1.27148928234411e-52,8.87684690667884e-53,6.18857009337902e-53,4.30831389154885e-53,2.9950886880386e-53,2.07920474658125e-53,1.44135165694408e-53,9.97763644467399e-54,6.89716065988661e-54,4.76099659457738e-54,3.28178544284428e-54,2.25895308240798e-54,1.55270475625607e-54,1.06574950216537e-54,7.30475941664391e-55,4.99966796584427e-55,3.41712468102331e-55,2.332194968217e-55,1.58947317813182e-55,1.08174732866874e-55,7.35161400986533e-56,4.98911784070619e-56,3.38102974474554e-56,2.28801228681236e-56,1.54615067087111e-56,1.04334837745607e-56,7.03057621074507e-57,4.73082097326505e-57,3.17882119887624e-57,2.13294501015224e-57,1.4291478740318e-57,9.56221725443777e-58,6.38886862371502e-58,4.26258648140731e-58,2.83992144455438e-58,1.88939740293608e-58,1.25523242618095e-58,8.32738839439242e-59,5.51667392607321e-59,3.64946850494845e-59,2.4108252160427e-59,1.59032402725806e-59,1.04758505933236e-59,6.89091261345046e-60,4.52634811444558e-60,2.96895022067317e-60,1.94465080439509e-60,1.2719325447052e-60,8.30749838932592e-61,5.4182642234337e-61,3.52885501845191e-61,2.29504480776939e-61,1.49050087032874e-61,9.66622736357154e-62,6.25987240681169e-62,4.04815986695542e-62,2.61416817812504e-62,1.6857496719751e-62,1.08551625692294e-62,6.98012604203066e-63,4.48202092452001e-63,2.87387698063049e-63,1.84011999468776e-63,1.17654295913482e-63,7.5119572194577e-64,4.78941083707593e-64,3.04926203785301e-64,1.93861276227833e-64,1.23075342269433e-64,7.80251656987236e-65,4.93948883620988e-65,3.12257570615475e-65,1.97118598778318e-65,1.24258437218283e-65,7.82182017492314e-66,4.91669674163228e-66,3.0861900801833e-66,1.93444137615636e-66,1.21079920396917e-66,7.56784680235324e-67,4.72341590504599e-67,2.94390433517264e-67,1.83220830613481e-67,1.13870086518097e-67,7.06688625946257e-68,4.37955716669969e-68,2.7102911345346e-68,1.67488632118056e-68,1.03356637674916e-68,6.36905581969528e-69,3.91918155556607e-69,2.40823772118994e-69,1.4777023738056e-69,9.05436986730194e-70,5.54004299513758e-70,3.3849455146352e-70,2.06525590652448e-70,1.2582869895997e-70,7.65542281196176e-71,4.65095674146915e-71,2.8216234794181e-71,1.70938332422656e-71,1.03410230718571e-71,6.24699549685061e-72,3.76844794139426e-72,2.27006079747147e-72,1.36551381580446e-72,8.20235098935982e-73,4.91999023898317e-73,2.94695682880619e-73,1.76265349738341e-73,1.0527948721077e-73,6.27919854380169e-74,3.73979942243976e-74,2.22421131312455e-74,1.32095316825654e-74,7.83397960363751e-75,4.63939224560529e-75,2.74361638672765e-75,1.62020259685472e-75,9.55430057007289e-76,5.6261604745296e-76,3.3083311252394e-76,1.94262720384672e-76,1.13907835972215e-76,6.66962437894767e-77,3.89971429411374e-77,2.27692038027432e-77,1.32753670603809e-77,7.72909902067928e-78,4.49360448165147e-78,2.60882204851591e-78,1.51243844410029e-78,8.75577512813213e-79,5.06168517791632e-79,2.92199386555861e-79,1.68440727801429e-79,9.69613286712608e-80,5.5735723903892e-80,3.19928090303223e-80,1.83381170493059e-80,1.04964090378727e-80,5.99943554559839e-81,3.42423590308951e-81,1.95164399851642e-81,1.11076238309167e-81,6.3128484854268e-82,3.5827228002829e-82,2.03041441653693e-82,1.14905233178876e-82,6.49349585456372e-83,3.66438389729216e-83,2.06493793889641e-83,1.16197472194269e-83,6.52935070744963e-84,3.6637594473615e-84,2.05289882211628e-84,1.14866074341329e-84,6.41799909296129e-85,3.58089150654964e-85,1.9951075575603e-85,1.11000543082272e-85,6.16690889582269e-86,3.42131924813713e-86,1.89541061241295e-86,1.04856813123999e-86,5.79260132976928e-87,3.19546646461418e-87,1.76026692079564e-87,9.68292193228245e-88,5.31885281039286e-88,2.91751537242188e-88,1.59805592241471e-88,8.74086538691938e-89,4.77419913819994e-89,2.60393576822877e-89,1.41822012359526e-89,7.71330773728388e-90,4.18910564612665e-90,2.27188114124512e-90,1.23036378368351e-90,6.65372903124737e-91,3.59319114827234e-91,1.93766712425562e-91,1.04342601268089e-91,5.61083874476552e-92,3.01285030523425e-92,1.61551487051513e-92,8.65023696862408e-93,4.62518053083974e-93,2.46952263917007e-93,1.31668222877028e-93,7.01023497157338e-94,3.72707227990299e-94,1.97873071136229e-94,1.04903315069216e-94,5.55360989228811e-95,2.93592641396175e-95,1.54988188255621e-95,8.17025621470269e-96,4.30087073123334e-96,2.26079269841799e-96,1.18672128900071e-96,6.22042937995121e-97,3.25593430478401e-97,1.70182360077308e-97,8.88253832058745e-98,4.62959794369586e-98,2.40953424040052e-98,1.25229477026176e-98,6.49925640275844e-99,3.36825073719297e-99,1.74312605856146e-99,9.0081750348202E-100,4.64866741564438E-100,2.3955419199929E-100,1.23271509194096E-100,6.33439716453427E-101,3.25036030867765E-101,1.66548743690412E-101,8.52186902550349E-102,4.35423624168914E-102,2.22163526416315E-102,1.13192374782695E-102,5.75897537773054E-103,2.92588269910165E-103,1.48440442112864E-103,7.52023143909511E-104,3.80446692425275E-104,1.92194102893398E-104,9.69549401008239E-105,4.88408783609627E-105,2.45686123605409E-105,1.2341314777358E-105,6.19050202509594E-106,3.10080138583836E-106,1.55097810854956E-106,7.74677648271166E-107,3.86384789904952E-107,1.9244323886705E-107,9.57125599580722E-108,4.75355853082654E-108,2.35750378352834E-108,1.16753414371354E-108,5.77391545950122E-109,2.8513786302297E-109,1.40612198692042E-109,6.92428200269978E-110,3.40494525504543E-110,1.67197261333137E-110,8.19845135772551E-111,4.01437674495146E-111,1.96285433293668E-111,9.58388630280373E-112,4.67281808197699E-112,2.27509603579367E-112,1.10612506252908E-112,5.37022362271172E-113,2.60353935970631E-113,1.26043241524497E-113,6.09338499352038E-114,2.94158439353299E-114,1.41803727110321E-114,6.82617814340295E-115,3.28133997258948E-115,1.57510126095406E-115,7.5500420135442E-116,3.61388140586376E-116,1.72735683875939E-116,8.24468125085421E-117,3.92960877761686E-117,1.87028762147632E-117,8.88896349754942E-118,4.21868875264477E-118,1.99934382835243E-118,9.46196041438037E-119,4.47155324162471E-119,2.11017913517238E-119,9.9440633405751E-120,4.67942055469649E-120,2.19889207405357E-120,1.03180918205522E-120,4.83479987083488E-121,2.26225342476594E-121,1.05703080932369E-121,4.93193877294793E-122,2.2979011687776E-122,1.06912541750543E-122,4.96717661534558E-123,2.30448660923579E-123,1.06763404579721E-123,4.93917346820658E-124,2.28175905642651E-124,1.05261347582971E-124,4.84899467747539E-125,2.23058166562034E-125,1.02463264379113E-125,4.70004360074976E-126,2.15287703239012E-126,9.84736875847608E-127,4.49784843980711E-127,2.05150732595787E-127,9.34383081150356E-128,4.24972178327824E-128,1.93009937878627E-128,8.75351503278268E-129,3.96432208496441E-129,</v>
      </c>
      <c r="J22" t="s">
        <v>226</v>
      </c>
    </row>
    <row r="23" spans="1:12">
      <c r="H23" s="4" t="s">
        <v>230</v>
      </c>
      <c r="I23" s="4">
        <f>STupidExcelMean(I22)</f>
        <v>1.9873734704881786E+46</v>
      </c>
      <c r="J23" s="4">
        <f>STupidExcelVariance(I22,I23)</f>
        <v>6.7571020307411693E+107</v>
      </c>
    </row>
    <row r="24" spans="1:12">
      <c r="H24" s="28" t="s">
        <v>242</v>
      </c>
      <c r="I24" s="26">
        <f>EXP(BucketMu(ABS(I23),J23))</f>
        <v>4.8048378704475212E+38</v>
      </c>
      <c r="J24" s="26">
        <f>(BucketSigma(I23,J23) / LN(10))^2</f>
        <v>6.6156953533879177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THL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2016-04-07T05:26:03Z</dcterms:modified>
</cp:coreProperties>
</file>